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Tables/pivotTable1.xml" ContentType="application/vnd.openxmlformats-officedocument.spreadsheetml.pivotTabl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180"/>
  </bookViews>
  <sheets>
    <sheet name="General Instructions " sheetId="1" r:id="rId1"/>
    <sheet name="Dump" sheetId="2" r:id="rId2"/>
    <sheet name="Q1" sheetId="3" r:id="rId3"/>
    <sheet name="Q2" sheetId="4" r:id="rId4"/>
    <sheet name="Q3" sheetId="5" r:id="rId5"/>
    <sheet name="Q5" sheetId="6" r:id="rId6"/>
    <sheet name="Q4" sheetId="7" r:id="rId7"/>
    <sheet name="Pivot for Pareto" sheetId="10" r:id="rId8"/>
    <sheet name="Pareto Analysis" sheetId="11" r:id="rId9"/>
    <sheet name="Q6" sheetId="8" r:id="rId10"/>
    <sheet name="Q7" sheetId="9" r:id="rId11"/>
  </sheets>
  <definedNames>
    <definedName name="_xlnm._FilterDatabase" localSheetId="1" hidden="1">Dump!$A$1:$F$990</definedName>
    <definedName name="_xlnm._FilterDatabase" localSheetId="2" hidden="1">'Q1'!$B$8:$F$58</definedName>
    <definedName name="_xlnm._FilterDatabase" localSheetId="4" hidden="1">'Q3'!$B$9:$E$61</definedName>
    <definedName name="_xlnm._FilterDatabase" localSheetId="5" hidden="1">'Q5'!$B$15:$H$116</definedName>
    <definedName name="Grades" localSheetId="5">#REF!</definedName>
    <definedName name="Grades" localSheetId="6">#REF!</definedName>
    <definedName name="Amount" localSheetId="4">#REF!</definedName>
    <definedName name="StartDay" localSheetId="3">#REF!</definedName>
    <definedName name="Amount" localSheetId="5">#REF!</definedName>
    <definedName name="Profit_per_sale" localSheetId="5">#REF!</definedName>
    <definedName name="Grades" localSheetId="4">#REF!</definedName>
    <definedName name="Profit_per_sale" localSheetId="4">#REF!</definedName>
    <definedName name="StartDay">#REF!</definedName>
    <definedName name="Profit_per_sale" localSheetId="3">#REF!</definedName>
    <definedName name="Difference" localSheetId="3">#REF!</definedName>
    <definedName name="Overtime" localSheetId="0">#REF!</definedName>
    <definedName name="Difference" localSheetId="5">#REF!</definedName>
    <definedName name="Amount" localSheetId="3">#REF!</definedName>
    <definedName name="StartDay" localSheetId="0">#REF!</definedName>
    <definedName name="Amount" localSheetId="6">#REF!</definedName>
    <definedName name="StartDay" localSheetId="5">#REF!</definedName>
    <definedName name="Profit_per_sale">#REF!</definedName>
    <definedName name="Difference" localSheetId="0">#REF!</definedName>
    <definedName name="Profit_per_sale" localSheetId="6">#REF!</definedName>
    <definedName name="Overtime" localSheetId="5">#REF!</definedName>
    <definedName name="Grades">#REF!</definedName>
    <definedName name="Difference" localSheetId="4">#REF!</definedName>
    <definedName name="Difference" localSheetId="6">#REF!</definedName>
    <definedName name="Overtime" localSheetId="6">#REF!</definedName>
    <definedName name="Difference">#REF!</definedName>
    <definedName name="StartDay" localSheetId="4">#REF!</definedName>
    <definedName name="Profit_per_sale" localSheetId="0">#REF!</definedName>
    <definedName name="Amount" localSheetId="0">#REF!</definedName>
    <definedName name="Overtime" localSheetId="4">#REF!</definedName>
    <definedName name="Grades" localSheetId="0">#REF!</definedName>
    <definedName name="Grades" localSheetId="3">#REF!</definedName>
    <definedName name="Amount">#REF!</definedName>
    <definedName name="StartDay" localSheetId="6">#REF!</definedName>
    <definedName name="Overtime" localSheetId="3">#REF!</definedName>
    <definedName name="Overtime">#REF!</definedName>
    <definedName name="_xlnm._FilterDatabase" localSheetId="8" hidden="1">'Pareto Analysis'!$A:$B</definedName>
    <definedName name="_xlnm._FilterDatabase" localSheetId="6" hidden="1">'Q4'!$B$5:$G$458</definedName>
  </definedNames>
  <calcPr calcId="191029"/>
  <pivotCaches>
    <pivotCache cacheId="0"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
  </authors>
  <commentList>
    <comment ref="J4" authorId="0">
      <text>
        <r>
          <rPr>
            <sz val="10"/>
            <rFont val="SimSun"/>
            <charset val="134"/>
          </rPr>
          <t>Can be achieved with filters as well. Formula helps for larger data.
	-Ronit Majumdar</t>
        </r>
      </text>
    </comment>
    <comment ref="J5" authorId="0">
      <text>
        <r>
          <rPr>
            <sz val="10"/>
            <rFont val="SimSun"/>
            <charset val="134"/>
          </rPr>
          <t>This formula gives the count of names if their is 1 blank in 1 of the 3 courses.
	-Ronit Majumdar</t>
        </r>
      </text>
    </comment>
    <comment ref="J6" authorId="0">
      <text>
        <r>
          <rPr>
            <sz val="10"/>
            <rFont val="SimSun"/>
            <charset val="134"/>
          </rPr>
          <t>Formula gives count when cell is Blank or R. Considering those registered are not trained yet.
	-Ronit Majumdar</t>
        </r>
      </text>
    </comment>
  </commentList>
</comments>
</file>

<file path=xl/comments2.xml><?xml version="1.0" encoding="utf-8"?>
<comments xmlns="http://schemas.openxmlformats.org/spreadsheetml/2006/main">
  <authors>
    <author/>
  </authors>
  <commentList>
    <comment ref="B26" authorId="0">
      <text>
        <r>
          <rPr>
            <sz val="10"/>
            <rFont val="SimSun"/>
            <charset val="134"/>
          </rPr>
          <t>Answer
	-Ronit Majumdar</t>
        </r>
      </text>
    </comment>
  </commentList>
</comments>
</file>

<file path=xl/comments3.xml><?xml version="1.0" encoding="utf-8"?>
<comments xmlns="http://schemas.openxmlformats.org/spreadsheetml/2006/main">
  <authors>
    <author/>
  </authors>
  <commentList>
    <comment ref="I16" authorId="0">
      <text>
        <r>
          <rPr>
            <sz val="10"/>
            <rFont val="SimSun"/>
            <charset val="134"/>
          </rPr>
          <t>Management people are benefiting
	-Ronit Majumdar</t>
        </r>
      </text>
    </comment>
  </commentList>
</comments>
</file>

<file path=xl/comments4.xml><?xml version="1.0" encoding="utf-8"?>
<comments xmlns="http://schemas.openxmlformats.org/spreadsheetml/2006/main">
  <authors>
    <author/>
    <author>Ronit</author>
  </authors>
  <commentList>
    <comment ref="A20" authorId="0">
      <text>
        <r>
          <rPr>
            <sz val="10"/>
            <rFont val="SimSun"/>
            <charset val="134"/>
          </rPr>
          <t>My SQL Quary. I have made inside Cuemath Test1 Database
	-Ronit Majumdar</t>
        </r>
      </text>
    </comment>
    <comment ref="A23" authorId="1">
      <text>
        <r>
          <rPr>
            <b/>
            <sz val="9"/>
            <rFont val="Times New Roman"/>
            <charset val="0"/>
          </rPr>
          <t>Macros have been used to change text colors.</t>
        </r>
      </text>
    </comment>
  </commentList>
</comments>
</file>

<file path=xl/sharedStrings.xml><?xml version="1.0" encoding="utf-8"?>
<sst xmlns="http://schemas.openxmlformats.org/spreadsheetml/2006/main" count="5598" uniqueCount="1417">
  <si>
    <t>Candidate Name:</t>
  </si>
  <si>
    <t>RM</t>
  </si>
  <si>
    <t>Current Organization:</t>
  </si>
  <si>
    <t>Simplilearn</t>
  </si>
  <si>
    <t>Role Applied for:</t>
  </si>
  <si>
    <t>Data Analsyt</t>
  </si>
  <si>
    <t>Cell Phone No.:</t>
  </si>
  <si>
    <t>Email ID:</t>
  </si>
  <si>
    <r>
      <rPr>
        <b/>
        <i/>
        <sz val="14"/>
        <color rgb="FF800080"/>
        <rFont val="Calibri"/>
        <charset val="134"/>
      </rPr>
      <t>SAVE THE WORKBOOK AS YOUR NAME BEFORE STARTING THE TEST (</t>
    </r>
    <r>
      <rPr>
        <b/>
        <i/>
        <sz val="14"/>
        <color rgb="FF800080"/>
        <rFont val="Calibri"/>
        <charset val="134"/>
      </rPr>
      <t>firstname_lastname.xlsb</t>
    </r>
    <r>
      <rPr>
        <b/>
        <i/>
        <sz val="14"/>
        <color rgb="FF800080"/>
        <rFont val="Calibri"/>
        <charset val="134"/>
      </rPr>
      <t>)</t>
    </r>
  </si>
  <si>
    <t>EACH SHEET OF THE WORKBOOK SHOULD CONTAIN A SOLUTION TO A SEPARATE QUESTION.</t>
  </si>
  <si>
    <t>INSTRUCTIONS</t>
  </si>
  <si>
    <t>1. Check the dump sheet properly to understand the leads data</t>
  </si>
  <si>
    <t>2. All questions do not have the same score. Try to maximize your score!</t>
  </si>
  <si>
    <t>3. Retain all the excel formulas used</t>
  </si>
  <si>
    <t>4. Leave a short note on approach used if you have used some excel features which were not retained in the formula</t>
  </si>
  <si>
    <t>5. If you need, you can use multiple sheets for your answers, make sure to name all of them relevant to the question</t>
  </si>
  <si>
    <t>5. Q6 and Q7 are mandatory</t>
  </si>
  <si>
    <t>MARKING FOR EACH QUESTION</t>
  </si>
  <si>
    <t>Question 1</t>
  </si>
  <si>
    <t>Question 2</t>
  </si>
  <si>
    <t>Question 3</t>
  </si>
  <si>
    <t>Question 4</t>
  </si>
  <si>
    <t>Question 5</t>
  </si>
  <si>
    <t>Question 6</t>
  </si>
  <si>
    <t>Question 7</t>
  </si>
  <si>
    <t>TOTAL</t>
  </si>
  <si>
    <t>lead_month</t>
  </si>
  <si>
    <t>lead_created_date</t>
  </si>
  <si>
    <t>prospectid</t>
  </si>
  <si>
    <t>current_stage</t>
  </si>
  <si>
    <t>channel</t>
  </si>
  <si>
    <t>geo</t>
  </si>
  <si>
    <t>ef6d71cf-5eaa-47e7-952e-38c097fd04b8</t>
  </si>
  <si>
    <t>Demo Done</t>
  </si>
  <si>
    <t>Referrals</t>
  </si>
  <si>
    <t>US</t>
  </si>
  <si>
    <t>9396b324-e3de-4d80-921d-6e4995e001d9</t>
  </si>
  <si>
    <t>Lead Recevied</t>
  </si>
  <si>
    <t>Organic</t>
  </si>
  <si>
    <t>India</t>
  </si>
  <si>
    <t>63110331-4c86-4ef9-a208-b0c45743a3f4</t>
  </si>
  <si>
    <t>c63e8172-d015-412c-99b0-c8c3e1a6169a</t>
  </si>
  <si>
    <t>Enrolled</t>
  </si>
  <si>
    <t>Performance</t>
  </si>
  <si>
    <t>83bed7ad-1c16-4a87-aa0c-767a8977afd8</t>
  </si>
  <si>
    <t>Demo Scheduled</t>
  </si>
  <si>
    <t>09b0abbb-82a2-4907-b06d-94c9658b627e</t>
  </si>
  <si>
    <t>Payment Pending</t>
  </si>
  <si>
    <t>4d8031d6-060a-45d5-8f29-331d4120c4fa</t>
  </si>
  <si>
    <t>464872c0-b2e9-4c09-b4fa-ff6d1ba2d7a3</t>
  </si>
  <si>
    <t>Others</t>
  </si>
  <si>
    <t>0a8cead2-350d-494a-95a1-284c971884df</t>
  </si>
  <si>
    <t>cac05d0f-425f-49be-8a91-f8eadeeccf16</t>
  </si>
  <si>
    <t>bea59980-3679-4dca-b29b-80704288a840</t>
  </si>
  <si>
    <t>e0f500ca-8b8d-4e37-8858-b867f02f340b</t>
  </si>
  <si>
    <t>4ee3c5f2-9cde-4590-92b1-2a5972df20c7</t>
  </si>
  <si>
    <t>53b85550-6b39-429e-abea-82d028ea3fee</t>
  </si>
  <si>
    <t>ROW</t>
  </si>
  <si>
    <t>27b4a5c2-632c-4dd4-a22b-2c5638e12fe7</t>
  </si>
  <si>
    <t>8922f411-078a-475b-82b0-456d27c6811b</t>
  </si>
  <si>
    <t>67e91c6e-f605-46c5-a927-8c8a703ef3a7</t>
  </si>
  <si>
    <t>160907df-0068-45e4-9bbc-f18a57b401e6</t>
  </si>
  <si>
    <t>Invalid</t>
  </si>
  <si>
    <t>ba633fde-df28-42dc-b308-440d329e562e</t>
  </si>
  <si>
    <t>33dfd8fd-4daa-44b2-9a20-24d13001b8e6</t>
  </si>
  <si>
    <t>ae200a16-c2fd-4380-9da8-0b608bced093</t>
  </si>
  <si>
    <t>353ae1d4-5788-4cc8-9352-87b081e4000f</t>
  </si>
  <si>
    <t>0626b575-0c17-4cd3-adf2-800f3ff052bc</t>
  </si>
  <si>
    <t>8565e2c7-03ce-4f6d-9e04-be524919f2ba</t>
  </si>
  <si>
    <t>7d31cf3b-8233-49df-ae3b-c6404d11c5a9</t>
  </si>
  <si>
    <t>4752bde9-1903-4cb0-b82b-719a25790316</t>
  </si>
  <si>
    <t>c00e2317-2857-4b00-9ad5-c4a5f9b8de5c</t>
  </si>
  <si>
    <t>1b411090-77d6-498a-8de5-f3ed3a016f78</t>
  </si>
  <si>
    <t>111ca5e6-546b-4d23-8ed2-e68c96c02571</t>
  </si>
  <si>
    <t>8b5fc98d-5fdf-4432-bac6-bcb1e1e51add</t>
  </si>
  <si>
    <t>5476abed-6e95-42a4-89eb-63e000ca560d</t>
  </si>
  <si>
    <t>cd1e4588-dac2-49f8-a405-8c97ca7bf1d5</t>
  </si>
  <si>
    <t>51661d3f-2cfc-4b6a-81f2-2d032b5898ae</t>
  </si>
  <si>
    <t>587e4795-60ce-46b0-97d0-f3980a6d77a9</t>
  </si>
  <si>
    <t>d9102e30-db5a-460c-ac38-ae5c1735f936</t>
  </si>
  <si>
    <t>e186704d-c0f6-478d-83d8-7b5bd274cda6</t>
  </si>
  <si>
    <t>267a73ae-7bc7-466d-8e27-bb514d0a2279</t>
  </si>
  <si>
    <t>37ff49e9-b7fd-4648-9ee9-72cf4e13e341</t>
  </si>
  <si>
    <t>59c27de0-dd09-466f-b6c1-68e80cfaed42</t>
  </si>
  <si>
    <t>d8842931-8d5e-45e6-9111-257cfd9e3468</t>
  </si>
  <si>
    <t>e635e88b-dda0-4381-9311-d60b6292a4dd</t>
  </si>
  <si>
    <t>eec1b580-d8b8-44bb-9bc2-10dd9901369d</t>
  </si>
  <si>
    <t>e3e6de67-ed48-42a4-b8ea-77da49e6281a</t>
  </si>
  <si>
    <t>8bd50841-58e7-4814-8d1f-db717b42e3de</t>
  </si>
  <si>
    <t>4c7edf60-d6a9-499a-9dbf-679389e7a869</t>
  </si>
  <si>
    <t>7d131879-dd08-4e5d-8d2b-de276dbb337e</t>
  </si>
  <si>
    <t>5bd010ea-3e8b-4038-8b55-d4ae47c11e65</t>
  </si>
  <si>
    <t>335a5cdd-bc37-4fd5-a046-f2b2ee9ed285</t>
  </si>
  <si>
    <t>6ab31dd5-c319-4d1b-8310-ba1e08b8ece7</t>
  </si>
  <si>
    <t>8e7c088b-7e41-4aed-92ae-6fdcf76574fb</t>
  </si>
  <si>
    <t>123f27fd-7341-44cc-a473-a0b7d84e0557</t>
  </si>
  <si>
    <t>bd862dca-39d9-40c1-97ba-b74e54217484</t>
  </si>
  <si>
    <t>434a8156-5baa-4c67-a1f0-b37b6f73d790</t>
  </si>
  <si>
    <t>f65b1761-393d-42ff-a490-cf123220586d</t>
  </si>
  <si>
    <t>b3c0df2d-77eb-4e75-a943-ab141450764a</t>
  </si>
  <si>
    <t>2fdb080e-aac6-4f29-b5f9-4057272ad7bb</t>
  </si>
  <si>
    <t>f89c221e-4ae2-4ecd-99b4-1877ebd32817</t>
  </si>
  <si>
    <t>d9af90fd-b25e-47cd-9b05-42e085a2d138</t>
  </si>
  <si>
    <t>15197f40-dfad-4357-bf6f-1ed9eaabbe81</t>
  </si>
  <si>
    <t>ebaa02be-de28-4694-bff3-44ba09a7f847</t>
  </si>
  <si>
    <t>bbd8a37f-1fc1-4f37-a762-1e8103827ba4</t>
  </si>
  <si>
    <t>c659861a-cff8-4ec5-8177-a9a6031b8947</t>
  </si>
  <si>
    <t>c21ab631-1df9-4a80-a7af-6d71db0cf95e</t>
  </si>
  <si>
    <t>b76a227e-3742-4972-a13e-7d5041908aef</t>
  </si>
  <si>
    <t>91d0fc78-701c-4118-829b-b07f20223a5a</t>
  </si>
  <si>
    <t>c5cc26b7-0e14-4b0d-b0e0-5529cd4c8192</t>
  </si>
  <si>
    <t>3a0c90d6-59ce-4b97-bda9-4bc93060f638</t>
  </si>
  <si>
    <t>2c5201d7-fc1d-45ca-afb2-b4dd360c62ef</t>
  </si>
  <si>
    <t>7bd57cb4-8432-440e-b95a-4ea0ef8cbfeb</t>
  </si>
  <si>
    <t>7adb2335-2b64-4c35-a3ec-917c86ada626</t>
  </si>
  <si>
    <t>5f3ff909-e79f-46b3-90ec-ed2a3bc3e023</t>
  </si>
  <si>
    <t>66843643-ead3-4cb9-8e63-c086aa488ccc</t>
  </si>
  <si>
    <t>7a49fcb2-1407-4ac8-a910-8d5202911565</t>
  </si>
  <si>
    <t>4c0357be-1ae4-45af-8354-4d23b52e89ea</t>
  </si>
  <si>
    <t>b6d91570-8f6b-4ef3-8524-e9b4a05e1a66</t>
  </si>
  <si>
    <t>9df65fea-66f0-441a-b68e-70bcbe89531f</t>
  </si>
  <si>
    <t>ff000d05-af7f-42cb-8e9a-eecb16d234a9</t>
  </si>
  <si>
    <t>f55b8053-5a42-494f-ba47-008e93b5eae9</t>
  </si>
  <si>
    <t>8fc4af4e-df54-427b-814f-1b0f254d0fcc</t>
  </si>
  <si>
    <t>8e5aff1b-bcae-4a75-bb51-61c50d9383f3</t>
  </si>
  <si>
    <t>a7236efd-1026-4a1b-af5b-6dc5644938d7</t>
  </si>
  <si>
    <t>97b92cd4-a82e-4d00-aed3-47af1775206a</t>
  </si>
  <si>
    <t>9b108bc4-1597-44ec-a937-2355555442cd</t>
  </si>
  <si>
    <t>0b201ec7-1bc4-4239-99a6-be3d6eb45601</t>
  </si>
  <si>
    <t>Connected</t>
  </si>
  <si>
    <t>f96b7880-25f1-4b7a-95dd-a9ce70c0c3fa</t>
  </si>
  <si>
    <t>f888a28b-7c57-405f-827e-10b41764fc98</t>
  </si>
  <si>
    <t>b4e1be00-f2ff-4a26-98bb-a0f22cf11294</t>
  </si>
  <si>
    <t>3c103538-9910-4a64-b16b-b5e9dc43ce48</t>
  </si>
  <si>
    <t>8dfc3303-ca74-40e8-9f40-f7d47a99c5a5</t>
  </si>
  <si>
    <t>d0d3c74e-3933-4894-8c35-e60873c3956b</t>
  </si>
  <si>
    <t>915694bc-797c-4f49-b1a0-fc29c85b347b</t>
  </si>
  <si>
    <t>6203f3b5-7cee-4864-b422-59875ecf918a</t>
  </si>
  <si>
    <t>eb8641d0-dd86-4223-9be5-8105cf86ed5f</t>
  </si>
  <si>
    <t>878f55de-7776-4bb9-9bac-26548badfeaf</t>
  </si>
  <si>
    <t>4c3ca49c-db4c-4027-a7b7-fd086009316e</t>
  </si>
  <si>
    <t>4e03c2fe-625e-4de8-9a3c-34fefca65da4</t>
  </si>
  <si>
    <t>17f64269-01a9-498a-b084-38873f6c149d</t>
  </si>
  <si>
    <t>e009acb4-3fbd-43f9-976e-8bb63129afc3</t>
  </si>
  <si>
    <t>76ba6b45-d3e6-4a13-82fd-2ab8f7ec4901</t>
  </si>
  <si>
    <t>68138a94-d7a0-4a07-b274-2fc3b20a9159</t>
  </si>
  <si>
    <t>052bf358-cdfe-4f4d-9ae2-a32cfb2a1094</t>
  </si>
  <si>
    <t>b50a209c-9433-4fa3-80e2-84c68d940fa7</t>
  </si>
  <si>
    <t>a56ba6da-1a72-48c6-ad52-2364f18688b0</t>
  </si>
  <si>
    <t>2e3570a9-b3e9-441e-967f-b5bbb8f5ed64</t>
  </si>
  <si>
    <t>df2e57ff-0919-4527-9961-20bcaedfe38d</t>
  </si>
  <si>
    <t>3532b40a-87ce-4951-b41c-04182e5d1f8d</t>
  </si>
  <si>
    <t>0d8a04a7-9395-4bf4-9df1-4ad89d72c07f</t>
  </si>
  <si>
    <t>60ddc428-0fbb-466a-b467-0f2a0e96d7f0</t>
  </si>
  <si>
    <t>dc18f215-e26a-4731-add9-ea12f959094f</t>
  </si>
  <si>
    <t>512b1ca6-d48b-4e7f-8597-98e27d4e8aa3</t>
  </si>
  <si>
    <t>a3cf3e66-0da0-423d-8987-3eb547ee8130</t>
  </si>
  <si>
    <t>896c60f0-8bdb-4368-8bc9-c8db98eac40e</t>
  </si>
  <si>
    <t>5b42a38c-75ca-42d4-b3a1-3f89d0d76618</t>
  </si>
  <si>
    <t>1cf39f3a-fea3-4131-b769-2abeed47c17f</t>
  </si>
  <si>
    <t>579b2d3b-34f9-4678-a603-90fa5e4ae520</t>
  </si>
  <si>
    <t>72f3cf26-d6c4-4a1a-b459-305c125af204</t>
  </si>
  <si>
    <t>5eb16763-2c5b-49d0-be6d-6c51aba863aa</t>
  </si>
  <si>
    <t>20c4a258-edc5-4a65-969c-cd5351c08406</t>
  </si>
  <si>
    <t>942825b0-de69-4971-8e5e-790ab1c62e31</t>
  </si>
  <si>
    <t>16967898-f449-451e-ac2b-b9dece47b498</t>
  </si>
  <si>
    <t>6f91b6eb-f7c3-4dbd-96d5-d7b3558dda29</t>
  </si>
  <si>
    <t>640dc42a-7be0-4aa7-9a31-98cd18252105</t>
  </si>
  <si>
    <t>bacf6fb9-c050-47ef-bfca-b3646b4e21a6</t>
  </si>
  <si>
    <t>3e8c7973-e31c-49eb-beac-5665781f6fb2</t>
  </si>
  <si>
    <t>31f68b26-9682-4ad3-89c1-a1dae6c58a07</t>
  </si>
  <si>
    <t>89a7f7c7-2722-48a6-b0c8-8a68ba892ad6</t>
  </si>
  <si>
    <t>c0fac0af-3de1-4cb7-9cfb-6bc078a1694a</t>
  </si>
  <si>
    <t>e57b7470-dd20-47b8-8731-2a5230c6eb5a</t>
  </si>
  <si>
    <t>f17bf807-aa36-4303-8d02-e6b9a7742d0c</t>
  </si>
  <si>
    <t>01835a32-c74d-4ed2-a1c8-fdbae9d62831</t>
  </si>
  <si>
    <t>4a3e5bea-eff6-4a55-aa28-cee32524b050</t>
  </si>
  <si>
    <t>a5f6d40b-1426-4f66-90cf-4b4a961f1e74</t>
  </si>
  <si>
    <t>504fca81-8112-42e9-b583-53950bcbced4</t>
  </si>
  <si>
    <t>5804a0df-98cf-45f6-a513-178ee1d6c4ce</t>
  </si>
  <si>
    <t>b97b92ac-c678-4811-a55f-b81d39e6af99</t>
  </si>
  <si>
    <t>1c908a17-d16a-4496-9346-e338c56da734</t>
  </si>
  <si>
    <t>dfd56e70-9328-40a5-91b8-fd2ec7f3bc55</t>
  </si>
  <si>
    <t>c344ebca-1d9a-4b72-9253-f4375f5c84d3</t>
  </si>
  <si>
    <t>c955ba0d-068a-4462-a245-e613b5796a74</t>
  </si>
  <si>
    <t>c0626c35-28b1-479e-be76-c0f8ef9e9bf5</t>
  </si>
  <si>
    <t>c7b895f7-d7a2-4910-9c5e-6e932b3e7be2</t>
  </si>
  <si>
    <t>4add1e6d-2e61-4a0a-9c94-c14894b1f715</t>
  </si>
  <si>
    <t>635e6440-2ac5-4973-a6ad-b738aec91148</t>
  </si>
  <si>
    <t>83158e2e-e75e-4c97-a17b-cfc3fa10396e</t>
  </si>
  <si>
    <t>31a3b9a7-0b1b-4efa-800b-6f67229259b9</t>
  </si>
  <si>
    <t>300deaca-0b75-4c87-913b-8b86a8fd54e4</t>
  </si>
  <si>
    <t>477c19e0-03f6-46dc-bca6-e5b4d9c294d1</t>
  </si>
  <si>
    <t>6a172abc-7ec1-4143-913d-eacff3fe7b0a</t>
  </si>
  <si>
    <t>d475c372-6501-49f6-94e4-66713015802e</t>
  </si>
  <si>
    <t>6bf560af-1592-4d9c-9d59-3a4fb94b6181</t>
  </si>
  <si>
    <t>aa067885-8edc-4c3a-ad25-87e10da863df</t>
  </si>
  <si>
    <t>8caab9c9-660d-4dcb-ba17-8f41e7d0dea7</t>
  </si>
  <si>
    <t>ae019ebd-eecd-4dc9-b08e-c23b0ea0413c</t>
  </si>
  <si>
    <t>e44cda31-e782-4923-8b67-7fc3ed9d7fbd</t>
  </si>
  <si>
    <t>b51a056a-58d7-4fdd-b89c-c21318ccbd0b</t>
  </si>
  <si>
    <t>b37eeb06-b652-4dd0-bcf5-d8603941eb97</t>
  </si>
  <si>
    <t>1d219fd6-07d9-4cb7-9beb-b2752cf5794d</t>
  </si>
  <si>
    <t>7b14cecb-decc-4e60-a0e5-3ceaf3b17bb9</t>
  </si>
  <si>
    <t>b8bcc8e1-4dfd-41c7-bb47-93da3803a61d</t>
  </si>
  <si>
    <t>0424fef7-b28b-4a16-b722-165c75827891</t>
  </si>
  <si>
    <t>ec6f55b5-b277-4c58-9e56-cb3635984346</t>
  </si>
  <si>
    <t>ba578c00-c510-4e3e-b12c-f5ea2d712449</t>
  </si>
  <si>
    <t>459afa4b-714f-4794-adb9-d975a6028569</t>
  </si>
  <si>
    <t>406516d1-c6cc-4576-a64f-f14deeff0354</t>
  </si>
  <si>
    <t>7301850a-6018-456c-8a65-e2026bb47c96</t>
  </si>
  <si>
    <t>ca21c658-99f5-438b-984a-aa2511d1b0b1</t>
  </si>
  <si>
    <t>c6350421-05fd-449b-ab3e-a213250ff4ce</t>
  </si>
  <si>
    <t>a5b9c9a7-eea2-40f9-bf05-94b4de457ab9</t>
  </si>
  <si>
    <t>9855aaf4-22dd-4a1f-9957-32a9348da5e3</t>
  </si>
  <si>
    <t>33a45095-3ec2-4c10-81ce-564b0ad150e3</t>
  </si>
  <si>
    <t>6e8bddfb-ba78-43f5-9552-80bb707c46d8</t>
  </si>
  <si>
    <t>ee08a08f-4f40-4c9a-bdb4-09475b9d23d2</t>
  </si>
  <si>
    <t>7979b6a4-0b79-4eed-9e75-ca2a7a81ac54</t>
  </si>
  <si>
    <t>9e014090-f1c6-436e-b1f0-412edba1db3e</t>
  </si>
  <si>
    <t>40f377c8-0bb9-49c8-b841-4bfa97fd13f8</t>
  </si>
  <si>
    <t>2ea8caa0-d22d-46a8-bc44-a02de721187b</t>
  </si>
  <si>
    <t>4cd1b187-bc00-499e-a9cd-4fda82b6ed2a</t>
  </si>
  <si>
    <t>e8cc023d-4f08-470f-8805-d60de92db2ff</t>
  </si>
  <si>
    <t>4a616281-2112-4577-942f-799865040f74</t>
  </si>
  <si>
    <t>f1f8d582-3852-4d1a-919f-ef0f72b6f9cd</t>
  </si>
  <si>
    <t>e985199a-efca-4e04-83cd-c21107f4dfcd</t>
  </si>
  <si>
    <t>03e1fb89-0eed-4bae-9e87-660618de18de</t>
  </si>
  <si>
    <t>0ab86ddf-2d80-413f-b6f3-28ee5e5781a7</t>
  </si>
  <si>
    <t>952f01fe-af7e-4705-9122-8c8b4c49a044</t>
  </si>
  <si>
    <t>eda1156e-ae8a-4cd7-8e13-ee95d9dd67c8</t>
  </si>
  <si>
    <t>90c8a4db-d024-431d-9ce2-d7bfa35f10ef</t>
  </si>
  <si>
    <t>a787d80c-54ae-4da6-bd75-552760f028a4</t>
  </si>
  <si>
    <t>42100ccf-f6c6-4d6a-b441-1f3fe3d1a2a9</t>
  </si>
  <si>
    <t>bb51c4f9-3a11-425f-9482-08e980a4463b</t>
  </si>
  <si>
    <t>83572bc0-a98b-4974-a84a-12ebfaa97c28</t>
  </si>
  <si>
    <t>1285a16e-72b1-49bf-87ef-745446d1ef83</t>
  </si>
  <si>
    <t>f80fe331-02e3-4290-8dce-3e9f5e45fb33</t>
  </si>
  <si>
    <t>96478f60-e495-4cd5-94b6-5a300853c173</t>
  </si>
  <si>
    <t>5515bc09-41d4-4df2-acc8-e9dd8981698f</t>
  </si>
  <si>
    <t>5c3a1287-285c-4580-9bcb-012501f807b3</t>
  </si>
  <si>
    <t>188f755a-3630-4a95-91f6-f8e8e7bd9edb</t>
  </si>
  <si>
    <t>7f19d7f2-b5d2-41f3-afc5-4860ba99803a</t>
  </si>
  <si>
    <t>58519e38-7299-40d3-9090-cc9594cf521b</t>
  </si>
  <si>
    <t>8a1142e4-bb16-4615-ba61-f3977d992143</t>
  </si>
  <si>
    <t>110e368e-aa78-46c2-83d7-f1c4fde0addd</t>
  </si>
  <si>
    <t>ac8c323a-0351-467b-8736-24584422e24b</t>
  </si>
  <si>
    <t>acbeb618-fde9-4ca1-a99e-1dc7d5947009</t>
  </si>
  <si>
    <t>c42126c5-c0a1-4e5f-a117-020bd9e4be61</t>
  </si>
  <si>
    <t>077a7f33-d413-4746-9f2e-36d1ec035f3b</t>
  </si>
  <si>
    <t>e5709787-9448-4bb8-951c-d9c9cb903869</t>
  </si>
  <si>
    <t>4cb83513-7d21-4630-99a3-d1eb8e31e1cb</t>
  </si>
  <si>
    <t>7657b614-8fc2-4717-a058-e1e364364e9b</t>
  </si>
  <si>
    <t>eba77d51-4168-419d-be21-05e6f08009fd</t>
  </si>
  <si>
    <t>798617d9-a765-4322-bd6f-f3dc027a5bad</t>
  </si>
  <si>
    <t>25efb1eb-18ee-475d-b148-69de4b54fbb7</t>
  </si>
  <si>
    <t>092c57fc-fea9-4019-8558-f9f864270fc0</t>
  </si>
  <si>
    <t>4ca5c474-bd52-490f-ab7d-d0d3f9938e37</t>
  </si>
  <si>
    <t>6bf28c12-1947-4260-b255-6ce63b3b4062</t>
  </si>
  <si>
    <t>96bd33eb-a30f-425f-bd1d-598d8928e1ae</t>
  </si>
  <si>
    <t>50131fcd-4403-4b3e-b5ff-58c94c6daa2d</t>
  </si>
  <si>
    <t>599bd2cc-f71c-411c-b71d-f5dc899e878d</t>
  </si>
  <si>
    <t>f0f05b73-e62a-429a-a8bc-00fe6de1e5bd</t>
  </si>
  <si>
    <t>d9fad02a-f8dd-45ce-9d4c-ca937d6181c4</t>
  </si>
  <si>
    <t>47bdc74e-e116-4394-8bea-727be9138db1</t>
  </si>
  <si>
    <t>5a8478b5-9d87-4c65-a99f-32046b59eb10</t>
  </si>
  <si>
    <t>03a31b13-ff2f-4af1-9fdd-af8fd9339161</t>
  </si>
  <si>
    <t>6b1da2f2-846e-4f6a-9bab-0ad202cdf5c4</t>
  </si>
  <si>
    <t>20ffa659-9bf6-4726-bdc7-d4a550241d08</t>
  </si>
  <si>
    <t>063e7149-7d0c-4420-80f6-bcd742ad3247</t>
  </si>
  <si>
    <t>63bd9c75-cfd6-45f4-a5f8-b098d9787f4b</t>
  </si>
  <si>
    <t>fe70b736-7b88-4f8a-8af4-2869c33618ca</t>
  </si>
  <si>
    <t>3900876a-1080-45a3-8c31-efebfc9d6561</t>
  </si>
  <si>
    <t>2bea375d-4722-4f68-8a82-7cd1941ba40b</t>
  </si>
  <si>
    <t>7077c005-d563-45a3-b9ea-b20e5264afe4</t>
  </si>
  <si>
    <t>c08f0342-b2d6-4251-b4ed-8a089c53a7f7</t>
  </si>
  <si>
    <t>90f11b30-a76d-4dfe-b823-8de61164438c</t>
  </si>
  <si>
    <t>a8e8fdad-0197-4240-8fb3-7c5d29b4a1b3</t>
  </si>
  <si>
    <t>2bcca0a8-47dc-43a4-adec-259708d8eab5</t>
  </si>
  <si>
    <t>1f61fefd-7630-42d2-a172-29030f6d8573</t>
  </si>
  <si>
    <t>7240df26-479a-426b-9b0d-ef4361fa757b</t>
  </si>
  <si>
    <t>b419ee9c-5b8f-498e-bad7-c2344f19a3d3</t>
  </si>
  <si>
    <t>0bb08d8e-461a-4397-8f06-367ebeed8cc2</t>
  </si>
  <si>
    <t>8d7853de-c879-4bec-9ed6-bb8631bf1ee2</t>
  </si>
  <si>
    <t>0e173b0a-be06-4adf-a6a1-ba2376d52313</t>
  </si>
  <si>
    <t>bf3c25c5-315d-4695-938a-22cd1ac16d43</t>
  </si>
  <si>
    <t>437e662b-9995-4f85-b90e-1bc5d20c345c</t>
  </si>
  <si>
    <t>896b6990-8730-40fd-a54a-fb30b331de59</t>
  </si>
  <si>
    <t>24f13f92-56e1-4f94-90d6-3143104ac8c6</t>
  </si>
  <si>
    <t>6c978b04-7ff3-4891-87eb-12cd78f88b7a</t>
  </si>
  <si>
    <t>d3210890-05dc-4f35-b5f0-fb68e21d9051</t>
  </si>
  <si>
    <t>17cf8d49-71f4-45bc-8c95-a4bbf511f927</t>
  </si>
  <si>
    <t>d973242b-f95c-4c6a-a56c-210411b86809</t>
  </si>
  <si>
    <t>ff951bea-aa26-4157-9ffe-d37f7f5405aa</t>
  </si>
  <si>
    <t>b921d4b2-da8a-4466-99ca-e6d7c099250a</t>
  </si>
  <si>
    <t>724d33fe-ddb7-4931-86c3-6cee52e534a3</t>
  </si>
  <si>
    <t>04881d40-f033-4611-ac10-d0c1ab87d4a7</t>
  </si>
  <si>
    <t>7620d3dc-9a0c-4c29-941e-922f090faa4d</t>
  </si>
  <si>
    <t>3b762b86-2120-46d9-80b9-47d88a13942f</t>
  </si>
  <si>
    <t>b5afcdcb-383a-42e5-86ab-1b30543073b7</t>
  </si>
  <si>
    <t>8fcf99a5-5111-4607-b4cf-67011c5a1b12</t>
  </si>
  <si>
    <t>8cd82bdd-2175-4a7c-a62b-f7b388f3b0ce</t>
  </si>
  <si>
    <t>ad75ef7a-f9e5-45f6-9c71-db54012fc6eb</t>
  </si>
  <si>
    <t>a6b2106b-3bb0-4d45-9992-a59d1e1d2d57</t>
  </si>
  <si>
    <t>11b8f231-a5ee-4b8c-b417-00a8ec8848bf</t>
  </si>
  <si>
    <t>30c3c311-e48b-4015-be4f-4dbe27184f75</t>
  </si>
  <si>
    <t>ec058db1-e7b9-4d06-845d-aac22eeb4c27</t>
  </si>
  <si>
    <t>b37aabbd-dd3e-494d-ac7a-45e04feda29f</t>
  </si>
  <si>
    <t>41d63520-9ee4-4162-a0ac-91c3acb64174</t>
  </si>
  <si>
    <t>c412ff3a-ad0d-4d38-9a1c-4274cda09262</t>
  </si>
  <si>
    <t>96be13de-998c-4108-a6af-903d0446149c</t>
  </si>
  <si>
    <t>f76ce475-14d9-4ade-aa02-1a82f383254d</t>
  </si>
  <si>
    <t>892eab88-158b-46e9-a4fe-b84aeee9cfaf</t>
  </si>
  <si>
    <t>54ebf3c8-5b88-4f36-99fb-a3050807a0e5</t>
  </si>
  <si>
    <t>fe738c81-e695-4230-92da-c41c619c95ef</t>
  </si>
  <si>
    <t>9cd3b076-224c-43a1-be88-27afed1a728f</t>
  </si>
  <si>
    <t>d8a73260-8b7c-4d89-94df-c4b198cc8d26</t>
  </si>
  <si>
    <t>66eba892-1f55-4f56-902c-c3f39c5bb119</t>
  </si>
  <si>
    <t>100810cb-d1ab-4bc9-ab54-e1b7a4df18cd</t>
  </si>
  <si>
    <t>e8ca821d-fab5-446a-8f6f-6c018a1926e8</t>
  </si>
  <si>
    <t>049aa4cc-a8e2-42ff-af02-ea2d5f0df9df</t>
  </si>
  <si>
    <t>7c04ec6a-341f-4973-9054-a7e9f7a3a5e8</t>
  </si>
  <si>
    <t>5bf609ac-db79-4937-86c6-4b5321b2e248</t>
  </si>
  <si>
    <t>564217ea-0777-4a5f-a2f8-5ca4264b1ace</t>
  </si>
  <si>
    <t>4a0bdeb0-1d5a-437f-bcc3-d4e9b949252f</t>
  </si>
  <si>
    <t>2235e6da-bc6d-47eb-92ec-b4ed071529a6</t>
  </si>
  <si>
    <t>7089c524-0f30-45ec-aaff-c5eb65a1a242</t>
  </si>
  <si>
    <t>f9e04143-9cb6-4a9d-bde9-55d31aebe31f</t>
  </si>
  <si>
    <t>4c3f99fd-23c6-4320-97ff-f9d2ecfc5a7e</t>
  </si>
  <si>
    <t>bf2c52f4-ff92-4134-90e6-fa1437d201fa</t>
  </si>
  <si>
    <t>769f88e7-fc72-44f0-ac22-cb34d4efa5b3</t>
  </si>
  <si>
    <t>0fddef82-4945-46de-9cfc-c743880a9036</t>
  </si>
  <si>
    <t>ee23bde0-6c2e-4341-9932-9e87d5320567</t>
  </si>
  <si>
    <t>7cc54329-4b91-40de-9b9f-dc44f7026811</t>
  </si>
  <si>
    <t>18ee8ad0-1ee6-456f-807d-7cdcae3c90a6</t>
  </si>
  <si>
    <t>5f96c441-9e66-4c74-82d8-a96eea949281</t>
  </si>
  <si>
    <t>db582a0c-a11a-4a80-8869-9896755792d2</t>
  </si>
  <si>
    <t>4973e2c2-230e-4655-873b-20ca18335424</t>
  </si>
  <si>
    <t>2d675173-a0df-4287-b4d1-16791341d228</t>
  </si>
  <si>
    <t>a96b9928-658e-496e-abb3-b6d5340f604a</t>
  </si>
  <si>
    <t>3c2f0e8e-c587-4fb1-ba42-3833751b6e4a</t>
  </si>
  <si>
    <t>0c4d6279-ed60-4491-8a79-4292c31401a0</t>
  </si>
  <si>
    <t>7f613658-caae-4b09-94f5-533f610f40e1</t>
  </si>
  <si>
    <t>ffe2723b-54ba-495b-960e-4f9f226eb56c</t>
  </si>
  <si>
    <t>d3b16da2-e7c9-4fde-ac23-b5722819582b</t>
  </si>
  <si>
    <t>0c36bae3-543a-4d12-8047-6b4f3bc819a9</t>
  </si>
  <si>
    <t>18dce766-1343-452a-9db7-0a8795335a16</t>
  </si>
  <si>
    <t>5c274bab-bc88-44da-86ab-c796308b6a7d</t>
  </si>
  <si>
    <t>5ff9a1d4-af5b-45d5-b1be-84bc6757dd85</t>
  </si>
  <si>
    <t>3468b330-b26b-4e7d-b69c-1ba33e9b26b5</t>
  </si>
  <si>
    <t>c62b9d4c-45de-4bcf-a747-4a2dfb888c17</t>
  </si>
  <si>
    <t>f6d71528-16ef-46aa-84ed-842941631e89</t>
  </si>
  <si>
    <t>13a27d6d-689d-4b05-87a0-5c10a1d8072d</t>
  </si>
  <si>
    <t>812a67ad-a575-46df-8ba1-ed5d48a2e030</t>
  </si>
  <si>
    <t>ea5b1f51-c31f-433f-8042-2582042e4387</t>
  </si>
  <si>
    <t>fc007188-3f7d-43d7-bc49-bb7784db398e</t>
  </si>
  <si>
    <t>000f9529-9aa3-4527-b566-5bcbc23bb728</t>
  </si>
  <si>
    <t>034d65de-3303-4aac-bf27-ceca056b70be</t>
  </si>
  <si>
    <t>df12d4f8-5671-4ed0-980f-852d288499c0</t>
  </si>
  <si>
    <t>a7f1e631-9471-472d-a06b-99bf0b3e8ab5</t>
  </si>
  <si>
    <t>7b2b0354-fd0f-47b0-90c6-a247eacc3a48</t>
  </si>
  <si>
    <t>a5bc45db-63e1-42cc-9dd8-a42f1d31ff6d</t>
  </si>
  <si>
    <t>a1201b87-9a01-41c6-9f6c-bf0ba4be4a2c</t>
  </si>
  <si>
    <t>67a430f8-79bc-458d-82a0-1cea52480810</t>
  </si>
  <si>
    <t>adb1c831-eb45-4199-a126-1eb2fca2e032</t>
  </si>
  <si>
    <t>efa18b77-8926-4489-97b0-2af12a25b891</t>
  </si>
  <si>
    <t>b126ca12-37b2-473b-b378-9cb088a01fcc</t>
  </si>
  <si>
    <t>0db245cb-fb4b-4a68-bba9-4f10fb7dc764</t>
  </si>
  <si>
    <t>8d1da819-eeb5-48f9-affa-a5ee4b2cb7b9</t>
  </si>
  <si>
    <t>62b6d019-e459-4fc9-9f44-84ef80e18e4b</t>
  </si>
  <si>
    <t>b5f720f5-b5c8-438d-921a-ba8b738cdb73</t>
  </si>
  <si>
    <t>326bca3b-20ee-49a8-afea-80442ee1776a</t>
  </si>
  <si>
    <t>818c6a9d-35a3-47cc-a1fd-1caee8653d5d</t>
  </si>
  <si>
    <t>c182907b-811e-430a-9075-91f5d5122bd1</t>
  </si>
  <si>
    <t>acc97a68-a321-45fb-aa37-a7ae4d9b7c3d</t>
  </si>
  <si>
    <t>03c300b0-cea1-439c-a5fc-6eafb1cd9b82</t>
  </si>
  <si>
    <t>e963a187-dd6a-40fc-bf63-bd13a8dcb4bc</t>
  </si>
  <si>
    <t>209200c8-2518-4c5d-9ab7-51499f557912</t>
  </si>
  <si>
    <t>63f35906-5ada-4111-9d43-31b611737345</t>
  </si>
  <si>
    <t>07e94c7c-0393-44b6-8ffc-b5b005e2d65f</t>
  </si>
  <si>
    <t>4e78dcbf-8d42-48de-9531-1c1853e36527</t>
  </si>
  <si>
    <t>f82dbdc1-1a5c-470a-9797-494ae60452a9</t>
  </si>
  <si>
    <t>fd54e98e-3ec2-45f6-ab25-85f3250fccf3</t>
  </si>
  <si>
    <t>c80fa1f9-4445-4bdb-b682-7db5743c0daa</t>
  </si>
  <si>
    <t>5b235306-61e8-4860-bfa8-090880fb66f8</t>
  </si>
  <si>
    <t>6eeac274-2eae-4ec1-a982-4446c80869d4</t>
  </si>
  <si>
    <t>ee94419d-84c2-4a15-a05f-17230a92937e</t>
  </si>
  <si>
    <t>1f2e8e4e-ba89-43d9-8eca-911607b37da3</t>
  </si>
  <si>
    <t>111e21cb-d278-4f90-bbaa-e838721ede8f</t>
  </si>
  <si>
    <t>e6d5edaf-224f-4a84-b923-8066025ca261</t>
  </si>
  <si>
    <t>7f388a37-be40-4e9d-867f-3d36dc3143e3</t>
  </si>
  <si>
    <t>6dcb8a56-a51b-4460-8198-b9bc84ac6a68</t>
  </si>
  <si>
    <t>0c359081-fe37-4b06-ba67-3bad0c0fd18b</t>
  </si>
  <si>
    <t>eade1240-7530-4c65-8471-093af374fff4</t>
  </si>
  <si>
    <t>5386ac00-4ed5-426f-925b-67704e172a28</t>
  </si>
  <si>
    <t>e340d93d-d924-4ae3-8f6d-8c9403d63eb1</t>
  </si>
  <si>
    <t>083e6d36-a2ef-4016-b4f3-42414a29ceba</t>
  </si>
  <si>
    <t>5559cb10-7f97-4d99-b5e4-a13af875b1e7</t>
  </si>
  <si>
    <t>24bae03f-ba26-4204-afc0-4c67623a4c41</t>
  </si>
  <si>
    <t>aa9692dc-f092-4be6-913f-794096ecfc07</t>
  </si>
  <si>
    <t>3e9d88bf-f01e-4cd3-acc2-891fd06dba01</t>
  </si>
  <si>
    <t>6194f6ae-c043-4912-9686-afa770f293b6</t>
  </si>
  <si>
    <t>0ea4f57e-b855-4d8c-83a6-0d9b4b1061da</t>
  </si>
  <si>
    <t>65250a4a-bf14-48f3-83b2-633508e0c488</t>
  </si>
  <si>
    <t>ff3f46db-e105-47ea-9169-cf6d4959a7ae</t>
  </si>
  <si>
    <t>8972b0df-abe7-4d6f-8caa-302b44a90f28</t>
  </si>
  <si>
    <t>8b78dc6b-40e7-4556-9b20-c55a4f9aaed4</t>
  </si>
  <si>
    <t>b62ee4b5-2c5e-46f7-99a0-7afa676d10f8</t>
  </si>
  <si>
    <t>3e1b9dc2-8875-4e04-a7ba-e8eca7895aa8</t>
  </si>
  <si>
    <t>b9d53edd-28f6-4699-8f6c-7bca39edd4f7</t>
  </si>
  <si>
    <t>ab25fea7-8dde-4958-b6fa-91c3382c886d</t>
  </si>
  <si>
    <t>d34019c1-21fb-4d68-a0e4-40063d4efd91</t>
  </si>
  <si>
    <t>db51a6bb-4629-4e4f-bcc0-59cda56ead37</t>
  </si>
  <si>
    <t>e0a65ac3-43a5-4ddd-aac5-d6974032bedc</t>
  </si>
  <si>
    <t>1aa93fec-6e70-4675-88b3-c1ac897daec1</t>
  </si>
  <si>
    <t>9e946e77-5286-4e98-b7f9-0e93c873e706</t>
  </si>
  <si>
    <t>f96878c5-f2a9-4605-ada3-2d922be13453</t>
  </si>
  <si>
    <t>5c2ec7cb-8c51-49fb-bebd-10cfd2882021</t>
  </si>
  <si>
    <t>9c4c6f4f-d57f-4bcd-a121-f56cd813b24c</t>
  </si>
  <si>
    <t>59c87e4c-2845-4f43-a01f-7c8b2f549a15</t>
  </si>
  <si>
    <t>15f95fc2-2a34-43d1-8f43-f2455e67f5fc</t>
  </si>
  <si>
    <t>4fa274d2-e070-4bcf-ab31-c2a0c978cb32</t>
  </si>
  <si>
    <t>f1bb74b8-3845-439d-bdab-0fa8f0264d37</t>
  </si>
  <si>
    <t>fda77b62-4b7f-4031-bd92-05fc8b3be4a6</t>
  </si>
  <si>
    <t>570b7f36-8c72-48ba-9aa7-eb6c131c2eb8</t>
  </si>
  <si>
    <t>db2131cd-f665-4285-8ae8-20ff70b7b936</t>
  </si>
  <si>
    <t>f611d269-30b2-495b-a081-0349b3849e60</t>
  </si>
  <si>
    <t>96df88bb-4782-4bec-9540-6e1b8918fcad</t>
  </si>
  <si>
    <t>e3e2863a-fa16-4c1c-9a61-94d26f06342b</t>
  </si>
  <si>
    <t>bb7d3a24-845d-4960-a23d-40f83ffc031c</t>
  </si>
  <si>
    <t>3c71fe0e-5b72-487a-990a-b5e4867b0799</t>
  </si>
  <si>
    <t>eb05ba72-1a3f-4a02-be3d-4303c17a1817</t>
  </si>
  <si>
    <t>aee4b546-8b1d-4433-b449-5aa8a4a2a0d3</t>
  </si>
  <si>
    <t>45752e44-1faa-40a6-8705-6c65238d249b</t>
  </si>
  <si>
    <t>7ba81f7d-5f67-4026-ad59-a3bc4c2abecd</t>
  </si>
  <si>
    <t>e271e297-e19d-4033-94fd-6505b147b4ef</t>
  </si>
  <si>
    <t>7c9aadae-9cdc-4ea6-8900-67b563d4e8bf</t>
  </si>
  <si>
    <t>2565b577-140c-425a-875b-500d227d0593</t>
  </si>
  <si>
    <t>573553a2-43ee-45a8-871e-0c40827dcabe</t>
  </si>
  <si>
    <t>920b9fe9-5e66-4377-a096-2a1dbd07024d</t>
  </si>
  <si>
    <t>11605e56-1758-4ddf-8523-b192b2cfaeaf</t>
  </si>
  <si>
    <t>f757a086-098a-4c58-b947-9bba8bba6a23</t>
  </si>
  <si>
    <t>f009465a-63bf-4cba-8d16-e6340907c0bc</t>
  </si>
  <si>
    <t>913433f3-777c-430a-a878-6175b4a21b90</t>
  </si>
  <si>
    <t>5af9fabc-fa9e-4e84-bc9b-8d91b7324817</t>
  </si>
  <si>
    <t>45db19a0-030f-49f9-a429-07a99b7a53b3</t>
  </si>
  <si>
    <t>ab20bc72-90e8-46e1-bb08-eb6fbae64b1a</t>
  </si>
  <si>
    <t>4a020d10-f29e-4a1c-b080-86c03dca3569</t>
  </si>
  <si>
    <t>1732e701-5e58-49c8-af1c-29773d4ce2d2</t>
  </si>
  <si>
    <t>650a0366-18e3-4397-8ab1-96e215b62741</t>
  </si>
  <si>
    <t>c2cb46aa-efda-40db-8764-28f03a90fad4</t>
  </si>
  <si>
    <t>980604af-8795-455f-b480-aa82225399aa</t>
  </si>
  <si>
    <t>f21ee6cf-93f7-41a6-b565-2dfa0a37f717</t>
  </si>
  <si>
    <t>410403de-7762-4bf0-b7f6-0af290ba5318</t>
  </si>
  <si>
    <t>b97e2fff-266b-4ec8-8df0-d1fc245f925d</t>
  </si>
  <si>
    <t>2e57dba6-c1c2-4fbf-b37b-7e814713ee9f</t>
  </si>
  <si>
    <t>cee1de37-5536-4eea-b42c-d51866023f82</t>
  </si>
  <si>
    <t>712ae90e-5a56-45db-9935-2ccf2519fb05</t>
  </si>
  <si>
    <t>1a3a306d-3d49-49c6-b52f-172aaea0282f</t>
  </si>
  <si>
    <t>dc8a442f-9978-4798-9780-c0b2e2511279</t>
  </si>
  <si>
    <t>f11081f9-55e4-4f60-bd13-539860c943c2</t>
  </si>
  <si>
    <t>f4a7533b-0cf3-44bd-a2f0-699b93f2a4ee</t>
  </si>
  <si>
    <t>f773ba93-df67-46c4-9570-de05f8d1450e</t>
  </si>
  <si>
    <t>a2167e36-c076-4e24-a4e3-32391bbb268f</t>
  </si>
  <si>
    <t>1fea6651-a9b9-4d0d-aa97-bf9abad183fd</t>
  </si>
  <si>
    <t>f5f4b03d-96d9-4858-82af-7eef6a3a1d5e</t>
  </si>
  <si>
    <t>7f2961cd-cccb-40dc-9367-6ac527f1626f</t>
  </si>
  <si>
    <t>e78dc85a-119a-46c8-b464-b30088512bf0</t>
  </si>
  <si>
    <t>16760393-5074-4e85-b5a9-1ecb5c2925d8</t>
  </si>
  <si>
    <t>4846645c-52cf-445b-ae56-ab6999790f0c</t>
  </si>
  <si>
    <t>3f47ec87-3237-4049-951f-672cf7554b9a</t>
  </si>
  <si>
    <t>e1d911b5-2599-48c5-999b-10258ffca13b</t>
  </si>
  <si>
    <t>a708b408-0a70-493e-ae37-7a808e2f0ce8</t>
  </si>
  <si>
    <t>f0921569-c648-461e-a8b9-34cbd6a4b046</t>
  </si>
  <si>
    <t>dd5cfe45-5bba-4fe6-8cb0-5854e40838f1</t>
  </si>
  <si>
    <t>eedd1b46-5b2f-41c7-ad8a-437167343105</t>
  </si>
  <si>
    <t>e14a8248-1b35-44b9-b558-01c8e0e760fd</t>
  </si>
  <si>
    <t>6d6e37fb-fbed-4e9f-953e-8e73177f3dcb</t>
  </si>
  <si>
    <t>e0a1095e-8e60-49a6-a48b-6ed5e2a448dc</t>
  </si>
  <si>
    <t>3ec2e402-5014-4d65-8588-7e0370114da2</t>
  </si>
  <si>
    <t>bce901a8-2726-4907-8ca3-1a3ae8dfd3c9</t>
  </si>
  <si>
    <t>9a3abd41-f85a-4faf-a83d-9061b25b303d</t>
  </si>
  <si>
    <t>1a8877bd-aaf0-4e1d-a9bf-396c5c7da612</t>
  </si>
  <si>
    <t>d0180ebe-70dd-42be-9285-949c9dfd96f2</t>
  </si>
  <si>
    <t>a9335a4f-37c1-463c-82e0-6b7bb467b2f8</t>
  </si>
  <si>
    <t>f1d23f78-ea85-442a-9a69-ad0522463fa3</t>
  </si>
  <si>
    <t>89de03a0-382d-4809-8b01-7b8fa9e27970</t>
  </si>
  <si>
    <t>ed0185f3-4930-489b-a7b8-d19b765e0d41</t>
  </si>
  <si>
    <t>3e407434-8ec7-4ef6-8011-c8ca3d5d7dbb</t>
  </si>
  <si>
    <t>3cee35b4-b0a0-4191-954d-878220c85370</t>
  </si>
  <si>
    <t>246122b3-fcf1-44d6-944c-9491b619fb8d</t>
  </si>
  <si>
    <t>a15c75ca-4bec-4af5-acfd-0ea0e3783b7a</t>
  </si>
  <si>
    <t>4613455d-a6ef-45b7-b45c-d79844e0b8ce</t>
  </si>
  <si>
    <t>e0ee12ac-13f7-4d90-bea7-f3203a58ced8</t>
  </si>
  <si>
    <t>6abbaebe-856d-4b1e-a3c6-fb1abc49d532</t>
  </si>
  <si>
    <t>8bb30e40-e12e-4d5f-8c3f-c98a4c8d4c0e</t>
  </si>
  <si>
    <t>581ebff5-06ce-4594-9c97-4502eba0c0c0</t>
  </si>
  <si>
    <t>335c91de-eee3-4cf7-a168-5335ff28fc1b</t>
  </si>
  <si>
    <t>62e55abb-e683-4411-8307-09355913b12d</t>
  </si>
  <si>
    <t>e72d34d5-324f-4261-a719-8fc024ab7048</t>
  </si>
  <si>
    <t>8c213d6e-d50f-4cf8-b8a9-fabf6bdd9f24</t>
  </si>
  <si>
    <t>ba1d5f88-e49f-4b07-a610-8f2c0e28c8e1</t>
  </si>
  <si>
    <t>84a6e994-a014-480f-b7ff-a95fbf2d91a9</t>
  </si>
  <si>
    <t>97e9b965-c252-471c-ad6b-2eed8e3be545</t>
  </si>
  <si>
    <t>cd6f1e1b-bb09-47bb-8cee-2897a51f3fae</t>
  </si>
  <si>
    <t>b898dbe7-1c41-4f3d-89f9-e3c51f510d70</t>
  </si>
  <si>
    <t>b30242dd-47a5-4813-8711-9fd3af1392b3</t>
  </si>
  <si>
    <t>a5f9a907-ab6d-4d3d-9826-eb630f346a50</t>
  </si>
  <si>
    <t>aa57d85d-a8e4-4681-9fb6-4650c2f975d2</t>
  </si>
  <si>
    <t>c92d1f54-702a-4863-af32-b11ae5ec7c68</t>
  </si>
  <si>
    <t>38111400-356c-4b28-a9db-607d2aa260bc</t>
  </si>
  <si>
    <t>1adabff9-f483-404d-8ccd-f79faf5369c8</t>
  </si>
  <si>
    <t>b048d02a-7041-41a6-bd59-8fc17f159b54</t>
  </si>
  <si>
    <t>09d8104c-8890-4a70-ab80-412d3bb772ce</t>
  </si>
  <si>
    <t>1a23e24d-5ce6-4e9b-a968-0525dec96e82</t>
  </si>
  <si>
    <t>8794d7f7-3394-4213-bf9e-2b8ae74b3958</t>
  </si>
  <si>
    <t>21a1f218-82ff-4307-a88c-d6c5b549cf31</t>
  </si>
  <si>
    <t>d599e166-d37c-4a15-8282-0935e4a07b7d</t>
  </si>
  <si>
    <t>d941541c-fa92-4003-8f81-477bb7449e96</t>
  </si>
  <si>
    <t>450f84b8-c719-440c-af56-54129d7ff1ed</t>
  </si>
  <si>
    <t>6d235488-5792-4e6f-aba9-860f90e3f842</t>
  </si>
  <si>
    <t>ce20aede-967b-47f4-9f9e-0ceb76679862</t>
  </si>
  <si>
    <t>1db4b1e9-93e1-485c-b38d-c95ab44897b0</t>
  </si>
  <si>
    <t>fa77a9dd-d438-4295-a383-fb4b61049d2f</t>
  </si>
  <si>
    <t>0fba5b4b-be3a-46c7-be4e-916cb3d3169a</t>
  </si>
  <si>
    <t>3e8e7a27-e398-40b3-91da-08a074f7b619</t>
  </si>
  <si>
    <t>4bc68fa7-0fb1-4759-8e2a-10a5dc929cd9</t>
  </si>
  <si>
    <t>ed87597a-d778-4470-9ac3-a7c6d3112fc3</t>
  </si>
  <si>
    <t>2eebceb3-bb0d-4d9a-812a-6beb35230b06</t>
  </si>
  <si>
    <t>8e643794-d8bd-41ab-80c6-5ef138387d96</t>
  </si>
  <si>
    <t>73ac14d6-56be-4a17-bd0e-f4a796904371</t>
  </si>
  <si>
    <t>0e1547ea-6abe-4513-a254-cab8943cd4c6</t>
  </si>
  <si>
    <t>cb5544c4-7e3f-4816-a64d-810a6f89eedc</t>
  </si>
  <si>
    <t>39c4328b-22b6-458e-82e0-94b4cb14d761</t>
  </si>
  <si>
    <t>cd753471-9fea-4dae-b6d8-669381e9d9ed</t>
  </si>
  <si>
    <t>6e58e4ea-d16a-4300-90f8-31e474466bd9</t>
  </si>
  <si>
    <t>ab55345b-5db0-401d-9fff-3a3223c34c3e</t>
  </si>
  <si>
    <t>1b3d7903-6d24-48e2-8371-d6362bd4f347</t>
  </si>
  <si>
    <t>e9031184-bb58-4b34-85ec-90b7e7e8f540</t>
  </si>
  <si>
    <t>6c435b2e-cbed-45b7-a0f6-37db56c9e72e</t>
  </si>
  <si>
    <t>405a77f3-e1fb-4252-9ec2-bf57937769f8</t>
  </si>
  <si>
    <t>d9f7b9d2-5539-4f5b-9011-a811023a901f</t>
  </si>
  <si>
    <t>971347c4-66ae-412b-bdf9-535b794ea1ce</t>
  </si>
  <si>
    <t>f6d75c47-7d82-433e-9bcd-ea2c968e5726</t>
  </si>
  <si>
    <t>b18116ba-174c-40a1-98e9-382926a0056e</t>
  </si>
  <si>
    <t>5d0eb82d-82e9-432b-8043-99b30d573afc</t>
  </si>
  <si>
    <t>41528ffc-955c-485a-8290-2f30789ee51d</t>
  </si>
  <si>
    <t>ff0b46a6-074e-4da3-97ca-aaec87b0b496</t>
  </si>
  <si>
    <t>1ac4a8b4-3c58-4365-a6d8-484a1dfead3e</t>
  </si>
  <si>
    <t>2a1a7cbc-2b68-406b-9094-48bd9bea3296</t>
  </si>
  <si>
    <t>5e119802-c7bf-43ae-b626-3292e8733495</t>
  </si>
  <si>
    <t>f5e5c8a0-fdf6-49ac-b285-6abbfed7ac98</t>
  </si>
  <si>
    <t>4f48b51d-c119-45a7-88cb-5ce9e2adf786</t>
  </si>
  <si>
    <t>c19caf86-6571-471d-9f82-9ee7dbc93777</t>
  </si>
  <si>
    <t>875f9bf6-df81-4c1d-be01-3426142a3691</t>
  </si>
  <si>
    <t>7f91c954-bdad-4e12-bec8-0e810dd2ed10</t>
  </si>
  <si>
    <t>1881aa71-1f1d-46a8-a7b9-1b671e695a16</t>
  </si>
  <si>
    <t>62b58ea6-e310-4d53-9a57-be33b4158720</t>
  </si>
  <si>
    <t>34500c52-20fe-40cd-91e3-412d0381712b</t>
  </si>
  <si>
    <t>ca5bd12a-e03c-4f54-9cb0-43f68e7de4c0</t>
  </si>
  <si>
    <t>aebda262-7ac5-48a9-bc11-6572c5eae628</t>
  </si>
  <si>
    <t>1462bdd4-cbb1-4879-bae9-5ee2b65a8ac9</t>
  </si>
  <si>
    <t>2a709594-853b-4ff5-b0b6-4234dd596310</t>
  </si>
  <si>
    <t>cb3c7e43-2d85-47e1-93df-0adc7d546090</t>
  </si>
  <si>
    <t>7c8e5d0a-fd3e-4658-aa81-a1391809f928</t>
  </si>
  <si>
    <t>6ac6ee49-9448-4499-94c8-fa85b66927cd</t>
  </si>
  <si>
    <t>218f34ce-a92f-44dc-9929-1bec42ce16a9</t>
  </si>
  <si>
    <t>043fd161-c468-4991-82f3-05d886a4ac1a</t>
  </si>
  <si>
    <t>ed224171-b792-445d-b4a6-5d9ec064a165</t>
  </si>
  <si>
    <t>523d09b9-11cc-44ae-8a72-0a2955192328</t>
  </si>
  <si>
    <t>5b0f3140-e769-4a4b-98b0-27fb158ab50a</t>
  </si>
  <si>
    <t>c0b615cd-4c82-49ac-92f6-ebfe17d4bedd</t>
  </si>
  <si>
    <t>a0ba9f3f-ae0c-49ad-9799-dfb44a8aa19f</t>
  </si>
  <si>
    <t>ba817b0a-e380-4a99-9a6a-6afb071c69b1</t>
  </si>
  <si>
    <t>beaa1ecc-6d21-4c41-8e6c-3a8011c8851d</t>
  </si>
  <si>
    <t>adb286cd-a11e-456e-a14d-c000e5ca16fa</t>
  </si>
  <si>
    <t>b0f6ad0c-a13d-4b18-87c5-9e236d85e693</t>
  </si>
  <si>
    <t>7c290c41-3665-432c-a396-952e6a468cc8</t>
  </si>
  <si>
    <t>784163f5-69e5-4d41-8323-867b60627239</t>
  </si>
  <si>
    <t>a62911b8-e3cc-4ae4-9a0a-8376c6f59287</t>
  </si>
  <si>
    <t>455e94cf-3322-4663-9b9c-5295012d8679</t>
  </si>
  <si>
    <t>acdfce97-ed15-4570-97b1-414fbac773d8</t>
  </si>
  <si>
    <t>9e28d9df-1e20-44c3-baeb-3bbb532a9ee7</t>
  </si>
  <si>
    <t>1f49eef9-5d3a-45c1-8bf2-3792166f6224</t>
  </si>
  <si>
    <t>919e2f3b-875b-4a47-802d-79be884a906f</t>
  </si>
  <si>
    <t>377746d8-f44d-4ca6-baf9-4a9c438b0313</t>
  </si>
  <si>
    <t>185d55ca-4b42-44c0-b506-dd12a86e4a71</t>
  </si>
  <si>
    <t>dc0969ec-0bc0-45fc-8323-063c97261ee8</t>
  </si>
  <si>
    <t>d94c70dd-dbd3-4a14-9e0d-ee315611a090</t>
  </si>
  <si>
    <t>9509a32a-3f01-439c-93c7-34498b883935</t>
  </si>
  <si>
    <t>0db04131-4a03-476e-a9bf-d07ef174c687</t>
  </si>
  <si>
    <t>20c2322a-f88c-4d39-8ed0-7a92710849f3</t>
  </si>
  <si>
    <t>9ce2d758-a6d6-435f-987f-54793368b03e</t>
  </si>
  <si>
    <t>51311e1a-9ea1-4227-a024-a849857bc2d2</t>
  </si>
  <si>
    <t>fb7a651d-a69b-4280-8132-5f6236378021</t>
  </si>
  <si>
    <t>c6c5f090-297c-4105-952f-7b25e5ab74f2</t>
  </si>
  <si>
    <t>e8e0bebb-3793-46fe-ad2d-ccf0e69722c7</t>
  </si>
  <si>
    <t>42cdd93d-13a2-4e5c-9fe9-2a983fc9ef3b</t>
  </si>
  <si>
    <t>be0a4616-34b6-4b48-bb63-02027cd26cbe</t>
  </si>
  <si>
    <t>b6bb93a1-aef7-45a8-aa53-17ecdc61c3e7</t>
  </si>
  <si>
    <t>2a98ec93-3d06-4724-a162-1dff981bbd79</t>
  </si>
  <si>
    <t>e0a5a63d-42eb-4bf9-bcf4-fb21f65db5f0</t>
  </si>
  <si>
    <t>ae74fecb-03c9-4e73-85dd-e963dac4d56f</t>
  </si>
  <si>
    <t>7ef9acf0-6ae1-4664-a136-7cbff5774fc9</t>
  </si>
  <si>
    <t>75ab1e0c-f06b-4eae-9bc4-ab1fb39498ba</t>
  </si>
  <si>
    <t>49a44b61-e623-4f49-9e0a-ce458d607213</t>
  </si>
  <si>
    <t>2b81147e-ca76-499c-9b06-ae4a0dd6b8ee</t>
  </si>
  <si>
    <t>979eb9e0-0e40-42bf-844e-7ab0d8ff35e7</t>
  </si>
  <si>
    <t>e63dfee3-5ae0-4a72-b071-96f8c7b8ca70</t>
  </si>
  <si>
    <t>e2f62dbc-c58b-452b-8e92-c0a6fa8ecf18</t>
  </si>
  <si>
    <t>85f123bb-5b94-47db-beca-7e79e3574f72</t>
  </si>
  <si>
    <t>c4781d7f-5ff3-488b-9d07-ec9f3e524a7c</t>
  </si>
  <si>
    <t>7e11ca79-71a2-4568-8f70-5cf9b05b7785</t>
  </si>
  <si>
    <t>2f626f09-6081-42c3-99de-f32bfbc8a022</t>
  </si>
  <si>
    <t>241e530f-6ce1-4426-a40a-bcd9255a1f83</t>
  </si>
  <si>
    <t>57d3f7a6-d7b1-46b0-9e6b-9b776c37af47</t>
  </si>
  <si>
    <t>2115c108-0400-4dab-996e-c126663ab3bc</t>
  </si>
  <si>
    <t>2f4c4209-9d2c-4889-99d0-d262e3a4cf90</t>
  </si>
  <si>
    <t>a8d44f83-6757-40a9-bd7c-e38012edf97e</t>
  </si>
  <si>
    <t>c5476701-b6fa-41db-ae56-9ab52503420e</t>
  </si>
  <si>
    <t>3b547fea-cdf0-4188-b4da-fa854b9ad602</t>
  </si>
  <si>
    <t>eecf91a0-7796-42dc-abb5-0beb8e7f725e</t>
  </si>
  <si>
    <t>35c5bccc-174e-4abb-9102-02eb1bdefb34</t>
  </si>
  <si>
    <t>ac95ceb0-c783-4e04-87db-ecc5d6e6ca05</t>
  </si>
  <si>
    <t>69b67dde-9488-4e0b-aa59-28a0355f5a7c</t>
  </si>
  <si>
    <t>32f14dfa-115d-4546-a5d3-01bbee6765f5</t>
  </si>
  <si>
    <t>6bdd5f2c-afaa-4aa1-89a5-21d5de39ebd8</t>
  </si>
  <si>
    <t>4824ce2b-3f24-4ba0-ae4e-acaf18b87f94</t>
  </si>
  <si>
    <t>be428310-5c53-44f6-ba38-54a837c7df4b</t>
  </si>
  <si>
    <t>c049164c-5098-458a-b3da-2ad98d40fc8e</t>
  </si>
  <si>
    <t>9d2acb3c-4d5c-4605-b4a9-6b4a847b352e</t>
  </si>
  <si>
    <t>cb209521-437f-443e-a86f-2d7dad223b5c</t>
  </si>
  <si>
    <t>30691011-56ec-4527-b37c-9410fb30f0e3</t>
  </si>
  <si>
    <t>86e185c9-f2f6-4b6d-99ed-4a6b175944a2</t>
  </si>
  <si>
    <t>110cd91f-3fcc-4a0b-abf2-908d64fc09ec</t>
  </si>
  <si>
    <t>2721fa0d-ca91-4396-974f-db26b8c5eee7</t>
  </si>
  <si>
    <t>31089f52-302b-498a-8783-9300ca974b48</t>
  </si>
  <si>
    <t>f307ec66-fae9-4f23-9298-34978c5133cd</t>
  </si>
  <si>
    <t>a83f53ed-6723-4054-a51c-ec4ae666073d</t>
  </si>
  <si>
    <t>d6c2ab6c-040f-4326-be3e-32daea517ebf</t>
  </si>
  <si>
    <t>2379a5de-36a4-4ae2-8ec7-edd1551db614</t>
  </si>
  <si>
    <t>027e7fce-3ab2-4d92-a170-d59e8750b7a5</t>
  </si>
  <si>
    <t>b137cb32-01a5-4218-9dde-91e1160f9abb</t>
  </si>
  <si>
    <t>d98b8333-e05e-4eb9-8223-d70cb7987a78</t>
  </si>
  <si>
    <t>c976c536-0fe1-4624-b63e-5149380d1df8</t>
  </si>
  <si>
    <t>c513a02a-2bfa-4321-8c05-939c5c7ddd16</t>
  </si>
  <si>
    <t>7afb6083-7b88-4e2e-9374-9513086054f0</t>
  </si>
  <si>
    <t>4705c4ec-c8c1-4d4a-b195-9f233b7a88f1</t>
  </si>
  <si>
    <t>94bdc055-0f44-40c0-bc95-740d242897a4</t>
  </si>
  <si>
    <t>04c7aa88-2fed-4bca-8c6e-febec9f33f1f</t>
  </si>
  <si>
    <t>02587ee7-ca6d-4834-b021-f393fd45fd60</t>
  </si>
  <si>
    <t>94adcc56-fa84-4555-9cf2-c5b90d2a3450</t>
  </si>
  <si>
    <t>299a2ac9-1487-409c-8fa7-077e60e32a28</t>
  </si>
  <si>
    <t>d71cbd94-3ec0-48b4-8bd8-5ec174fb6b21</t>
  </si>
  <si>
    <t>42beb084-7c8f-4aec-b88c-d3e7e3b8a95a</t>
  </si>
  <si>
    <t>1f667859-0941-41c9-886f-7b6bdf58cd31</t>
  </si>
  <si>
    <t>7b47233c-ef82-4a1b-826f-b0c40258abe1</t>
  </si>
  <si>
    <t>bcc3f3a3-b3f8-4d60-982c-74f28b026f95</t>
  </si>
  <si>
    <t>1fdd17d1-28ce-4779-970e-f37b7fd7c4b6</t>
  </si>
  <si>
    <t>1ae98f73-78e3-4411-a151-855d1218c602</t>
  </si>
  <si>
    <t>85534167-8515-4b46-805e-6827fa997294</t>
  </si>
  <si>
    <t>50fe81a1-6eeb-49b4-a14c-14c4775248c6</t>
  </si>
  <si>
    <t>547652cc-2fab-4b5b-b1fa-6331dbe39fd7</t>
  </si>
  <si>
    <t>71e147dc-e818-4794-bb2e-1808f1dc944e</t>
  </si>
  <si>
    <t>bde76f2c-7ea8-427a-87cc-a53c936ca4c2</t>
  </si>
  <si>
    <t>8aa1160a-2084-4e0a-94cd-8d489dcd6792</t>
  </si>
  <si>
    <t>f19f847a-ecad-4290-8ab8-ade058848f98</t>
  </si>
  <si>
    <t>194640a6-0950-41ea-945b-337f50dd961a</t>
  </si>
  <si>
    <t>90639476-135f-4478-9145-4f767a8d8ca3</t>
  </si>
  <si>
    <t>324c5326-eec4-4c2e-ad75-e5afd6ea348b</t>
  </si>
  <si>
    <t>01147d38-bfb8-41e9-8457-681a5972bcf7</t>
  </si>
  <si>
    <t>c389e34f-3ca0-4d45-9bb9-112b9c45cb69</t>
  </si>
  <si>
    <t>600dc15f-33f0-4a93-89da-1b79857fb0e7</t>
  </si>
  <si>
    <t>f5dd8200-a3bb-4230-a186-bf359ee9c51f</t>
  </si>
  <si>
    <t>a4e5a2f1-0e5b-4086-b8cc-37e7793a26b4</t>
  </si>
  <si>
    <t>25cf0546-c1a2-4c4c-a632-dc3cfad17461</t>
  </si>
  <si>
    <t>d569d2d9-587d-4952-82ed-dab4f6f206b6</t>
  </si>
  <si>
    <t>bdfbcf7f-da5d-42fd-9d81-e3690c61ed96</t>
  </si>
  <si>
    <t>35f01576-cecc-4e0b-b018-0529fe52ded0</t>
  </si>
  <si>
    <t>af6a435b-7af3-4051-87d0-0329ab2fd30d</t>
  </si>
  <si>
    <t>3f9523af-9a46-420d-98fc-f659040a5cf6</t>
  </si>
  <si>
    <t>8a4b75a1-ccb7-4b4d-ac58-589f00004bf7</t>
  </si>
  <si>
    <t>02933b17-d8cc-41cf-b99f-cb121f05e371</t>
  </si>
  <si>
    <t>bda904f0-9d69-4c53-ab43-18475e8067f5</t>
  </si>
  <si>
    <t>504d5892-6a79-4085-bd2b-5e87d69aff6a</t>
  </si>
  <si>
    <t>97223740-0bdd-4b0a-aff7-34a0f7f9fe9b</t>
  </si>
  <si>
    <t>09b3b3fc-ecb8-4150-8af2-1fd5fd77848a</t>
  </si>
  <si>
    <t>eee72d4c-6196-4518-9f64-63cd3f35f187</t>
  </si>
  <si>
    <t>a78c041b-8c5e-4ca4-8676-021d50758bb8</t>
  </si>
  <si>
    <t>512b6de7-4477-4c82-b340-ed0afe5da054</t>
  </si>
  <si>
    <t>96ca8f8f-100e-4170-b8af-70e866039e92</t>
  </si>
  <si>
    <t>8ca85e2d-0163-4319-8e20-d536bd41e11f</t>
  </si>
  <si>
    <t>2626db02-96c7-46a6-876a-1902b2208723</t>
  </si>
  <si>
    <t>ae2c2c1b-1bdf-4917-a4c3-aa3a9a5eae06</t>
  </si>
  <si>
    <t>71f91240-06a5-4b6b-b3b3-06555928c40f</t>
  </si>
  <si>
    <t>8d107240-a7b7-4ac4-b4e7-c720bca6bb1d</t>
  </si>
  <si>
    <t>1837a2a8-a5dc-461d-a7fc-33334f94a23f</t>
  </si>
  <si>
    <t>33ec85a5-f092-4444-8c02-e13b2191df46</t>
  </si>
  <si>
    <t>a4531e68-266b-45a5-8f50-76223362bb36</t>
  </si>
  <si>
    <t>b818eeb6-3f9c-4c3e-9bac-171b60a1de1b</t>
  </si>
  <si>
    <t>09aede24-431b-402b-b326-421b33d3ea04</t>
  </si>
  <si>
    <t>38021582-16c6-4658-bb5a-d05fc5af3ecc</t>
  </si>
  <si>
    <t>89813092-bc2d-455c-8bce-bc46ace6866d</t>
  </si>
  <si>
    <t>2684af69-7cee-4955-bc61-d5d44bdd5953</t>
  </si>
  <si>
    <t>455d3a04-5dd9-47be-ab4a-2ce72c1432ae</t>
  </si>
  <si>
    <t>f74d5e8f-f740-41d2-b8bc-98530bc356c7</t>
  </si>
  <si>
    <t>0d2951b2-987e-412b-bfd0-e8320c0681ed</t>
  </si>
  <si>
    <t>aead5b9a-e655-4cea-b118-7ca628f125ad</t>
  </si>
  <si>
    <t>c1f88aed-e4fb-4dbf-a840-eb0b622a0045</t>
  </si>
  <si>
    <t>8af56879-ec00-45c7-9456-3131d2af5326</t>
  </si>
  <si>
    <t>38c60997-616d-477a-b615-99f90b1479ab</t>
  </si>
  <si>
    <t>c03efb9b-dfad-459d-8f1a-3d5ecf05c29d</t>
  </si>
  <si>
    <t>622e0106-a9f3-4828-babb-bc2435facf3a</t>
  </si>
  <si>
    <t>51ce315a-71b8-4966-b25c-06ea5d77f0b4</t>
  </si>
  <si>
    <t>9c362402-2b81-4d10-a9cb-6860f78f1d8f</t>
  </si>
  <si>
    <t>a6156960-f986-4cf4-94f7-f3494827b48e</t>
  </si>
  <si>
    <t>d6d23c8b-2882-446c-a7a2-743fe059abc0</t>
  </si>
  <si>
    <t>76f61290-39f4-4a84-98c0-e340c7913ca0</t>
  </si>
  <si>
    <t>356df936-d87e-43dc-bf33-5369d66fbe78</t>
  </si>
  <si>
    <t>653b8bfa-5833-4cb9-b71e-9f65d398b267</t>
  </si>
  <si>
    <t>2e5c9d3d-04d3-4a91-89ed-ffcbbd49fc2e</t>
  </si>
  <si>
    <t>dd90b8d7-2c81-4756-a937-067c85bcc9f4</t>
  </si>
  <si>
    <t>81373285-7414-46fc-a0d3-8fbbfd50b2e1</t>
  </si>
  <si>
    <t>69d1b41d-7328-4582-9250-039839ecae9f</t>
  </si>
  <si>
    <t>8e1e28b1-5628-4606-830c-42feedcc8f15</t>
  </si>
  <si>
    <t>708fa477-632d-4c88-922b-e161a84f7cd2</t>
  </si>
  <si>
    <t>5675101c-2e4d-4433-9b11-0315722aca54</t>
  </si>
  <si>
    <t>d32460d8-743b-4693-82e7-6a00f034a7da</t>
  </si>
  <si>
    <t>f11fa80c-2539-46c0-ae38-78ab677988fe</t>
  </si>
  <si>
    <t>253ae6a5-28ca-47c4-bc4c-199a0851d795</t>
  </si>
  <si>
    <t>d2866b08-b6a7-4925-b83d-18e1f1f9aa1f</t>
  </si>
  <si>
    <t>5758fd28-bc6c-49c3-a673-df31cfe72fd2</t>
  </si>
  <si>
    <t>8a8f78f3-7ef4-4a8d-8570-3accf78dded0</t>
  </si>
  <si>
    <t>fcc1f1bb-3baf-4b85-a63b-a33f48c54e6f</t>
  </si>
  <si>
    <t>f822be77-233a-415a-8849-6edf3b074c6b</t>
  </si>
  <si>
    <t>696378d2-b91d-4bbc-a6fb-30fa64ca32d2</t>
  </si>
  <si>
    <t>8665c542-25ab-4980-affd-97e97e5c2010</t>
  </si>
  <si>
    <t>51fb9e93-c865-46b3-8ea2-6dab6b4f577a</t>
  </si>
  <si>
    <t>445306c3-fc67-411e-8abd-91cb1d45d7d7</t>
  </si>
  <si>
    <t>49584f5b-560b-450d-827d-e68f356b91b2</t>
  </si>
  <si>
    <t>58d1d349-ac01-48ef-ac02-5ec6653a4e20</t>
  </si>
  <si>
    <t>2d673440-7573-4077-bc30-6e83b3d5df36</t>
  </si>
  <si>
    <t>22764f20-d4cf-422a-a496-cf61ebe7e520</t>
  </si>
  <si>
    <t>edecdb55-52b4-41b6-89fe-70b30832d36a</t>
  </si>
  <si>
    <t>239d52eb-5fa3-4b0e-858e-74daf3050526</t>
  </si>
  <si>
    <t>0b6501f5-af08-400e-a69b-74e844c66dce</t>
  </si>
  <si>
    <t>18fede53-60af-4019-9b5b-cfe1cf5a8737</t>
  </si>
  <si>
    <t>fc2b606f-8eb6-41b8-a028-47693283a753</t>
  </si>
  <si>
    <t>7c3106fb-f46b-4ac1-bb47-725874ec3874</t>
  </si>
  <si>
    <t>ebb66a9c-e88f-4994-ac08-daa0232126ce</t>
  </si>
  <si>
    <t>11a529b9-52e5-42c7-a028-ae0ed4a1d2c8</t>
  </si>
  <si>
    <t>6325603b-136d-4aa6-8aab-838fb946abe9</t>
  </si>
  <si>
    <t>2a5c8b62-2cf3-48c5-8cb1-31ad8e019e16</t>
  </si>
  <si>
    <t>ecfbd7ae-db2e-4955-b749-2becda2948a2</t>
  </si>
  <si>
    <t>7939dc5a-e3e0-4ccd-9417-e8527722c6d9</t>
  </si>
  <si>
    <t>0c5ddcbd-91d2-42b5-84d8-786a8271e08a</t>
  </si>
  <si>
    <t>a1d541c4-015a-456b-9365-73605c5f9d03</t>
  </si>
  <si>
    <t>3db71963-b51b-42ce-99bb-799df3909ff1</t>
  </si>
  <si>
    <t>a86ce916-a263-4bb2-a768-d0357c242321</t>
  </si>
  <si>
    <t>d3fbe569-e772-48d6-bfc8-e1dec7da57db</t>
  </si>
  <si>
    <t>bb1a88ab-d3b9-4222-b344-77d7e8941194</t>
  </si>
  <si>
    <t>c1507e62-4b40-4266-bea8-5bd8e50ecdcb</t>
  </si>
  <si>
    <t>16f5da4d-57c6-46f5-9142-d53297b84eb5</t>
  </si>
  <si>
    <t>534c2506-7242-4cef-a393-e7c5ceaed905</t>
  </si>
  <si>
    <t>e0952a2e-765b-42d3-a15c-9e521053dded</t>
  </si>
  <si>
    <t>900b7569-8088-42fc-a3ba-0e0f114d1a7c</t>
  </si>
  <si>
    <t>341f4309-b2ec-4d04-9f54-6e2c3ca18344</t>
  </si>
  <si>
    <t>2abc7b9f-f0fb-449b-b855-04872bb3b8f6</t>
  </si>
  <si>
    <t>3391b1dc-2f58-4a6a-84c3-816a04aa1cd1</t>
  </si>
  <si>
    <t>65edd88f-e175-4bf2-89b2-aa2a05693598</t>
  </si>
  <si>
    <t>387a15f4-0f8c-4a06-a8e9-f02fd352aeec</t>
  </si>
  <si>
    <t>96a92fa0-0eb0-448d-8675-07ff2b199a11</t>
  </si>
  <si>
    <t>1dddfc99-c509-40f3-a367-ba3d116f8ff1</t>
  </si>
  <si>
    <t>351bda7a-e0ce-4c9b-b281-93c58cca8524</t>
  </si>
  <si>
    <t>c5521919-f6d8-40b2-9996-262e7a6bfae6</t>
  </si>
  <si>
    <t>17e2b92f-c320-46ae-b128-01d6406b14e7</t>
  </si>
  <si>
    <t>e018179d-bd56-4f92-8ac8-d0a2fe22c3d3</t>
  </si>
  <si>
    <t>51b3c85b-19e3-4c9a-be94-350be056b9bd</t>
  </si>
  <si>
    <t>60693a9b-21eb-41ad-aa18-cd566fb9b3d4</t>
  </si>
  <si>
    <t>c27cbd90-ddb2-40ee-81cc-1912e956a4df</t>
  </si>
  <si>
    <t>9ccce68a-a01c-44ea-bb48-cc11fd397eb0</t>
  </si>
  <si>
    <t>badf6d9d-d9c6-4bae-bb3a-4a9c7f25eb9e</t>
  </si>
  <si>
    <t>0c47041a-87cd-41ac-81a2-ad49ebbe0f6c</t>
  </si>
  <si>
    <t>d0621cb6-771e-4ac8-b3fb-a7ee4c8545ce</t>
  </si>
  <si>
    <t>265df900-657d-4b4a-9fea-8a3bf0b26b58</t>
  </si>
  <si>
    <t>2f07211a-28ed-4d61-85f9-ae1795ae05df</t>
  </si>
  <si>
    <t>2fd895b3-b0df-4d86-a9b3-3fd0be5e8627</t>
  </si>
  <si>
    <t>3d13b494-2cdd-4ae2-8adf-dbcbd541fa18</t>
  </si>
  <si>
    <t>9932dbd7-3157-41b7-8989-29766c694ade</t>
  </si>
  <si>
    <t>2cc61242-518c-4787-85c0-1c60079166cb</t>
  </si>
  <si>
    <t>dfe989b5-f9a3-4c17-b6ab-cc47d9e58b12</t>
  </si>
  <si>
    <t>3e78b4e8-a3e6-456b-919f-06708de1c0bb</t>
  </si>
  <si>
    <t>4d3e05a4-6b24-4cc7-95ab-062640f36fe0</t>
  </si>
  <si>
    <t>be2f05ae-7506-4f81-af64-89ecba65ca82</t>
  </si>
  <si>
    <t>039be0c2-5be1-4223-8a2b-6927d992390a</t>
  </si>
  <si>
    <t>1d2c1347-45dd-4a4a-8fdc-5a65a3bb84b2</t>
  </si>
  <si>
    <t>24af2849-984f-431c-addd-49c6bd9c52d1</t>
  </si>
  <si>
    <t>f0e103dd-ffbe-4f19-aafd-7325f58bda3d</t>
  </si>
  <si>
    <t>e521ede6-6fac-4a27-aa9d-518cf90b97ae</t>
  </si>
  <si>
    <t>e6ea1b01-030c-4b3b-b1d3-0b2e13bd8999</t>
  </si>
  <si>
    <t>be2f118e-f39f-470a-bdc1-e8e166cc115b</t>
  </si>
  <si>
    <t>63efd168-409d-477e-a964-fbb5eac08bb7</t>
  </si>
  <si>
    <t>039859f8-db24-4f21-b879-fc3d1a709c07</t>
  </si>
  <si>
    <t>3bf2f565-6224-4d9c-b422-a653e5923c51</t>
  </si>
  <si>
    <t>461c1c02-b25a-4f7b-9ac0-1cd00d2547aa</t>
  </si>
  <si>
    <t>f20ccb4a-920d-410f-92f0-29615d8d62a2</t>
  </si>
  <si>
    <t>da26f256-0584-442d-b5b6-99df738e76aa</t>
  </si>
  <si>
    <t>52df1775-3f45-4c3d-8616-ccbecec8b038</t>
  </si>
  <si>
    <t>fe0ba081-17a4-4d8f-a7b1-d51cee7fb21e</t>
  </si>
  <si>
    <t>4141ba92-bd2a-446b-8624-c0280f55daf6</t>
  </si>
  <si>
    <t>af7f0cb2-64f0-4895-978d-9db84fcd9676</t>
  </si>
  <si>
    <t>740dac64-e438-47a2-b8e7-c74d39e5c1bf</t>
  </si>
  <si>
    <t>78cdca36-74a5-4291-bfb9-0640a11f8303</t>
  </si>
  <si>
    <t>0f99da9d-53b3-4f06-ab29-2106fbe4e592</t>
  </si>
  <si>
    <t>f5c5ba18-f764-4dd3-8781-71bd851d85c9</t>
  </si>
  <si>
    <t>04d8f413-b347-4749-9f3f-037d1e92cdec</t>
  </si>
  <si>
    <t>0c8c6499-0f51-4318-97f2-3b815f6e335c</t>
  </si>
  <si>
    <t>ff488b5d-4a01-4724-84d8-a8e9404f9c9f</t>
  </si>
  <si>
    <t>24a67485-b7b0-46d5-8264-3c8e4c2deae4</t>
  </si>
  <si>
    <t>3edec915-b9b5-4f12-9c15-495144de3ed7</t>
  </si>
  <si>
    <t>df3f2fbe-6ab5-4a2a-a1d7-e3104e0dd582</t>
  </si>
  <si>
    <t>381ad855-b854-444e-918a-3080c9788251</t>
  </si>
  <si>
    <t>434267ff-9812-45c9-9073-7946dec2c414</t>
  </si>
  <si>
    <t>be47dfee-137c-41e3-b98e-d1c85d113b92</t>
  </si>
  <si>
    <t>7baff2b9-6772-4aa0-92d4-b66bd3c57530</t>
  </si>
  <si>
    <t>3286b5a3-fbc5-42a7-bd8d-17f799d85fb2</t>
  </si>
  <si>
    <t>2cf3936e-7689-48c6-b7da-70a32d198667</t>
  </si>
  <si>
    <t>e645d3dc-ecfa-467a-9ee7-b0e7541c70ec</t>
  </si>
  <si>
    <t>f7c8ff45-4565-4792-9ad8-c1649972b5f5</t>
  </si>
  <si>
    <t>0d3eae5e-1f0e-4323-a1af-e696431dff09</t>
  </si>
  <si>
    <t>1c815ef3-7252-4f72-8098-1a6e50ba51e1</t>
  </si>
  <si>
    <t>2160f7de-2ed2-4597-834f-73a9685714c7</t>
  </si>
  <si>
    <t>c6797e4b-fec0-4a64-af62-94f152bc2b8a</t>
  </si>
  <si>
    <t>da2f2793-87b1-4d02-a840-ffd6216fa2b7</t>
  </si>
  <si>
    <t>0711077e-29c0-4a54-9788-a4af281e4cf6</t>
  </si>
  <si>
    <t>62df2354-9fb4-483e-8f53-f835749d0717</t>
  </si>
  <si>
    <t>6d787de3-720e-4e3e-8e36-04702eb48510</t>
  </si>
  <si>
    <t>8ab61ca9-7be8-410e-90c6-eb0cc4cf8107</t>
  </si>
  <si>
    <t>ec98feac-62b0-4715-a813-33dd11948e01</t>
  </si>
  <si>
    <t>0eebb35b-e804-47c2-aeb5-1fd8c0210b5b</t>
  </si>
  <si>
    <t>e2928fd1-6f82-491c-a397-f1617702cbce</t>
  </si>
  <si>
    <t>486b6d52-716e-4fd2-8b6b-98be0e047527</t>
  </si>
  <si>
    <t>d8d74a2d-4618-4d88-8dbc-e1f45bae87d8</t>
  </si>
  <si>
    <t>3557e5d2-3688-4232-b1d5-a37a97d85d87</t>
  </si>
  <si>
    <t>fadffc1c-eba8-4623-a99a-846140edab50</t>
  </si>
  <si>
    <t>09053105-5dbc-4eef-b6ea-76e4ce1e4ec7</t>
  </si>
  <si>
    <t>df0f9830-d80c-4c69-be21-5fe1488579e8</t>
  </si>
  <si>
    <t>fb5cdb4d-67f4-43a1-9317-4b1f90e94e6b</t>
  </si>
  <si>
    <t>3ef28850-e4b3-42d6-a51f-5d6183ddaea6</t>
  </si>
  <si>
    <t>f833313b-98b9-43e0-8658-318dc36b40e3</t>
  </si>
  <si>
    <t>77bb1b84-c8d3-43cb-8d55-a99700576be5</t>
  </si>
  <si>
    <t>ac555136-b4ea-472e-8275-ce971aaeb535</t>
  </si>
  <si>
    <t>c5e5b29f-5f4e-439c-bc26-6d08cec43a48</t>
  </si>
  <si>
    <t>817a49d7-96de-479a-a8dd-288bcfca835e</t>
  </si>
  <si>
    <t>91f14e15-0dc2-4c37-96d7-2a01e1d40ffe</t>
  </si>
  <si>
    <t>7f51be14-cfb5-4bf0-80f5-62f345650c87</t>
  </si>
  <si>
    <t>63d9f4e2-090d-4af8-9f07-fa70ed686fc7</t>
  </si>
  <si>
    <t>7fac3fb0-9b4f-406a-bf0c-346af2cf9300</t>
  </si>
  <si>
    <t>7e9bd6d5-db82-4a52-9c79-0436dd5b1299</t>
  </si>
  <si>
    <t>12e20901-93a5-49c7-be9f-a18594298002</t>
  </si>
  <si>
    <t>ef15cd56-57b4-42fc-a416-75995e2c35c2</t>
  </si>
  <si>
    <t>a6d15859-1937-4f65-8af8-ce9754867b7d</t>
  </si>
  <si>
    <t>d8f7a894-0027-4ce6-9d3a-6ff6005b6ab6</t>
  </si>
  <si>
    <t>17eb0e88-8e96-4cbd-a89a-18c93affd0a5</t>
  </si>
  <si>
    <t>bd697a8e-20e8-4380-ada2-32ef4e8c6990</t>
  </si>
  <si>
    <t>42d10ee1-db9b-4c86-bd4e-f1b60adf6b90</t>
  </si>
  <si>
    <t>fa029a2e-0b59-418c-8b6a-b2855e672386</t>
  </si>
  <si>
    <t>09482444-8767-49a4-acc0-00980fb57b26</t>
  </si>
  <si>
    <t>161d18a4-d63f-495b-8db7-60da16245e29</t>
  </si>
  <si>
    <t>d0f0d556-f3ce-42af-bf77-c76db125f191</t>
  </si>
  <si>
    <t>3cad85a6-7587-4f1d-a16b-6199db7e067a</t>
  </si>
  <si>
    <t>e97eab76-afc5-4b56-9618-b9a6bdce40c9</t>
  </si>
  <si>
    <t>852b5b68-acd7-4536-b642-7c2fb6c2df93</t>
  </si>
  <si>
    <t>b043e7fb-e8da-41fa-b32c-52a46e668487</t>
  </si>
  <si>
    <t>a9f661e6-9275-45a8-9937-d0e1e2b58dd7</t>
  </si>
  <si>
    <t>6c5ab4f8-6469-4b58-a5a8-ed86dba75b27</t>
  </si>
  <si>
    <t>f84849f0-d3a8-43f5-9a22-93e5c427859e</t>
  </si>
  <si>
    <t>716833b3-f074-4afd-bdeb-ed5cba27749a</t>
  </si>
  <si>
    <t>64c4d66e-d70e-4704-8242-1c1156b8073b</t>
  </si>
  <si>
    <t>2f96649a-d3ce-4058-86d6-a7e75da275fc</t>
  </si>
  <si>
    <t>a4606097-1225-4948-a316-0a0aba721f36</t>
  </si>
  <si>
    <t>811a3901-7845-4f7d-b7fb-78dbaf4c14c7</t>
  </si>
  <si>
    <t>06c8ab1d-b400-4c00-a596-5910fb763fce</t>
  </si>
  <si>
    <t>829d92da-3b79-4543-8dc5-b32e24b407e7</t>
  </si>
  <si>
    <t>011151df-3030-429b-9165-7ad9168fc0d7</t>
  </si>
  <si>
    <t>14796617-c1bb-470d-9417-f14292fe4d0b</t>
  </si>
  <si>
    <t>037c287a-6426-480f-a51f-2b0030d013d3</t>
  </si>
  <si>
    <t>772de19f-a44f-4e18-8b79-4926f8214ede</t>
  </si>
  <si>
    <t>3ed0983f-9de9-4f59-b6e0-e5b49d937c40</t>
  </si>
  <si>
    <t>13d7aee0-b980-462c-a363-32a39d4db92a</t>
  </si>
  <si>
    <t>f4394a09-d039-4e59-bfd3-d45432a66a0e</t>
  </si>
  <si>
    <t>5fbba6f4-83ba-4479-9f85-d37d08f491ab</t>
  </si>
  <si>
    <t>e4aac9a9-2e25-461f-84b5-2a3fb73bf7fa</t>
  </si>
  <si>
    <t>34275c7c-f913-45c2-9299-d70d40f604c2</t>
  </si>
  <si>
    <t>d19864d2-c2b2-4f4f-8ecc-201e3a368eda</t>
  </si>
  <si>
    <t>6124e42e-2a58-46b9-9bf0-d9878dfdc616</t>
  </si>
  <si>
    <t>e56b32f0-7e3e-4908-9daa-774b5a4f450e</t>
  </si>
  <si>
    <t>35e5d43c-e686-47d1-acf6-9502093cc7a4</t>
  </si>
  <si>
    <t>e4f52710-93d4-40a6-b969-a5a55ab7841d</t>
  </si>
  <si>
    <t>cc76efc9-1cbf-484e-9090-91b180749e47</t>
  </si>
  <si>
    <t>277fe337-340e-4b1c-9efa-20f8ab07f409</t>
  </si>
  <si>
    <t>a8b53394-145b-4770-84e1-c5c4294a115b</t>
  </si>
  <si>
    <t>859fe626-7285-4127-b0a5-6e31892195a4</t>
  </si>
  <si>
    <t>ddfe815f-cae8-4014-96b5-712acf13a6d3</t>
  </si>
  <si>
    <t>07f4b7b5-eaf6-4483-a9e1-83c2fe75aaf2</t>
  </si>
  <si>
    <t>b69d25d3-e229-4a1e-8649-8bbf84579b67</t>
  </si>
  <si>
    <t>208f709f-599f-4d3d-a752-cd17f932143e</t>
  </si>
  <si>
    <t>a17229ce-ced3-4204-adac-971c263add08</t>
  </si>
  <si>
    <t>cf58f564-2daa-4590-904d-c0e5c66b122d</t>
  </si>
  <si>
    <t>1dc41c15-247b-4e0a-9ad3-c8406a85d49f</t>
  </si>
  <si>
    <t>8484baf4-0563-458a-adab-6f48501aaf6b</t>
  </si>
  <si>
    <t>1a160371-ead6-4865-9326-2781c24a116c</t>
  </si>
  <si>
    <t>4630c942-7733-43f8-834a-6ab5f4ccc8a2</t>
  </si>
  <si>
    <t>0cc1c5c9-3d15-4505-9e6d-d8058b6cf171</t>
  </si>
  <si>
    <t>f26b17e2-098c-4ccb-9555-a402c6d8a3a1</t>
  </si>
  <si>
    <t>0a104888-2875-4b76-836f-e950b77cde59</t>
  </si>
  <si>
    <t>e25f784f-7468-4af2-b3ab-37d125958635</t>
  </si>
  <si>
    <t>82871d74-2688-4922-84d3-39fe5312d524</t>
  </si>
  <si>
    <t>b6d6cdd7-4b25-4233-8055-f2e888fab61d</t>
  </si>
  <si>
    <t>445c756f-6660-4412-ad6d-818a2cc6d759</t>
  </si>
  <si>
    <t>9de4728f-2657-4a30-a67b-151293877db3</t>
  </si>
  <si>
    <t>80601680-6efe-41e5-baab-0aa17ffb3997</t>
  </si>
  <si>
    <t>32e54298-aab6-4ced-9abb-9c3643750bef</t>
  </si>
  <si>
    <t>d7b2cee9-1fdd-4988-a384-0ea0e6b24da8</t>
  </si>
  <si>
    <t>f9fac45c-2a01-46cc-899f-2e7f8da3e447</t>
  </si>
  <si>
    <t>e0ef653d-1a7b-41ea-8d74-0c2a654bebbd</t>
  </si>
  <si>
    <t>7b3873cf-8dc9-4651-adeb-6d68eb5f4ac1</t>
  </si>
  <si>
    <t>912a4f1e-ac3d-4220-a208-203d77ba839f</t>
  </si>
  <si>
    <t>abcd8526-82d8-441b-a987-85828063fc7b</t>
  </si>
  <si>
    <t>45f681fc-6445-4c58-bd01-efcec4e72d10</t>
  </si>
  <si>
    <t>cda2e27e-c0bd-4d64-9ee9-e145f24eb4e3</t>
  </si>
  <si>
    <t>3694c997-a10d-4602-9d7d-aaee53f589d7</t>
  </si>
  <si>
    <t>e5f3fd36-8f94-4343-a2f8-219ebb565750</t>
  </si>
  <si>
    <t>4b6c8733-6c21-49a4-9764-878b4400d3fd</t>
  </si>
  <si>
    <t>9e2757df-d254-43c2-85ad-0c87d373dcb9</t>
  </si>
  <si>
    <t>101fbe9f-8a9a-4ba7-8833-49893fe3835f</t>
  </si>
  <si>
    <t>27ea2ddd-64c3-4ba6-8173-4438da5e6cf7</t>
  </si>
  <si>
    <t>1ade8e9b-fc75-4f20-9775-467d6a67d94a</t>
  </si>
  <si>
    <t>7ba3ee20-5519-425c-93fa-b821b4c05589</t>
  </si>
  <si>
    <t>8d30cb7f-0b88-467f-b5ed-108cbd6ee756</t>
  </si>
  <si>
    <t>ede9b040-187f-4bc7-ba7d-4fae0114ad53</t>
  </si>
  <si>
    <t>5036bcd1-5d5b-4218-96f5-a8e2e387dd1b</t>
  </si>
  <si>
    <t>e2e76b11-91ee-4b84-8760-2a1904186122</t>
  </si>
  <si>
    <t>f7304347-f36b-4692-b0f2-2e7d969cb86e</t>
  </si>
  <si>
    <t>18e870c0-ca07-459a-9e23-ba38f762a774</t>
  </si>
  <si>
    <t>163f90d1-d7d6-4878-ae1e-b75fedffa687</t>
  </si>
  <si>
    <t>eaf1058b-ab89-4803-a018-5f42289fa578</t>
  </si>
  <si>
    <t>766eb515-b32a-469a-9471-0f7e176c4293</t>
  </si>
  <si>
    <t>67f4c3c4-d7a5-465a-9132-57adebb4b4eb</t>
  </si>
  <si>
    <t>92d877b6-4898-4ab2-982e-5b26583ade70</t>
  </si>
  <si>
    <t>01f0b58b-5715-4b41-8e83-61316c99cb63</t>
  </si>
  <si>
    <t>efe726f9-11be-42be-be20-45f397157bb6</t>
  </si>
  <si>
    <t>a4afda83-42fd-4035-bfc8-28b357c8d8db</t>
  </si>
  <si>
    <t>3f8fcc76-45a6-4cb2-913e-b48249187485</t>
  </si>
  <si>
    <t>efa2db0f-ffe6-4ba9-829e-90cab10dd4a2</t>
  </si>
  <si>
    <t>dab44f32-3428-4035-9e50-16c1314cc41f</t>
  </si>
  <si>
    <t>a87eca11-836b-4136-818f-3ee5e20e4529</t>
  </si>
  <si>
    <t>d0600137-e2e3-445a-a1a4-8c1fd9d004f3</t>
  </si>
  <si>
    <t>b7c86e93-7f69-46d3-a0e5-920060aefe63</t>
  </si>
  <si>
    <t>631ac2d8-5412-4b1c-972a-c4c195cbb09e</t>
  </si>
  <si>
    <t>9278d6a1-ca06-48cd-ace4-46be2d50a975</t>
  </si>
  <si>
    <t>9569b192-cfb5-4ecf-9769-39b5b0a9c496</t>
  </si>
  <si>
    <t>8ae8f6ed-b2a2-4690-8ec3-a05fa5726b9f</t>
  </si>
  <si>
    <t>03b19238-5ae0-4975-bd9c-8e18e59c2235</t>
  </si>
  <si>
    <t>2240d4d5-0b0b-4da3-a6f8-c650a8dca7f9</t>
  </si>
  <si>
    <t>eaadfb02-43ef-406d-93e8-5ab8bcc9f9a7</t>
  </si>
  <si>
    <t>f254abe9-28c0-4aa7-ad08-10e421dd2b67</t>
  </si>
  <si>
    <t>2d26f095-b20d-4f93-9387-524325979730</t>
  </si>
  <si>
    <t>d2425b39-5791-4b81-8353-7e2257d17422</t>
  </si>
  <si>
    <t>9a235848-73ac-4bf3-ab7d-e20dce4c9f58</t>
  </si>
  <si>
    <t>c24d8080-e0a4-4f55-abf2-716e994bcdcc</t>
  </si>
  <si>
    <t>972a42ea-cb35-458d-bbfe-00e06ff3e1b5</t>
  </si>
  <si>
    <t>5a29618d-0fc4-41e3-9f0d-a5721c8da62e</t>
  </si>
  <si>
    <t>f6518f1f-5335-4530-bbc6-064783efb83f</t>
  </si>
  <si>
    <t>f166a057-7540-4c5f-8035-46d709fe2fd5</t>
  </si>
  <si>
    <t>1deae10f-a1b4-4195-897a-e6db6e54d1be</t>
  </si>
  <si>
    <t>c118975e-4cd9-4760-8175-da17f1c92e44</t>
  </si>
  <si>
    <t>3e23c51f-fc53-45b1-b3bf-7d909d986706</t>
  </si>
  <si>
    <t>af1c944a-a6a0-4e55-986c-81ae19f371dc</t>
  </si>
  <si>
    <t>7a789a98-ad20-4230-9e3f-bf5accbeadc6</t>
  </si>
  <si>
    <t>b0603b71-f757-477f-8682-78164a4dc64e</t>
  </si>
  <si>
    <t>d1f1f9bc-84dc-436a-8cd4-8b2624cd3a04</t>
  </si>
  <si>
    <t>af673d98-765a-4c08-bf30-7fb37a8167ff</t>
  </si>
  <si>
    <t>f99e3392-81fa-48d4-888b-2159203fb43d</t>
  </si>
  <si>
    <t>2d9501b1-e284-4917-909f-9cd9067a53b6</t>
  </si>
  <si>
    <t>7c155a64-a096-4b99-939d-aea206bb35f8</t>
  </si>
  <si>
    <t>95f24baa-05ce-4149-85d9-606ec6f240d0</t>
  </si>
  <si>
    <t>bbb24784-2307-4ae3-bb0b-cae78c85937a</t>
  </si>
  <si>
    <t>fb35097b-3cf1-40e8-bf60-5d45dc0f348d</t>
  </si>
  <si>
    <t>af74d9b8-64f1-4e39-84ea-1714b991a441</t>
  </si>
  <si>
    <t>ae9d935e-9cd9-44ec-80d6-9bb9fc351cea</t>
  </si>
  <si>
    <t>a42fe458-7411-4e5f-9abd-a3b57336b3ce</t>
  </si>
  <si>
    <t>66523c17-43b4-4d8d-8d24-fec8673b08ed</t>
  </si>
  <si>
    <t>07227338-4160-4ee9-bf8a-65356f1f2e85</t>
  </si>
  <si>
    <t>85a697d1-3568-44c2-a837-72fadd1d55b2</t>
  </si>
  <si>
    <t>38484a50-8130-4b34-98f1-7ad5c6b160db</t>
  </si>
  <si>
    <t>bc57462c-b8c9-47d9-a6b0-a25b363f57ed</t>
  </si>
  <si>
    <t>b87eaced-b6fb-4ff7-8d23-02a490fb7f5d</t>
  </si>
  <si>
    <t>42b824a5-3d2c-4c85-abd2-953499dbbd68</t>
  </si>
  <si>
    <t>a41f844c-f373-464e-b6f8-69167a7433a9</t>
  </si>
  <si>
    <t>da7044b3-862c-41a3-bc70-1762ba414cb5</t>
  </si>
  <si>
    <t>e553d916-0f20-4e69-8433-02bc462a0852</t>
  </si>
  <si>
    <t>c0b58919-aa4f-4e10-991a-85183278f7ae</t>
  </si>
  <si>
    <t>5509c0a8-573b-413b-b3f0-012238047d73</t>
  </si>
  <si>
    <t>bd89aaed-b9b2-4b70-8cf5-cd05043c0982</t>
  </si>
  <si>
    <t>2a0f92c3-b747-4c3c-8caf-14bcf5f999d5</t>
  </si>
  <si>
    <t>9269a860-bc1f-4738-b12e-0ff913a32c46</t>
  </si>
  <si>
    <t>768536d1-d2be-46f9-bc28-65e98a8e9a88</t>
  </si>
  <si>
    <t>eb035dec-d289-4714-b053-4fe19f0d9974</t>
  </si>
  <si>
    <t>fd8c9746-003e-48f2-a17d-64b13f85e3a8</t>
  </si>
  <si>
    <t>1bcb3978-3424-484f-8fb3-ba43e2a16f72</t>
  </si>
  <si>
    <t>3dc4a008-df39-4ef3-8cce-932a267d3483</t>
  </si>
  <si>
    <t>16b5a70c-65c7-465b-94d7-b8c04d4067e8</t>
  </si>
  <si>
    <t>94d853cb-9fdd-4325-94b0-b02c2f147a4e</t>
  </si>
  <si>
    <t>e0f2584b-51f3-4341-8a99-cc3f163a0cee</t>
  </si>
  <si>
    <t>5cd99861-3343-4219-aec2-0cbde1cfc1fc</t>
  </si>
  <si>
    <t>8719330e-1171-4c72-b7d3-d0ba33397fb9</t>
  </si>
  <si>
    <t>47e02402-3eef-4967-838b-bd889b81f913</t>
  </si>
  <si>
    <t>47e02402-3eef-4967-838b-bd889b81f914</t>
  </si>
  <si>
    <t>47e02402-3eef-4967-838b-bd889b81f915</t>
  </si>
  <si>
    <t>47e02402-3eef-4967-838b-bd889b81f916</t>
  </si>
  <si>
    <t>47e02402-3eef-4967-838b-bd889b81f917</t>
  </si>
  <si>
    <t>47e02402-3eef-4967-838b-bd889b81f918</t>
  </si>
  <si>
    <t>47e02402-3eef-4967-838b-bd889b81f919</t>
  </si>
  <si>
    <t>47e02402-3eef-4967-838b-bd889b81f920</t>
  </si>
  <si>
    <t>47e02402-3eef-4967-838b-bd889b81f921</t>
  </si>
  <si>
    <t>47e02402-3eef-4967-838b-bd889b81f922</t>
  </si>
  <si>
    <t>47e02402-3eef-4967-838b-bd889b81f923</t>
  </si>
  <si>
    <t>47e02402-3eef-4967-838b-bd889b81f924</t>
  </si>
  <si>
    <t>47e02402-3eef-4967-838b-bd889b81f925</t>
  </si>
  <si>
    <t>9190846c-5861-4ab6-8ad7-62d392c3389e</t>
  </si>
  <si>
    <t>b3fe619e-dba9-48c8-ba12-db873e2e5218</t>
  </si>
  <si>
    <t>c84dd6f8-193c-4377-8817-3b4ea1386070</t>
  </si>
  <si>
    <t>28efab3e-c752-4646-bbfe-1f9409a1f3c0</t>
  </si>
  <si>
    <t>97a2c365-8f4c-4c31-9fb0-1022bdd56de4</t>
  </si>
  <si>
    <t>HR is responsible for basic training of all the new hires. Below is a table that gives a training status for all the new hires.</t>
  </si>
  <si>
    <t>Using excel formulae, find out the following</t>
  </si>
  <si>
    <t>Ans</t>
  </si>
  <si>
    <t>1. How many have neither registered nor completed any of the 3 courses?</t>
  </si>
  <si>
    <t>2. How many have registered or trained in atleast 2 of the 3 courses?</t>
  </si>
  <si>
    <t>3. How many have not been trained in any of the 3 yet?</t>
  </si>
  <si>
    <t>Name</t>
  </si>
  <si>
    <t>SQL</t>
  </si>
  <si>
    <t>SAS</t>
  </si>
  <si>
    <t>Excel</t>
  </si>
  <si>
    <t>R - Registered for training (training not done yet)</t>
  </si>
  <si>
    <t>Prakash</t>
  </si>
  <si>
    <t>R</t>
  </si>
  <si>
    <t>T</t>
  </si>
  <si>
    <t>T - Trained</t>
  </si>
  <si>
    <t>Rahul</t>
  </si>
  <si>
    <t>Blank - Neither</t>
  </si>
  <si>
    <t>Rajiv</t>
  </si>
  <si>
    <t>Priya</t>
  </si>
  <si>
    <t>Amit</t>
  </si>
  <si>
    <t>Karthik</t>
  </si>
  <si>
    <t>Shobha</t>
  </si>
  <si>
    <t>Prateek</t>
  </si>
  <si>
    <t>Payal</t>
  </si>
  <si>
    <t>Prashant</t>
  </si>
  <si>
    <t>Anil</t>
  </si>
  <si>
    <t>Swaroop</t>
  </si>
  <si>
    <t>Tejas</t>
  </si>
  <si>
    <t>Raghav</t>
  </si>
  <si>
    <t>Sanjeev</t>
  </si>
  <si>
    <t>Madhu</t>
  </si>
  <si>
    <t>Murali</t>
  </si>
  <si>
    <t>Aravind</t>
  </si>
  <si>
    <t>Balaji</t>
  </si>
  <si>
    <t>Mukundan</t>
  </si>
  <si>
    <t>Shweta</t>
  </si>
  <si>
    <t>Anusha</t>
  </si>
  <si>
    <t>Ravi</t>
  </si>
  <si>
    <t>Ramya</t>
  </si>
  <si>
    <t>Shriram</t>
  </si>
  <si>
    <t>Sairam</t>
  </si>
  <si>
    <t>Srinivasan</t>
  </si>
  <si>
    <t>Trisha</t>
  </si>
  <si>
    <t>Paul</t>
  </si>
  <si>
    <t>Mani</t>
  </si>
  <si>
    <t>Venkat</t>
  </si>
  <si>
    <t>Abhishek</t>
  </si>
  <si>
    <t>Chanakya</t>
  </si>
  <si>
    <t>Daniel</t>
  </si>
  <si>
    <t>Rishi</t>
  </si>
  <si>
    <t>Vikram</t>
  </si>
  <si>
    <t>Prabhu</t>
  </si>
  <si>
    <t>Mahesh</t>
  </si>
  <si>
    <t>Raj</t>
  </si>
  <si>
    <t>Suresh</t>
  </si>
  <si>
    <t>Arun</t>
  </si>
  <si>
    <t>Jacob</t>
  </si>
  <si>
    <t>Malini</t>
  </si>
  <si>
    <t>Mehul</t>
  </si>
  <si>
    <t>Rajeev</t>
  </si>
  <si>
    <t>Sachin</t>
  </si>
  <si>
    <t>Praphul</t>
  </si>
  <si>
    <t>Diego</t>
  </si>
  <si>
    <t xml:space="preserve"> </t>
  </si>
  <si>
    <t>Below in Column 2 there are some numbers given</t>
  </si>
  <si>
    <t>Please calculate sum of numbers based on the criteria given in the start row number and end row number</t>
  </si>
  <si>
    <t>Formula should be capable enough, if we change start row number and end row number sum will get update</t>
  </si>
  <si>
    <t>For Example: If Start row is 10 and end row is 21 then sum would be 907</t>
  </si>
  <si>
    <r>
      <rPr>
        <b/>
        <sz val="11"/>
        <color theme="1"/>
        <rFont val="Tw Cen MT"/>
        <charset val="134"/>
      </rPr>
      <t>Hint:</t>
    </r>
    <r>
      <rPr>
        <sz val="11"/>
        <color theme="1"/>
        <rFont val="Tw Cen MT"/>
        <charset val="134"/>
      </rPr>
      <t xml:space="preserve"> Use Address , OFFSET and Indirect function with SUM</t>
    </r>
  </si>
  <si>
    <t>Number</t>
  </si>
  <si>
    <t>Start Row Number</t>
  </si>
  <si>
    <t>End Row Number</t>
  </si>
  <si>
    <t>SUM</t>
  </si>
  <si>
    <t>Based on the data in the table below, please answer the following questions using excel functions</t>
  </si>
  <si>
    <t>1. Number of employees from the Sales department who joined before July 2006 and have a total experience (prior and present) of more than 10 years?</t>
  </si>
  <si>
    <t>2. Total Number of years of experience of employees in the Sales department who joined before 31 Mar 2009?</t>
  </si>
  <si>
    <t>Take today's date as</t>
  </si>
  <si>
    <t>Date Today</t>
  </si>
  <si>
    <t>Employee Name</t>
  </si>
  <si>
    <t>Department</t>
  </si>
  <si>
    <t>Joining Date</t>
  </si>
  <si>
    <t>Prior Experience</t>
  </si>
  <si>
    <t>Marketing</t>
  </si>
  <si>
    <t>IT</t>
  </si>
  <si>
    <t>Finance</t>
  </si>
  <si>
    <t>Sales</t>
  </si>
  <si>
    <t>R&amp;D</t>
  </si>
  <si>
    <t>Manufacturing</t>
  </si>
  <si>
    <t>Logistics</t>
  </si>
  <si>
    <t>HR</t>
  </si>
  <si>
    <t>A small company is shutting down its India operations and wants to retrench all its employees. It has 2 options for the retrenchment payout:</t>
  </si>
  <si>
    <t>Option 1: Give 1 month salary to the employees for each year left till retirement (retirement age = 60)</t>
  </si>
  <si>
    <t>Option 2: Give 1 month salary for each year completed with the company</t>
  </si>
  <si>
    <t>Basis this, answer the following questions:</t>
  </si>
  <si>
    <t>Which of these 2 options would be beneficial to the company (lower total payout)?</t>
  </si>
  <si>
    <t>Option 2</t>
  </si>
  <si>
    <t>For which of these 2 options more employees are benefitted?</t>
  </si>
  <si>
    <t>Option 1</t>
  </si>
  <si>
    <t>Which of these 2 options is more beneficial for most senior management (salary &gt; Rs 7,00,000 per annum)?</t>
  </si>
  <si>
    <t>Today</t>
  </si>
  <si>
    <t>Employee Number</t>
  </si>
  <si>
    <t>Date of Birth</t>
  </si>
  <si>
    <t>Annual Salary (Rs)</t>
  </si>
  <si>
    <t>Benifit</t>
  </si>
  <si>
    <t>total</t>
  </si>
  <si>
    <t>Based on the production shortages data below, answer the following questions</t>
  </si>
  <si>
    <t>1. Find out the set of part numbers that are contributing to 80% of the production shortages (commonly known as Pareto Analysis)</t>
  </si>
  <si>
    <t>Date</t>
  </si>
  <si>
    <t>Part Number</t>
  </si>
  <si>
    <t>Commodity Group</t>
  </si>
  <si>
    <t>Production Shortages (Units)</t>
  </si>
  <si>
    <t>contributing to 80%</t>
  </si>
  <si>
    <t>J280T</t>
  </si>
  <si>
    <t>Memory</t>
  </si>
  <si>
    <t>T192H</t>
  </si>
  <si>
    <t>FY878</t>
  </si>
  <si>
    <t>HDD</t>
  </si>
  <si>
    <t>F309J</t>
  </si>
  <si>
    <t>Processor</t>
  </si>
  <si>
    <t>D270R</t>
  </si>
  <si>
    <t>K145G</t>
  </si>
  <si>
    <t>Optical Drives</t>
  </si>
  <si>
    <t>HT952</t>
  </si>
  <si>
    <t>FY291</t>
  </si>
  <si>
    <t>C123J</t>
  </si>
  <si>
    <t>HFDX0</t>
  </si>
  <si>
    <t>W8TYX</t>
  </si>
  <si>
    <t>Y9NHH</t>
  </si>
  <si>
    <t>01TVT</t>
  </si>
  <si>
    <t>J533H</t>
  </si>
  <si>
    <t>H986H</t>
  </si>
  <si>
    <t>Battery</t>
  </si>
  <si>
    <t>F137T</t>
  </si>
  <si>
    <t>X036C</t>
  </si>
  <si>
    <t>C127J</t>
  </si>
  <si>
    <t>F030H</t>
  </si>
  <si>
    <t>FN679</t>
  </si>
  <si>
    <t>WP896</t>
  </si>
  <si>
    <t>R755K</t>
  </si>
  <si>
    <t>X5VD1</t>
  </si>
  <si>
    <t>K859M</t>
  </si>
  <si>
    <t>V8835</t>
  </si>
  <si>
    <t>G889G</t>
  </si>
  <si>
    <t>D171K</t>
  </si>
  <si>
    <t>NT417</t>
  </si>
  <si>
    <t>JN957</t>
  </si>
  <si>
    <t>D461F</t>
  </si>
  <si>
    <t>J406F</t>
  </si>
  <si>
    <t>G484D</t>
  </si>
  <si>
    <t>NNKVM</t>
  </si>
  <si>
    <t>H185K</t>
  </si>
  <si>
    <t>XR812</t>
  </si>
  <si>
    <t>Y475P</t>
  </si>
  <si>
    <t>M4M08</t>
  </si>
  <si>
    <t>M469G</t>
  </si>
  <si>
    <t>J515N</t>
  </si>
  <si>
    <t>TX269</t>
  </si>
  <si>
    <t>2X1CJ</t>
  </si>
  <si>
    <t>K725G</t>
  </si>
  <si>
    <t>F805K</t>
  </si>
  <si>
    <t>U738K</t>
  </si>
  <si>
    <t>K620H</t>
  </si>
  <si>
    <t>RU774</t>
  </si>
  <si>
    <t>G115G</t>
  </si>
  <si>
    <t>C2072</t>
  </si>
  <si>
    <t>N530F</t>
  </si>
  <si>
    <t>C2W2N</t>
  </si>
  <si>
    <t>03KYX</t>
  </si>
  <si>
    <t>GY581</t>
  </si>
  <si>
    <t>U144H</t>
  </si>
  <si>
    <t>N056N</t>
  </si>
  <si>
    <t>P875G</t>
  </si>
  <si>
    <t>J765R</t>
  </si>
  <si>
    <t>G295T</t>
  </si>
  <si>
    <t>H298M</t>
  </si>
  <si>
    <t>H959F</t>
  </si>
  <si>
    <t>D306F</t>
  </si>
  <si>
    <t>H426H</t>
  </si>
  <si>
    <t>H384M</t>
  </si>
  <si>
    <t>Y80P7</t>
  </si>
  <si>
    <t>F343G</t>
  </si>
  <si>
    <t>M398F</t>
  </si>
  <si>
    <t>C234R</t>
  </si>
  <si>
    <t>M525M</t>
  </si>
  <si>
    <t>C593T</t>
  </si>
  <si>
    <t>F522M</t>
  </si>
  <si>
    <t>HT150</t>
  </si>
  <si>
    <t>V3872</t>
  </si>
  <si>
    <t>G548K</t>
  </si>
  <si>
    <t>G631F</t>
  </si>
  <si>
    <t>KMH7P</t>
  </si>
  <si>
    <t>J106M</t>
  </si>
  <si>
    <t>G728T</t>
  </si>
  <si>
    <t>G731N</t>
  </si>
  <si>
    <t>X204R</t>
  </si>
  <si>
    <t>K093P</t>
  </si>
  <si>
    <t>N641M</t>
  </si>
  <si>
    <t>G952F</t>
  </si>
  <si>
    <t>J418T</t>
  </si>
  <si>
    <t>K374T</t>
  </si>
  <si>
    <t>X3R5M</t>
  </si>
  <si>
    <t>J131J</t>
  </si>
  <si>
    <t>K556T</t>
  </si>
  <si>
    <t>Y619H</t>
  </si>
  <si>
    <t>F342T</t>
  </si>
  <si>
    <t>XP544</t>
  </si>
  <si>
    <t>H726R</t>
  </si>
  <si>
    <t>F729T</t>
  </si>
  <si>
    <t>H704F</t>
  </si>
  <si>
    <t>D7D66</t>
  </si>
  <si>
    <t>D111N</t>
  </si>
  <si>
    <t>YP777</t>
  </si>
  <si>
    <t>P575R</t>
  </si>
  <si>
    <t>M399F</t>
  </si>
  <si>
    <t>3VCPF</t>
  </si>
  <si>
    <t>X696G</t>
  </si>
  <si>
    <t>K983K</t>
  </si>
  <si>
    <t>NN876</t>
  </si>
  <si>
    <t>MP492</t>
  </si>
  <si>
    <t>G622T</t>
  </si>
  <si>
    <t>W889F</t>
  </si>
  <si>
    <t>J4C3V</t>
  </si>
  <si>
    <t>MYC14</t>
  </si>
  <si>
    <t>PNF3X</t>
  </si>
  <si>
    <t>F804K</t>
  </si>
  <si>
    <t>F862T</t>
  </si>
  <si>
    <t>RN225</t>
  </si>
  <si>
    <t>D181R</t>
  </si>
  <si>
    <t>01RKN</t>
  </si>
  <si>
    <t>Y996D</t>
  </si>
  <si>
    <t>Set of part numbers for 80% production shortages</t>
  </si>
  <si>
    <t>Sum of Production Shortages (Units)</t>
  </si>
  <si>
    <t>Grand Total</t>
  </si>
  <si>
    <t>Cumulative SUM</t>
  </si>
  <si>
    <t>Cumulative Percentage</t>
  </si>
  <si>
    <t>1. Design the geo wise complete funnel of lead disposition and percentage drop at each stage, you are free to take any assumption and add the columns as per your requirements in the dump attached</t>
  </si>
  <si>
    <t>2. Calculate the Invalid and Not Interested percentage also in the funnel</t>
  </si>
  <si>
    <t>3. Calculate the channel wise lead to enrolled percentage also</t>
  </si>
  <si>
    <t>IMP : Funnel  (5 Stages added for your ref, you can modify stages flow as per your understanding)</t>
  </si>
  <si>
    <t xml:space="preserve">Stage movement </t>
  </si>
  <si>
    <t>Lead Received &gt; Connected &gt; Invalid/NI &gt; Demo Scheduled &gt; Payment Pending &gt;Enrolled</t>
  </si>
  <si>
    <t>All leads passed through every stage as per above order</t>
  </si>
  <si>
    <t>Funnel</t>
  </si>
  <si>
    <t>Channel</t>
  </si>
  <si>
    <t>Leads</t>
  </si>
  <si>
    <t>Connected %age</t>
  </si>
  <si>
    <t>Demo Scheduled %age</t>
  </si>
  <si>
    <t>Inavlid %age</t>
  </si>
  <si>
    <t>Demo Done %age</t>
  </si>
  <si>
    <t>Not Interested</t>
  </si>
  <si>
    <t>Not Interested % age</t>
  </si>
  <si>
    <t>Leads to enrolled %age</t>
  </si>
  <si>
    <t>Demo Scheduled % age</t>
  </si>
  <si>
    <t>Demo Done % age</t>
  </si>
  <si>
    <t>Payment Done</t>
  </si>
  <si>
    <t>Demo to Enrolled % age</t>
  </si>
  <si>
    <t>Lead to Enrolled % age</t>
  </si>
  <si>
    <t>SQL QUARY Questions</t>
  </si>
  <si>
    <t>Table1 :: Employees</t>
  </si>
  <si>
    <t>Table2 :: Employees Salary</t>
  </si>
  <si>
    <t>Column Names</t>
  </si>
  <si>
    <t>Data Type</t>
  </si>
  <si>
    <t>Employee ID</t>
  </si>
  <si>
    <t>Integer</t>
  </si>
  <si>
    <t>varchar2(15)</t>
  </si>
  <si>
    <t>Salary</t>
  </si>
  <si>
    <t>decimal(10,2)</t>
  </si>
  <si>
    <t>Gender</t>
  </si>
  <si>
    <t>Designation</t>
  </si>
  <si>
    <t>Manager ID</t>
  </si>
  <si>
    <t>Q1. Calculate the department wise total salary and arrange them in the descending order ( 3 Marks)</t>
  </si>
  <si>
    <t>Q2. Find the names of employees whose salary is more than 1 lakh ( 2 marks)</t>
  </si>
  <si>
    <t>Q3. Find the employee name whose salary is more than his manager salary. (6 marks)</t>
  </si>
  <si>
    <t>Q4. Find the employee name whose salary is maximum across the org using window function. (4 marks)</t>
  </si>
  <si>
    <t>You can use notepad for wrting sql queries and share along with the file</t>
  </si>
  <si>
    <r>
      <rPr>
        <b/>
        <sz val="11"/>
        <color rgb="FF006400"/>
        <rFont val="Calibri"/>
        <charset val="134"/>
        <scheme val="minor"/>
      </rPr>
      <t>CREATE</t>
    </r>
    <r>
      <rPr>
        <sz val="11"/>
        <color theme="1"/>
        <rFont val="Calibri"/>
        <charset val="134"/>
        <scheme val="minor"/>
      </rPr>
      <t xml:space="preserve"> DATABASE Cuemath_Test1;</t>
    </r>
  </si>
  <si>
    <t>USE Cuemath_Test1;</t>
  </si>
  <si>
    <r>
      <rPr>
        <b/>
        <sz val="11"/>
        <color rgb="FF006400"/>
        <rFont val="Calibri"/>
        <charset val="134"/>
      </rPr>
      <t>CREATE</t>
    </r>
    <r>
      <rPr>
        <sz val="11"/>
        <color theme="1"/>
        <rFont val="Calibri"/>
        <charset val="134"/>
      </rPr>
      <t xml:space="preserve"> </t>
    </r>
    <r>
      <rPr>
        <b/>
        <sz val="11"/>
        <color rgb="FFFF0000"/>
        <rFont val="Calibri"/>
        <charset val="134"/>
      </rPr>
      <t>TABLE</t>
    </r>
    <r>
      <rPr>
        <sz val="11"/>
        <color theme="1"/>
        <rFont val="Calibri"/>
        <charset val="134"/>
      </rPr>
      <t xml:space="preserve"> Employees (</t>
    </r>
  </si>
  <si>
    <t>EmployeeID INT,</t>
  </si>
  <si>
    <t>EmployeeName VARCHAR(15),</t>
  </si>
  <si>
    <t>Gender VARCHAR(15),</t>
  </si>
  <si>
    <t>Department VARCHAR(15),</t>
  </si>
  <si>
    <t>Designation VARCHAR(15),</t>
  </si>
  <si>
    <t>ManagerID INT</t>
  </si>
  <si>
    <t>);</t>
  </si>
  <si>
    <t>INSERT INTO Employees (EmployeeID, EmployeeName, Gender, Department, Designation, ManagerID)</t>
  </si>
  <si>
    <t>VALUES</t>
  </si>
  <si>
    <t>(1, 'John Doe', 'Male', 'IT', 'Engineer', 7),</t>
  </si>
  <si>
    <t>(2, 'Jane Smith', 'Female', 'HR', 'Manager', 2),</t>
  </si>
  <si>
    <t>(3, 'Michael Johnson', 'Male', 'Finance', 'Analyst', 2),</t>
  </si>
  <si>
    <t>(4, 'Emily Brown', 'Female', 'Marketing', 'Coordinator', 2),</t>
  </si>
  <si>
    <t>(5, 'David Wilson', 'Male', 'IT', 'Administrator', 1),</t>
  </si>
  <si>
    <t>(6, 'Jessica Lee', 'Female', 'Finance', 'Accountant', 2),</t>
  </si>
  <si>
    <t>(7, 'Daniel Clark', 'Male', 'IT', 'Developer', 1),</t>
  </si>
  <si>
    <t>(8, 'Sophia Martinez', 'Female', 'Marketing', 'Specialist', 4),</t>
  </si>
  <si>
    <t>(9, 'Matthew Taylor', 'Male', 'Operations', 'Manager', 7),</t>
  </si>
  <si>
    <t>(10, 'Olivia Anderson', 'Female', 'HR', 'Assistant', 2);</t>
  </si>
  <si>
    <r>
      <rPr>
        <b/>
        <sz val="11"/>
        <color rgb="FF0000FF"/>
        <rFont val="Calibri"/>
        <charset val="134"/>
        <scheme val="minor"/>
      </rPr>
      <t>SELECT</t>
    </r>
    <r>
      <rPr>
        <sz val="11"/>
        <color theme="1"/>
        <rFont val="Calibri"/>
        <charset val="134"/>
        <scheme val="minor"/>
      </rPr>
      <t xml:space="preserve"> * FROM Employees;</t>
    </r>
  </si>
  <si>
    <r>
      <rPr>
        <b/>
        <sz val="11"/>
        <color rgb="FF006400"/>
        <rFont val="Calibri"/>
        <charset val="134"/>
        <scheme val="minor"/>
      </rPr>
      <t>CREATE</t>
    </r>
    <r>
      <rPr>
        <sz val="11"/>
        <color theme="1"/>
        <rFont val="Calibri"/>
        <charset val="134"/>
        <scheme val="minor"/>
      </rPr>
      <t xml:space="preserve"> </t>
    </r>
    <r>
      <rPr>
        <b/>
        <sz val="11"/>
        <color rgb="FFFF0000"/>
        <rFont val="Calibri"/>
        <charset val="134"/>
        <scheme val="minor"/>
      </rPr>
      <t>TABLE</t>
    </r>
    <r>
      <rPr>
        <sz val="11"/>
        <color theme="1"/>
        <rFont val="Calibri"/>
        <charset val="134"/>
        <scheme val="minor"/>
      </rPr>
      <t xml:space="preserve"> Employees_Salary (</t>
    </r>
  </si>
  <si>
    <t>Salary DECIMAL(10,2)</t>
  </si>
  <si>
    <r>
      <rPr>
        <sz val="11"/>
        <color theme="1"/>
        <rFont val="Calibri"/>
        <charset val="134"/>
        <scheme val="minor"/>
      </rPr>
      <t xml:space="preserve">ALTER </t>
    </r>
    <r>
      <rPr>
        <b/>
        <sz val="11"/>
        <color rgb="FFFF0000"/>
        <rFont val="Calibri"/>
        <charset val="134"/>
        <scheme val="minor"/>
      </rPr>
      <t>TABLE</t>
    </r>
    <r>
      <rPr>
        <sz val="11"/>
        <color theme="1"/>
        <rFont val="Calibri"/>
        <charset val="134"/>
        <scheme val="minor"/>
      </rPr>
      <t xml:space="preserve"> Employees_Salary</t>
    </r>
  </si>
  <si>
    <t>ADD PRIMARY KEY (EmployeeID);</t>
  </si>
  <si>
    <t>INSERT INTO Employees_Salary (EmployeeID, Salary)</t>
  </si>
  <si>
    <t>(1, 50000.00),</t>
  </si>
  <si>
    <t>(2, 60000.00),</t>
  </si>
  <si>
    <t>(3, 55000.00),</t>
  </si>
  <si>
    <t>(4, 58000.00),</t>
  </si>
  <si>
    <t>(5, 52000.00);</t>
  </si>
  <si>
    <r>
      <rPr>
        <b/>
        <sz val="11"/>
        <color rgb="FFA52A2A"/>
        <rFont val="Calibri"/>
        <charset val="134"/>
        <scheme val="minor"/>
      </rPr>
      <t>VALUES</t>
    </r>
    <r>
      <rPr>
        <b/>
        <sz val="11"/>
        <color theme="1"/>
        <rFont val="Calibri"/>
        <charset val="134"/>
        <scheme val="minor"/>
      </rPr>
      <t xml:space="preserve"> </t>
    </r>
  </si>
  <si>
    <t>(6, 62000.00),</t>
  </si>
  <si>
    <t>(7, 53000.00),</t>
  </si>
  <si>
    <t>(8, 57000.00),</t>
  </si>
  <si>
    <t>(9, 54000.00),</t>
  </si>
  <si>
    <t>(10, 59000.00),</t>
  </si>
  <si>
    <t>(11, 61000.00),</t>
  </si>
  <si>
    <t>(12, 56000.00),</t>
  </si>
  <si>
    <t>(13, 57000.00),</t>
  </si>
  <si>
    <t>(14, 54000.00),</t>
  </si>
  <si>
    <t>(15, 58000.00);</t>
  </si>
  <si>
    <r>
      <rPr>
        <b/>
        <sz val="11"/>
        <color rgb="FF0000FF"/>
        <rFont val="Calibri"/>
        <charset val="134"/>
        <scheme val="minor"/>
      </rPr>
      <t>SELECT</t>
    </r>
    <r>
      <rPr>
        <sz val="11"/>
        <color theme="1"/>
        <rFont val="Calibri"/>
        <charset val="134"/>
        <scheme val="minor"/>
      </rPr>
      <t xml:space="preserve"> * FROM Employees_Salary;</t>
    </r>
  </si>
  <si>
    <t># Using Left Join</t>
  </si>
  <si>
    <t>SELECT</t>
  </si>
  <si>
    <t>Employees.EmployeeID,</t>
  </si>
  <si>
    <t>Employees.Department,</t>
  </si>
  <si>
    <t>Employees_Salary.Salary</t>
  </si>
  <si>
    <t>FROM Employees</t>
  </si>
  <si>
    <t>LEFT JOIN Employees_Salary</t>
  </si>
  <si>
    <t>ON Employees.EmployeeID = Employees_Salary.EmployeeID;</t>
  </si>
  <si>
    <t>#Calculating department-wise total salary and arranging them in descending order</t>
  </si>
  <si>
    <r>
      <rPr>
        <b/>
        <sz val="11"/>
        <color rgb="FF0000FF"/>
        <rFont val="Calibri"/>
        <charset val="134"/>
        <scheme val="minor"/>
      </rPr>
      <t>SELECT</t>
    </r>
    <r>
      <rPr>
        <sz val="11"/>
        <color theme="1"/>
        <rFont val="Calibri"/>
        <charset val="134"/>
        <scheme val="minor"/>
      </rPr>
      <t xml:space="preserve"> Department,</t>
    </r>
  </si>
  <si>
    <t>SUM(Salary) AS TotalSalary</t>
  </si>
  <si>
    <t>FROM</t>
  </si>
  <si>
    <r>
      <rPr>
        <sz val="11"/>
        <color theme="1"/>
        <rFont val="Calibri"/>
        <charset val="134"/>
        <scheme val="minor"/>
      </rPr>
      <t>(</t>
    </r>
    <r>
      <rPr>
        <b/>
        <sz val="11"/>
        <color rgb="FF0000FF"/>
        <rFont val="Calibri"/>
        <charset val="134"/>
        <scheme val="minor"/>
      </rPr>
      <t>SELECT</t>
    </r>
  </si>
  <si>
    <t>IFNULL(Employees_Salary.Salary, 0) AS Salary</t>
  </si>
  <si>
    <r>
      <rPr>
        <sz val="11"/>
        <color theme="1"/>
        <rFont val="Calibri"/>
        <charset val="134"/>
        <scheme val="minor"/>
      </rPr>
      <t>ON Employees.EmployeeID = Employees_Salary.EmployeeID) AS Joined</t>
    </r>
    <r>
      <rPr>
        <b/>
        <sz val="11"/>
        <color rgb="FFFF0000"/>
        <rFont val="Calibri"/>
        <charset val="134"/>
        <scheme val="minor"/>
      </rPr>
      <t>Table</t>
    </r>
  </si>
  <si>
    <t>GROUP BY Department</t>
  </si>
  <si>
    <t>ORDER BY TotalSalary DESC;</t>
  </si>
  <si>
    <t>(16, 120000),</t>
  </si>
  <si>
    <t>(17, 12000),</t>
  </si>
  <si>
    <t>(18, 80000),</t>
  </si>
  <si>
    <t>(19, 150000),</t>
  </si>
  <si>
    <t>(20, 110000),</t>
  </si>
  <si>
    <t>(21, 240000),</t>
  </si>
  <si>
    <t>(22, 220000),</t>
  </si>
  <si>
    <t>(23, 160000),</t>
  </si>
  <si>
    <t>(24, 130000),</t>
  </si>
  <si>
    <t>(25, 105000);</t>
  </si>
  <si>
    <t>(17, 'John Doe', 'Male', 'IT', 'Engineer', 25),</t>
  </si>
  <si>
    <t>(18, 'Jane Smith', 'Female', 'HR', 'HR Manager', 21),</t>
  </si>
  <si>
    <t>(16, 'Michael Johnson', 'Male', 'Finance', 'Data Analyst', 21);</t>
  </si>
  <si>
    <t>(19, 'Emily Brown', 'Female', 'Marketing', 'Coordinator', 21),</t>
  </si>
  <si>
    <t>(21, 'David Wilson', 'Male', 'IT', 'Sys Admin', NULL),</t>
  </si>
  <si>
    <t>(22, 'Jessica Lee', 'Female', 'Finance', 'Accountant', NULL),</t>
  </si>
  <si>
    <t>(23, 'Daniel Clark', 'Male', 'IT', 'Developer', NULL),</t>
  </si>
  <si>
    <t>(24, 'Sophia Martinez', 'Female', 'Marketing', 'DA ', 22),</t>
  </si>
  <si>
    <t>(25, 'Matthew Taylor', 'Male', 'Operations', 'Ops Manager', NULL),</t>
  </si>
  <si>
    <t>(26, 'Olivia Anderson', 'Female', 'HR', 'HR Assistant', 17);</t>
  </si>
  <si>
    <r>
      <rPr>
        <b/>
        <sz val="11"/>
        <color rgb="FF0000FF"/>
        <rFont val="Calibri"/>
        <charset val="134"/>
        <scheme val="minor"/>
      </rPr>
      <t>SELECT</t>
    </r>
    <r>
      <rPr>
        <sz val="11"/>
        <color theme="1"/>
        <rFont val="Calibri"/>
        <charset val="134"/>
        <scheme val="minor"/>
      </rPr>
      <t xml:space="preserve"> Employees.EmployeeID, Employees.EmployeeName, Employees_Salary.Salary</t>
    </r>
  </si>
  <si>
    <t>ON Employees.EmployeeID = Employees_Salary.EmployeeID</t>
  </si>
  <si>
    <t>WHERE Employees_Salary.Salary &gt; 100000;</t>
  </si>
  <si>
    <r>
      <rPr>
        <b/>
        <sz val="11"/>
        <color rgb="FF0000FF"/>
        <rFont val="Calibri"/>
        <charset val="134"/>
        <scheme val="minor"/>
      </rPr>
      <t>SELECT</t>
    </r>
    <r>
      <rPr>
        <sz val="11"/>
        <color theme="1"/>
        <rFont val="Calibri"/>
        <charset val="134"/>
        <scheme val="minor"/>
      </rPr>
      <t xml:space="preserve"> Employees.EmployeeName</t>
    </r>
  </si>
  <si>
    <t>JOIN Employees AS Managers ON Employees.ManagerID = Managers.EmployeeID</t>
  </si>
  <si>
    <t>JOIN Employees_Salary AS EmployeeSalaries ON Employees.EmployeeID = EmployeeSalaries.EmployeeID</t>
  </si>
  <si>
    <t>JOIN Employees_Salary AS ManagerSalaries ON Managers.EmployeeID = ManagerSalaries.EmployeeID</t>
  </si>
  <si>
    <t>WHERE EmployeeSalaries.Salary &gt; ManagerSalaries.Salary;</t>
  </si>
  <si>
    <r>
      <rPr>
        <b/>
        <sz val="11"/>
        <color rgb="FF0000FF"/>
        <rFont val="Calibri"/>
        <charset val="134"/>
        <scheme val="minor"/>
      </rPr>
      <t>SELECT</t>
    </r>
    <r>
      <rPr>
        <sz val="11"/>
        <color theme="1"/>
        <rFont val="Calibri"/>
        <charset val="134"/>
        <scheme val="minor"/>
      </rPr>
      <t xml:space="preserve"> Employees.EmployeeID,</t>
    </r>
  </si>
  <si>
    <t>Employees.EmployeeName,</t>
  </si>
  <si>
    <t>EmployeeSalaries.Salary AS EmployeeSalary,</t>
  </si>
  <si>
    <t>Managers.EmployeeID AS ManagerID,</t>
  </si>
  <si>
    <t>ManagerSalaries.Salary AS ManagerSalary</t>
  </si>
  <si>
    <t>INNER JOIN Employees AS Managers ON Employees.ManagerID = Managers.EmployeeID</t>
  </si>
  <si>
    <t>INNER JOIN Employees_Salary AS EmployeeSalaries ON Employees.EmployeeID = EmployeeSalaries.EmployeeID</t>
  </si>
  <si>
    <t>INNER JOIN Employees_Salary AS ManagerSalaries ON Managers.EmployeeID = ManagerSalaries.EmployeeID</t>
  </si>
  <si>
    <t># Using ORDER By function</t>
  </si>
  <si>
    <t>Employees.Designation,</t>
  </si>
  <si>
    <t>JOIN Employees_Salary ON Employees.EmployeeID = Employees_Salary.EmployeeID</t>
  </si>
  <si>
    <t>ORDER BY Employees_Salary.Salary DESC;</t>
  </si>
  <si>
    <t># Using Windown function ROW_NUMBER()</t>
  </si>
  <si>
    <t>JOIN</t>
  </si>
  <si>
    <r>
      <rPr>
        <sz val="11"/>
        <color theme="1"/>
        <rFont val="Calibri"/>
        <charset val="134"/>
        <scheme val="minor"/>
      </rPr>
      <t>(</t>
    </r>
    <r>
      <rPr>
        <b/>
        <sz val="11"/>
        <color rgb="FF0000FF"/>
        <rFont val="Calibri"/>
        <charset val="134"/>
        <scheme val="minor"/>
      </rPr>
      <t>SELECT</t>
    </r>
    <r>
      <rPr>
        <sz val="11"/>
        <color theme="1"/>
        <rFont val="Calibri"/>
        <charset val="134"/>
        <scheme val="minor"/>
      </rPr>
      <t xml:space="preserve"> EmployeeID, Salary,</t>
    </r>
  </si>
  <si>
    <t>ROW_NUMBER() OVER (ORDER BY Salary DESC) AS SalaryRank</t>
  </si>
  <si>
    <t>FROM Employees_Salary) AS Employees_Salary ON Employees.EmployeeID = Employees_Salary.EmployeeID</t>
  </si>
</sst>
</file>

<file path=xl/styles.xml><?xml version="1.0" encoding="utf-8"?>
<styleSheet xmlns="http://schemas.openxmlformats.org/spreadsheetml/2006/main" xmlns:mc="http://schemas.openxmlformats.org/markup-compatibility/2006" xmlns:xr9="http://schemas.microsoft.com/office/spreadsheetml/2016/revision9" mc:Ignorable="xr9">
  <numFmts count="13">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 numFmtId="180" formatCode="mmm/yy"/>
    <numFmt numFmtId="181" formatCode="0.00_);[Red]\(0.00\)"/>
    <numFmt numFmtId="182" formatCode="0.0%"/>
    <numFmt numFmtId="183" formatCode="mm/dd/yy"/>
    <numFmt numFmtId="184" formatCode="[$-409]d/mmm/yy"/>
    <numFmt numFmtId="185" formatCode="0.000%"/>
    <numFmt numFmtId="186" formatCode="0.00000000000000000"/>
    <numFmt numFmtId="187" formatCode="m/d/yyyy"/>
    <numFmt numFmtId="188" formatCode="dd/mm/yyyy"/>
  </numFmts>
  <fonts count="64">
    <font>
      <sz val="11"/>
      <color theme="1"/>
      <name val="Calibri"/>
      <charset val="134"/>
      <scheme val="minor"/>
    </font>
    <font>
      <b/>
      <sz val="26"/>
      <color theme="0"/>
      <name val="Calibri"/>
      <charset val="134"/>
      <scheme val="minor"/>
    </font>
    <font>
      <b/>
      <sz val="11"/>
      <color theme="1"/>
      <name val="Calibri"/>
      <charset val="134"/>
    </font>
    <font>
      <sz val="11"/>
      <name val="Calibri"/>
      <charset val="134"/>
      <scheme val="minor"/>
    </font>
    <font>
      <sz val="11"/>
      <color theme="1"/>
      <name val="Calibri"/>
      <charset val="134"/>
    </font>
    <font>
      <b/>
      <sz val="18"/>
      <color theme="0"/>
      <name val="Calibri"/>
      <charset val="134"/>
    </font>
    <font>
      <b/>
      <sz val="11"/>
      <color rgb="FF006400"/>
      <name val="Calibri"/>
      <charset val="134"/>
      <scheme val="minor"/>
    </font>
    <font>
      <b/>
      <sz val="11"/>
      <color rgb="FF006400"/>
      <name val="Calibri"/>
      <charset val="134"/>
    </font>
    <font>
      <b/>
      <sz val="11"/>
      <color theme="1"/>
      <name val="Calibri"/>
      <charset val="134"/>
      <scheme val="minor"/>
    </font>
    <font>
      <b/>
      <sz val="11"/>
      <color rgb="FFA52A2A"/>
      <name val="Calibri"/>
      <charset val="134"/>
      <scheme val="minor"/>
    </font>
    <font>
      <b/>
      <sz val="11"/>
      <color rgb="FF0000FF"/>
      <name val="Calibri"/>
      <charset val="134"/>
      <scheme val="minor"/>
    </font>
    <font>
      <b/>
      <sz val="11"/>
      <color rgb="FF00B0F0"/>
      <name val="Calibri"/>
      <charset val="134"/>
      <scheme val="minor"/>
    </font>
    <font>
      <b/>
      <sz val="11"/>
      <color rgb="FFFF0000"/>
      <name val="Calibri"/>
      <charset val="134"/>
      <scheme val="minor"/>
    </font>
    <font>
      <b/>
      <sz val="11"/>
      <color theme="9" tint="-0.25"/>
      <name val="Calibri"/>
      <charset val="134"/>
      <scheme val="minor"/>
    </font>
    <font>
      <sz val="11"/>
      <color theme="1"/>
      <name val="&quot;Google Sans&quot;"/>
      <charset val="134"/>
    </font>
    <font>
      <sz val="11"/>
      <color theme="1"/>
      <name val="Twentieth Century"/>
      <charset val="134"/>
    </font>
    <font>
      <b/>
      <i/>
      <sz val="11"/>
      <color theme="1"/>
      <name val="Calibri"/>
      <charset val="134"/>
    </font>
    <font>
      <sz val="9"/>
      <color rgb="FF000000"/>
      <name val="&quot;Google Sans Mono&quot;"/>
      <charset val="134"/>
    </font>
    <font>
      <b/>
      <sz val="9"/>
      <color rgb="FF000000"/>
      <name val="&quot;Google Sans Mono&quot;"/>
      <charset val="134"/>
    </font>
    <font>
      <sz val="11"/>
      <color rgb="FF1F1F1F"/>
      <name val="&quot;Google Sans&quot;"/>
      <charset val="134"/>
    </font>
    <font>
      <b/>
      <sz val="10"/>
      <color theme="1"/>
      <name val="Arial"/>
      <charset val="134"/>
    </font>
    <font>
      <sz val="10.5"/>
      <color rgb="FF0D0D0D"/>
      <name val="Consolas"/>
      <charset val="134"/>
    </font>
    <font>
      <sz val="11"/>
      <color rgb="FFFF0000"/>
      <name val="Calibri"/>
      <charset val="134"/>
      <scheme val="minor"/>
    </font>
    <font>
      <b/>
      <sz val="11"/>
      <color theme="1"/>
      <name val="Twentieth Century"/>
      <charset val="134"/>
    </font>
    <font>
      <b/>
      <sz val="12"/>
      <color theme="1"/>
      <name val="Twentieth Century"/>
      <charset val="134"/>
    </font>
    <font>
      <b/>
      <sz val="11"/>
      <color theme="0"/>
      <name val="Twentieth Century"/>
      <charset val="134"/>
    </font>
    <font>
      <sz val="9"/>
      <color rgb="FF000000"/>
      <name val="Arial"/>
      <charset val="134"/>
    </font>
    <font>
      <sz val="11"/>
      <color rgb="FFFFFFFF"/>
      <name val="&quot;Söhne Mono&quot;"/>
      <charset val="134"/>
    </font>
    <font>
      <sz val="10"/>
      <color theme="1"/>
      <name val="Arial"/>
      <charset val="134"/>
    </font>
    <font>
      <sz val="10"/>
      <color theme="1"/>
      <name val="Calibri"/>
      <charset val="134"/>
    </font>
    <font>
      <sz val="7"/>
      <color rgb="FFFFFFFF"/>
      <name val="Quattrocento Sans"/>
      <charset val="134"/>
    </font>
    <font>
      <b/>
      <i/>
      <sz val="14"/>
      <color rgb="FF800080"/>
      <name val="Calibri"/>
      <charset val="134"/>
    </font>
    <font>
      <sz val="10"/>
      <color rgb="FF800000"/>
      <name val="Calibri"/>
      <charset val="134"/>
    </font>
    <font>
      <b/>
      <i/>
      <sz val="12"/>
      <color rgb="FF800080"/>
      <name val="Calibri"/>
      <charset val="134"/>
    </font>
    <font>
      <b/>
      <sz val="12"/>
      <color theme="1"/>
      <name val="Calibri"/>
      <charset val="134"/>
    </font>
    <font>
      <b/>
      <u/>
      <sz val="12"/>
      <color theme="1"/>
      <name val="Calibri"/>
      <charset val="134"/>
    </font>
    <font>
      <b/>
      <sz val="12"/>
      <color rgb="FF800000"/>
      <name val="Calibri"/>
      <charset val="134"/>
    </font>
    <font>
      <b/>
      <sz val="14"/>
      <color rgb="FF800000"/>
      <name val="Calibri"/>
      <charset val="134"/>
    </font>
    <font>
      <b/>
      <u/>
      <sz val="11"/>
      <color theme="1"/>
      <name val="Calibri"/>
      <charset val="134"/>
    </font>
    <font>
      <i/>
      <sz val="11"/>
      <color theme="1"/>
      <name val="Calibri"/>
      <charset val="134"/>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b/>
      <sz val="11"/>
      <color rgb="FFFF0000"/>
      <name val="Calibri"/>
      <charset val="134"/>
    </font>
    <font>
      <b/>
      <sz val="11"/>
      <color theme="1"/>
      <name val="Tw Cen MT"/>
      <charset val="134"/>
    </font>
    <font>
      <sz val="11"/>
      <color theme="1"/>
      <name val="Tw Cen MT"/>
      <charset val="134"/>
    </font>
    <font>
      <sz val="10"/>
      <name val="SimSun"/>
      <charset val="134"/>
    </font>
    <font>
      <b/>
      <sz val="9"/>
      <name val="Times New Roman"/>
      <charset val="0"/>
    </font>
  </fonts>
  <fills count="53">
    <fill>
      <patternFill patternType="none"/>
    </fill>
    <fill>
      <patternFill patternType="gray125"/>
    </fill>
    <fill>
      <patternFill patternType="solid">
        <fgColor theme="1"/>
        <bgColor indexed="64"/>
      </patternFill>
    </fill>
    <fill>
      <patternFill patternType="solid">
        <fgColor rgb="FFE2EFD9"/>
        <bgColor rgb="FFE2EFD9"/>
      </patternFill>
    </fill>
    <fill>
      <patternFill patternType="solid">
        <fgColor rgb="FFFFFFFF"/>
        <bgColor rgb="FFFFFFFF"/>
      </patternFill>
    </fill>
    <fill>
      <patternFill patternType="solid">
        <fgColor rgb="FFD9E2F3"/>
        <bgColor rgb="FFD9E2F3"/>
      </patternFill>
    </fill>
    <fill>
      <patternFill patternType="solid">
        <fgColor rgb="FFFFFF00"/>
        <bgColor rgb="FFFFFF00"/>
      </patternFill>
    </fill>
    <fill>
      <patternFill patternType="solid">
        <fgColor theme="7" tint="0.6"/>
        <bgColor indexed="64"/>
      </patternFill>
    </fill>
    <fill>
      <patternFill patternType="solid">
        <fgColor rgb="FFEADC86"/>
        <bgColor rgb="FFEADC86"/>
      </patternFill>
    </fill>
    <fill>
      <patternFill patternType="solid">
        <fgColor rgb="FF999999"/>
        <bgColor rgb="FF999999"/>
      </patternFill>
    </fill>
    <fill>
      <patternFill patternType="solid">
        <fgColor rgb="FFA6D7E2"/>
        <bgColor rgb="FFA6D7E2"/>
      </patternFill>
    </fill>
    <fill>
      <patternFill patternType="solid">
        <fgColor rgb="FF2F5496"/>
        <bgColor rgb="FF2F5496"/>
      </patternFill>
    </fill>
    <fill>
      <patternFill patternType="solid">
        <fgColor theme="0"/>
        <bgColor theme="0"/>
      </patternFill>
    </fill>
    <fill>
      <patternFill patternType="solid">
        <fgColor rgb="FFFEF2CB"/>
        <bgColor rgb="FFFEF2CB"/>
      </patternFill>
    </fill>
    <fill>
      <patternFill patternType="solid">
        <fgColor rgb="FFBF9000"/>
        <bgColor rgb="FFBF9000"/>
      </patternFill>
    </fill>
    <fill>
      <patternFill patternType="solid">
        <fgColor rgb="FF385623"/>
        <bgColor rgb="FF385623"/>
      </patternFill>
    </fill>
    <fill>
      <patternFill patternType="solid">
        <fgColor rgb="FFDEEAF6"/>
        <bgColor rgb="FFDEEAF6"/>
      </patternFill>
    </fill>
    <fill>
      <patternFill patternType="solid">
        <fgColor rgb="FFBDD6EE"/>
        <bgColor rgb="FFBDD6EE"/>
      </patternFill>
    </fill>
    <fill>
      <patternFill patternType="solid">
        <fgColor rgb="FFFBE4D5"/>
        <bgColor rgb="FFFBE4D5"/>
      </patternFill>
    </fill>
    <fill>
      <patternFill patternType="solid">
        <fgColor rgb="FF0C0C0C"/>
        <bgColor rgb="FF0C0C0C"/>
      </patternFill>
    </fill>
    <fill>
      <patternFill patternType="solid">
        <fgColor theme="1"/>
        <bgColor theme="1"/>
      </patternFill>
    </fill>
    <fill>
      <patternFill patternType="solid">
        <fgColor rgb="FFFFFFB7"/>
        <bgColor rgb="FFFFFFB7"/>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4">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thin">
        <color rgb="FFA5A5A5"/>
      </left>
      <right/>
      <top style="thin">
        <color rgb="FFA5A5A5"/>
      </top>
      <bottom/>
      <diagonal/>
    </border>
    <border>
      <left/>
      <right/>
      <top style="thin">
        <color rgb="FFA5A5A5"/>
      </top>
      <bottom/>
      <diagonal/>
    </border>
    <border>
      <left/>
      <right style="thin">
        <color rgb="FFA5A5A5"/>
      </right>
      <top style="thin">
        <color rgb="FFA5A5A5"/>
      </top>
      <bottom/>
      <diagonal/>
    </border>
    <border>
      <left style="thin">
        <color rgb="FFA5A5A5"/>
      </left>
      <right/>
      <top/>
      <bottom style="thin">
        <color rgb="FFA5A5A5"/>
      </bottom>
      <diagonal/>
    </border>
    <border>
      <left/>
      <right/>
      <top/>
      <bottom style="thin">
        <color rgb="FFA5A5A5"/>
      </bottom>
      <diagonal/>
    </border>
    <border>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auto="1"/>
      </left>
      <right style="thin">
        <color auto="1"/>
      </right>
      <top style="thin">
        <color auto="1"/>
      </top>
      <bottom style="thin">
        <color auto="1"/>
      </bottom>
      <diagonal/>
    </border>
    <border>
      <left style="thin">
        <color rgb="FFA5A5A5"/>
      </left>
      <right/>
      <top/>
      <bottom/>
      <diagonal/>
    </border>
    <border>
      <left style="thin">
        <color rgb="FFA5A5A5"/>
      </left>
      <right/>
      <top style="thin">
        <color rgb="FFA5A5A5"/>
      </top>
      <bottom style="thin">
        <color rgb="FFA5A5A5"/>
      </bottom>
      <diagonal/>
    </border>
    <border>
      <left/>
      <right style="thin">
        <color rgb="FFA5A5A5"/>
      </right>
      <top/>
      <bottom/>
      <diagonal/>
    </border>
    <border>
      <left/>
      <right/>
      <top/>
      <bottom style="medium">
        <color rgb="FFA5A5A5"/>
      </bottom>
      <diagonal/>
    </border>
    <border>
      <left style="thin">
        <color rgb="FFA5A5A5"/>
      </left>
      <right style="thin">
        <color rgb="FF000000"/>
      </right>
      <top style="thin">
        <color rgb="FFA5A5A5"/>
      </top>
      <bottom style="thin">
        <color rgb="FFA5A5A5"/>
      </bottom>
      <diagonal/>
    </border>
    <border>
      <left style="thin">
        <color rgb="FF000000"/>
      </left>
      <right style="thin">
        <color auto="1"/>
      </right>
      <top style="thin">
        <color auto="1"/>
      </top>
      <bottom style="thin">
        <color rgb="FF00000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176" fontId="0" fillId="0" borderId="0" applyFont="0" applyFill="0" applyBorder="0" applyAlignment="0" applyProtection="0">
      <alignment vertical="center"/>
    </xf>
    <xf numFmtId="177" fontId="0" fillId="0" borderId="0" applyFont="0" applyFill="0" applyBorder="0" applyAlignment="0" applyProtection="0">
      <alignment vertical="center"/>
    </xf>
    <xf numFmtId="9" fontId="0" fillId="0" borderId="0" applyFont="0" applyFill="0" applyBorder="0" applyAlignment="0" applyProtection="0">
      <alignment vertical="center"/>
    </xf>
    <xf numFmtId="178" fontId="0" fillId="0" borderId="0" applyFont="0" applyFill="0" applyBorder="0" applyAlignment="0" applyProtection="0">
      <alignment vertical="center"/>
    </xf>
    <xf numFmtId="179"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0" fillId="22" borderId="26" applyNumberFormat="0" applyFont="0" applyAlignment="0" applyProtection="0">
      <alignment vertical="center"/>
    </xf>
    <xf numFmtId="0" fontId="42"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5" fillId="0" borderId="27" applyNumberFormat="0" applyFill="0" applyAlignment="0" applyProtection="0">
      <alignment vertical="center"/>
    </xf>
    <xf numFmtId="0" fontId="46" fillId="0" borderId="27" applyNumberFormat="0" applyFill="0" applyAlignment="0" applyProtection="0">
      <alignment vertical="center"/>
    </xf>
    <xf numFmtId="0" fontId="47" fillId="0" borderId="28" applyNumberFormat="0" applyFill="0" applyAlignment="0" applyProtection="0">
      <alignment vertical="center"/>
    </xf>
    <xf numFmtId="0" fontId="47" fillId="0" borderId="0" applyNumberFormat="0" applyFill="0" applyBorder="0" applyAlignment="0" applyProtection="0">
      <alignment vertical="center"/>
    </xf>
    <xf numFmtId="0" fontId="48" fillId="23" borderId="29" applyNumberFormat="0" applyAlignment="0" applyProtection="0">
      <alignment vertical="center"/>
    </xf>
    <xf numFmtId="0" fontId="49" fillId="24" borderId="30" applyNumberFormat="0" applyAlignment="0" applyProtection="0">
      <alignment vertical="center"/>
    </xf>
    <xf numFmtId="0" fontId="50" fillId="24" borderId="29" applyNumberFormat="0" applyAlignment="0" applyProtection="0">
      <alignment vertical="center"/>
    </xf>
    <xf numFmtId="0" fontId="51" fillId="25" borderId="31" applyNumberFormat="0" applyAlignment="0" applyProtection="0">
      <alignment vertical="center"/>
    </xf>
    <xf numFmtId="0" fontId="52" fillId="0" borderId="32" applyNumberFormat="0" applyFill="0" applyAlignment="0" applyProtection="0">
      <alignment vertical="center"/>
    </xf>
    <xf numFmtId="0" fontId="53" fillId="0" borderId="33" applyNumberFormat="0" applyFill="0" applyAlignment="0" applyProtection="0">
      <alignment vertical="center"/>
    </xf>
    <xf numFmtId="0" fontId="54" fillId="26" borderId="0" applyNumberFormat="0" applyBorder="0" applyAlignment="0" applyProtection="0">
      <alignment vertical="center"/>
    </xf>
    <xf numFmtId="0" fontId="55" fillId="27" borderId="0" applyNumberFormat="0" applyBorder="0" applyAlignment="0" applyProtection="0">
      <alignment vertical="center"/>
    </xf>
    <xf numFmtId="0" fontId="56" fillId="28" borderId="0" applyNumberFormat="0" applyBorder="0" applyAlignment="0" applyProtection="0">
      <alignment vertical="center"/>
    </xf>
    <xf numFmtId="0" fontId="57" fillId="29" borderId="0" applyNumberFormat="0" applyBorder="0" applyAlignment="0" applyProtection="0">
      <alignment vertical="center"/>
    </xf>
    <xf numFmtId="0" fontId="58" fillId="30" borderId="0" applyNumberFormat="0" applyBorder="0" applyAlignment="0" applyProtection="0">
      <alignment vertical="center"/>
    </xf>
    <xf numFmtId="0" fontId="58" fillId="31" borderId="0" applyNumberFormat="0" applyBorder="0" applyAlignment="0" applyProtection="0">
      <alignment vertical="center"/>
    </xf>
    <xf numFmtId="0" fontId="57" fillId="32" borderId="0" applyNumberFormat="0" applyBorder="0" applyAlignment="0" applyProtection="0">
      <alignment vertical="center"/>
    </xf>
    <xf numFmtId="0" fontId="57" fillId="33" borderId="0" applyNumberFormat="0" applyBorder="0" applyAlignment="0" applyProtection="0">
      <alignment vertical="center"/>
    </xf>
    <xf numFmtId="0" fontId="58" fillId="34" borderId="0" applyNumberFormat="0" applyBorder="0" applyAlignment="0" applyProtection="0">
      <alignment vertical="center"/>
    </xf>
    <xf numFmtId="0" fontId="58" fillId="35" borderId="0" applyNumberFormat="0" applyBorder="0" applyAlignment="0" applyProtection="0">
      <alignment vertical="center"/>
    </xf>
    <xf numFmtId="0" fontId="57" fillId="36" borderId="0" applyNumberFormat="0" applyBorder="0" applyAlignment="0" applyProtection="0">
      <alignment vertical="center"/>
    </xf>
    <xf numFmtId="0" fontId="57" fillId="37" borderId="0" applyNumberFormat="0" applyBorder="0" applyAlignment="0" applyProtection="0">
      <alignment vertical="center"/>
    </xf>
    <xf numFmtId="0" fontId="58" fillId="38" borderId="0" applyNumberFormat="0" applyBorder="0" applyAlignment="0" applyProtection="0">
      <alignment vertical="center"/>
    </xf>
    <xf numFmtId="0" fontId="58" fillId="39" borderId="0" applyNumberFormat="0" applyBorder="0" applyAlignment="0" applyProtection="0">
      <alignment vertical="center"/>
    </xf>
    <xf numFmtId="0" fontId="57" fillId="40" borderId="0" applyNumberFormat="0" applyBorder="0" applyAlignment="0" applyProtection="0">
      <alignment vertical="center"/>
    </xf>
    <xf numFmtId="0" fontId="57" fillId="41" borderId="0" applyNumberFormat="0" applyBorder="0" applyAlignment="0" applyProtection="0">
      <alignment vertical="center"/>
    </xf>
    <xf numFmtId="0" fontId="58" fillId="42" borderId="0" applyNumberFormat="0" applyBorder="0" applyAlignment="0" applyProtection="0">
      <alignment vertical="center"/>
    </xf>
    <xf numFmtId="0" fontId="58" fillId="43" borderId="0" applyNumberFormat="0" applyBorder="0" applyAlignment="0" applyProtection="0">
      <alignment vertical="center"/>
    </xf>
    <xf numFmtId="0" fontId="57" fillId="44" borderId="0" applyNumberFormat="0" applyBorder="0" applyAlignment="0" applyProtection="0">
      <alignment vertical="center"/>
    </xf>
    <xf numFmtId="0" fontId="57" fillId="45" borderId="0" applyNumberFormat="0" applyBorder="0" applyAlignment="0" applyProtection="0">
      <alignment vertical="center"/>
    </xf>
    <xf numFmtId="0" fontId="58" fillId="46" borderId="0" applyNumberFormat="0" applyBorder="0" applyAlignment="0" applyProtection="0">
      <alignment vertical="center"/>
    </xf>
    <xf numFmtId="0" fontId="58" fillId="47" borderId="0" applyNumberFormat="0" applyBorder="0" applyAlignment="0" applyProtection="0">
      <alignment vertical="center"/>
    </xf>
    <xf numFmtId="0" fontId="57" fillId="48" borderId="0" applyNumberFormat="0" applyBorder="0" applyAlignment="0" applyProtection="0">
      <alignment vertical="center"/>
    </xf>
    <xf numFmtId="0" fontId="57" fillId="49" borderId="0" applyNumberFormat="0" applyBorder="0" applyAlignment="0" applyProtection="0">
      <alignment vertical="center"/>
    </xf>
    <xf numFmtId="0" fontId="58" fillId="50" borderId="0" applyNumberFormat="0" applyBorder="0" applyAlignment="0" applyProtection="0">
      <alignment vertical="center"/>
    </xf>
    <xf numFmtId="0" fontId="58" fillId="51" borderId="0" applyNumberFormat="0" applyBorder="0" applyAlignment="0" applyProtection="0">
      <alignment vertical="center"/>
    </xf>
    <xf numFmtId="0" fontId="57" fillId="52" borderId="0" applyNumberFormat="0" applyBorder="0" applyAlignment="0" applyProtection="0">
      <alignment vertical="center"/>
    </xf>
  </cellStyleXfs>
  <cellXfs count="186">
    <xf numFmtId="0" fontId="0" fillId="0" borderId="0" xfId="0" applyFont="1" applyAlignment="1"/>
    <xf numFmtId="0" fontId="0" fillId="0" borderId="0" xfId="0" applyFont="1" applyBorder="1" applyAlignment="1"/>
    <xf numFmtId="0" fontId="1" fillId="2" borderId="0" xfId="0" applyFont="1" applyFill="1" applyAlignment="1">
      <alignment horizontal="center"/>
    </xf>
    <xf numFmtId="9" fontId="2" fillId="3" borderId="1" xfId="0" applyNumberFormat="1" applyFont="1" applyFill="1" applyBorder="1" applyAlignment="1">
      <alignment horizontal="center"/>
    </xf>
    <xf numFmtId="0" fontId="3" fillId="0" borderId="2" xfId="0" applyFont="1" applyBorder="1"/>
    <xf numFmtId="0" fontId="2" fillId="0" borderId="3" xfId="0" applyFont="1" applyBorder="1"/>
    <xf numFmtId="0" fontId="4" fillId="0" borderId="3" xfId="0" applyFont="1" applyBorder="1"/>
    <xf numFmtId="0" fontId="4" fillId="0" borderId="0" xfId="0" applyFont="1"/>
    <xf numFmtId="0" fontId="5" fillId="2" borderId="0" xfId="0" applyFont="1" applyFill="1" applyAlignment="1">
      <alignment horizontal="center"/>
    </xf>
    <xf numFmtId="0" fontId="6" fillId="0" borderId="0" xfId="0" applyFont="1" applyBorder="1" applyAlignment="1"/>
    <xf numFmtId="0" fontId="7" fillId="0" borderId="0" xfId="0" applyFont="1" applyBorder="1" applyAlignment="1"/>
    <xf numFmtId="0" fontId="4" fillId="0" borderId="0" xfId="0" applyFont="1" applyBorder="1"/>
    <xf numFmtId="0" fontId="4" fillId="0" borderId="0" xfId="0" applyFont="1" applyBorder="1" applyAlignment="1"/>
    <xf numFmtId="0" fontId="8" fillId="0" borderId="0" xfId="0" applyNumberFormat="1" applyFont="1" applyFill="1" applyBorder="1" applyAlignment="1" applyProtection="1"/>
    <xf numFmtId="0" fontId="9" fillId="0" borderId="0" xfId="0" applyNumberFormat="1" applyFont="1" applyFill="1" applyBorder="1" applyAlignment="1" applyProtection="1"/>
    <xf numFmtId="0" fontId="10" fillId="0" borderId="0" xfId="0" applyFont="1" applyBorder="1" applyAlignment="1"/>
    <xf numFmtId="0" fontId="11" fillId="0" borderId="0" xfId="0" applyFont="1" applyAlignment="1"/>
    <xf numFmtId="0" fontId="12" fillId="0" borderId="0" xfId="0" applyFont="1" applyAlignment="1"/>
    <xf numFmtId="0" fontId="13" fillId="0" borderId="0" xfId="0" applyFont="1" applyAlignment="1"/>
    <xf numFmtId="0" fontId="14" fillId="4" borderId="0" xfId="0" applyFont="1" applyFill="1" applyBorder="1" applyAlignment="1"/>
    <xf numFmtId="0" fontId="15" fillId="0" borderId="0" xfId="0" applyFont="1"/>
    <xf numFmtId="0" fontId="15" fillId="5" borderId="4" xfId="0" applyFont="1" applyFill="1" applyBorder="1"/>
    <xf numFmtId="0" fontId="4" fillId="5" borderId="5" xfId="0" applyFont="1" applyFill="1" applyBorder="1"/>
    <xf numFmtId="0" fontId="15" fillId="5" borderId="6" xfId="0" applyFont="1" applyFill="1" applyBorder="1"/>
    <xf numFmtId="0" fontId="4" fillId="5" borderId="0" xfId="0" applyFont="1" applyFill="1" applyBorder="1"/>
    <xf numFmtId="0" fontId="4" fillId="5" borderId="7" xfId="0" applyFont="1" applyFill="1" applyBorder="1"/>
    <xf numFmtId="0" fontId="4" fillId="5" borderId="8" xfId="0" applyFont="1" applyFill="1" applyBorder="1"/>
    <xf numFmtId="0" fontId="16" fillId="6" borderId="0" xfId="0" applyFont="1" applyFill="1" applyBorder="1"/>
    <xf numFmtId="0" fontId="4" fillId="6" borderId="0" xfId="0" applyFont="1" applyFill="1" applyBorder="1"/>
    <xf numFmtId="0" fontId="2" fillId="0" borderId="0" xfId="0" applyFont="1"/>
    <xf numFmtId="0" fontId="16" fillId="0" borderId="0" xfId="0" applyFont="1"/>
    <xf numFmtId="0" fontId="2" fillId="3" borderId="3" xfId="0" applyFont="1" applyFill="1" applyBorder="1"/>
    <xf numFmtId="0" fontId="2" fillId="3" borderId="3" xfId="0" applyFont="1" applyFill="1" applyBorder="1" applyAlignment="1">
      <alignment horizontal="center"/>
    </xf>
    <xf numFmtId="0" fontId="4" fillId="0" borderId="0" xfId="0" applyFont="1" applyAlignment="1">
      <alignment horizontal="center"/>
    </xf>
    <xf numFmtId="180" fontId="4" fillId="0" borderId="0" xfId="0" applyNumberFormat="1" applyFont="1"/>
    <xf numFmtId="0" fontId="17" fillId="4" borderId="3" xfId="0" applyFont="1" applyFill="1" applyBorder="1"/>
    <xf numFmtId="2" fontId="2" fillId="0" borderId="3" xfId="0" applyNumberFormat="1" applyFont="1" applyBorder="1"/>
    <xf numFmtId="2" fontId="18" fillId="4" borderId="3" xfId="0" applyNumberFormat="1" applyFont="1" applyFill="1" applyBorder="1"/>
    <xf numFmtId="0" fontId="19" fillId="4" borderId="3" xfId="0" applyFont="1" applyFill="1" applyBorder="1" applyAlignment="1"/>
    <xf numFmtId="2" fontId="4" fillId="0" borderId="3" xfId="0" applyNumberFormat="1" applyFont="1" applyBorder="1"/>
    <xf numFmtId="0" fontId="20" fillId="3" borderId="3" xfId="0" applyFont="1" applyFill="1" applyBorder="1"/>
    <xf numFmtId="180" fontId="4" fillId="0" borderId="3" xfId="0" applyNumberFormat="1" applyFont="1" applyBorder="1"/>
    <xf numFmtId="0" fontId="4" fillId="5" borderId="9" xfId="0" applyFont="1" applyFill="1" applyBorder="1"/>
    <xf numFmtId="0" fontId="4" fillId="5" borderId="10" xfId="0" applyFont="1" applyFill="1" applyBorder="1"/>
    <xf numFmtId="0" fontId="4" fillId="5" borderId="11" xfId="0" applyFont="1" applyFill="1" applyBorder="1"/>
    <xf numFmtId="0" fontId="21" fillId="0" borderId="0" xfId="0" applyFont="1"/>
    <xf numFmtId="0" fontId="0" fillId="0" borderId="0" xfId="0" applyNumberFormat="1" applyFont="1" applyAlignment="1"/>
    <xf numFmtId="181" fontId="21" fillId="0" borderId="0" xfId="0" applyNumberFormat="1" applyFont="1"/>
    <xf numFmtId="0" fontId="22" fillId="0" borderId="0" xfId="0" applyFont="1" applyAlignment="1"/>
    <xf numFmtId="181" fontId="21" fillId="7" borderId="0" xfId="0" applyNumberFormat="1" applyFont="1" applyFill="1"/>
    <xf numFmtId="182" fontId="21" fillId="0" borderId="0" xfId="0" applyNumberFormat="1" applyFont="1"/>
    <xf numFmtId="0" fontId="0" fillId="0" borderId="0" xfId="0" applyFont="1" applyAlignment="1">
      <alignment horizontal="center" vertical="top" wrapText="1"/>
    </xf>
    <xf numFmtId="183" fontId="15" fillId="0" borderId="0" xfId="0" applyNumberFormat="1" applyFont="1"/>
    <xf numFmtId="0" fontId="15" fillId="8" borderId="12" xfId="0" applyFont="1" applyFill="1" applyBorder="1"/>
    <xf numFmtId="0" fontId="15" fillId="8" borderId="13" xfId="0" applyFont="1" applyFill="1" applyBorder="1"/>
    <xf numFmtId="0" fontId="15" fillId="8" borderId="14" xfId="0" applyFont="1" applyFill="1" applyBorder="1"/>
    <xf numFmtId="0" fontId="15" fillId="8" borderId="15" xfId="0" applyFont="1" applyFill="1" applyBorder="1"/>
    <xf numFmtId="0" fontId="15" fillId="8" borderId="16" xfId="0" applyFont="1" applyFill="1" applyBorder="1"/>
    <xf numFmtId="0" fontId="15" fillId="8" borderId="17" xfId="0" applyFont="1" applyFill="1" applyBorder="1"/>
    <xf numFmtId="0" fontId="15" fillId="0" borderId="0" xfId="0" applyFont="1" applyAlignment="1">
      <alignment horizontal="center" vertical="top" wrapText="1"/>
    </xf>
    <xf numFmtId="0" fontId="23" fillId="8" borderId="18" xfId="0" applyFont="1" applyFill="1" applyBorder="1" applyAlignment="1">
      <alignment horizontal="center" vertical="top" wrapText="1"/>
    </xf>
    <xf numFmtId="0" fontId="23" fillId="8" borderId="19" xfId="0" applyFont="1" applyFill="1" applyBorder="1" applyAlignment="1">
      <alignment horizontal="center" vertical="top" wrapText="1"/>
    </xf>
    <xf numFmtId="184" fontId="15" fillId="0" borderId="18" xfId="0" applyNumberFormat="1" applyFont="1" applyBorder="1"/>
    <xf numFmtId="0" fontId="15" fillId="0" borderId="18" xfId="0" applyFont="1" applyBorder="1"/>
    <xf numFmtId="2" fontId="15" fillId="0" borderId="18" xfId="0" applyNumberFormat="1" applyFont="1" applyBorder="1"/>
    <xf numFmtId="185" fontId="15" fillId="0" borderId="0" xfId="0" applyNumberFormat="1" applyFont="1"/>
    <xf numFmtId="0" fontId="15" fillId="0" borderId="0" xfId="0" applyFont="1" applyBorder="1" applyAlignment="1">
      <alignment wrapText="1"/>
    </xf>
    <xf numFmtId="0" fontId="24" fillId="0" borderId="0" xfId="0" applyFont="1" applyBorder="1"/>
    <xf numFmtId="185" fontId="17" fillId="4" borderId="0" xfId="0" applyNumberFormat="1" applyFont="1" applyFill="1"/>
    <xf numFmtId="186" fontId="15" fillId="0" borderId="0" xfId="0" applyNumberFormat="1" applyFont="1"/>
    <xf numFmtId="10" fontId="15" fillId="0" borderId="0" xfId="0" applyNumberFormat="1" applyFont="1"/>
    <xf numFmtId="186" fontId="15" fillId="9" borderId="0" xfId="0" applyNumberFormat="1" applyFont="1" applyFill="1" applyBorder="1"/>
    <xf numFmtId="2" fontId="15" fillId="0" borderId="0" xfId="0" applyNumberFormat="1" applyFont="1"/>
    <xf numFmtId="4" fontId="15" fillId="0" borderId="0" xfId="0" applyNumberFormat="1" applyFont="1"/>
    <xf numFmtId="0" fontId="15" fillId="0" borderId="0" xfId="0" applyFont="1" applyAlignment="1">
      <alignment horizontal="center" vertical="center"/>
    </xf>
    <xf numFmtId="0" fontId="15" fillId="6" borderId="0" xfId="0" applyFont="1" applyFill="1" applyBorder="1" applyAlignment="1">
      <alignment horizontal="center" vertical="center" wrapText="1"/>
    </xf>
    <xf numFmtId="0" fontId="15" fillId="6" borderId="0" xfId="0" applyFont="1" applyFill="1" applyBorder="1" applyAlignment="1">
      <alignment horizontal="center" vertical="center"/>
    </xf>
    <xf numFmtId="4" fontId="15" fillId="6" borderId="0" xfId="0" applyNumberFormat="1" applyFont="1" applyFill="1" applyBorder="1" applyAlignment="1">
      <alignment horizontal="center" vertical="center"/>
    </xf>
    <xf numFmtId="183" fontId="15" fillId="6" borderId="0" xfId="0" applyNumberFormat="1" applyFont="1" applyFill="1" applyBorder="1" applyAlignment="1">
      <alignment horizontal="center" vertical="center"/>
    </xf>
    <xf numFmtId="0" fontId="15" fillId="0" borderId="0" xfId="0" applyFont="1" applyAlignment="1">
      <alignment wrapText="1"/>
    </xf>
    <xf numFmtId="0" fontId="15" fillId="10" borderId="12" xfId="0" applyFont="1" applyFill="1" applyBorder="1"/>
    <xf numFmtId="0" fontId="15" fillId="10" borderId="13" xfId="0" applyFont="1" applyFill="1" applyBorder="1"/>
    <xf numFmtId="0" fontId="15" fillId="10" borderId="20" xfId="0" applyFont="1" applyFill="1" applyBorder="1"/>
    <xf numFmtId="0" fontId="15" fillId="10" borderId="0" xfId="0" applyFont="1" applyFill="1" applyBorder="1"/>
    <xf numFmtId="0" fontId="15" fillId="10" borderId="15" xfId="0" applyFont="1" applyFill="1" applyBorder="1"/>
    <xf numFmtId="0" fontId="15" fillId="10" borderId="16" xfId="0" applyFont="1" applyFill="1" applyBorder="1"/>
    <xf numFmtId="187" fontId="23" fillId="10" borderId="16" xfId="0" applyNumberFormat="1" applyFont="1" applyFill="1" applyBorder="1"/>
    <xf numFmtId="0" fontId="25" fillId="11" borderId="18" xfId="0" applyFont="1" applyFill="1" applyBorder="1"/>
    <xf numFmtId="0" fontId="25" fillId="11" borderId="21" xfId="0" applyFont="1" applyFill="1" applyBorder="1"/>
    <xf numFmtId="0" fontId="15" fillId="6" borderId="0" xfId="0" applyFont="1" applyFill="1" applyAlignment="1"/>
    <xf numFmtId="0" fontId="15" fillId="4" borderId="0" xfId="0" applyFont="1" applyFill="1" applyAlignment="1"/>
    <xf numFmtId="187" fontId="15" fillId="0" borderId="18" xfId="0" applyNumberFormat="1" applyFont="1" applyBorder="1"/>
    <xf numFmtId="1" fontId="15" fillId="0" borderId="21" xfId="0" applyNumberFormat="1" applyFont="1" applyBorder="1"/>
    <xf numFmtId="1" fontId="15" fillId="12" borderId="3" xfId="0" applyNumberFormat="1" applyFont="1" applyFill="1" applyBorder="1"/>
    <xf numFmtId="1" fontId="15" fillId="0" borderId="3" xfId="0" applyNumberFormat="1" applyFont="1" applyBorder="1"/>
    <xf numFmtId="1" fontId="15" fillId="0" borderId="0" xfId="0" applyNumberFormat="1" applyFont="1"/>
    <xf numFmtId="0" fontId="15" fillId="0" borderId="0" xfId="0" applyFont="1" applyAlignment="1"/>
    <xf numFmtId="0" fontId="15" fillId="4" borderId="0" xfId="0" applyFont="1" applyFill="1" applyBorder="1"/>
    <xf numFmtId="0" fontId="17" fillId="4" borderId="0" xfId="0" applyFont="1" applyFill="1"/>
    <xf numFmtId="0" fontId="15" fillId="13" borderId="12" xfId="0" applyFont="1" applyFill="1" applyBorder="1"/>
    <xf numFmtId="0" fontId="15" fillId="13" borderId="13" xfId="0" applyFont="1" applyFill="1" applyBorder="1"/>
    <xf numFmtId="0" fontId="15" fillId="13" borderId="20" xfId="0" applyFont="1" applyFill="1" applyBorder="1" applyAlignment="1"/>
    <xf numFmtId="0" fontId="15" fillId="13" borderId="0" xfId="0" applyFont="1" applyFill="1" applyBorder="1"/>
    <xf numFmtId="0" fontId="15" fillId="13" borderId="15" xfId="0" applyFont="1" applyFill="1" applyBorder="1"/>
    <xf numFmtId="0" fontId="15" fillId="13" borderId="16" xfId="0" applyFont="1" applyFill="1" applyBorder="1"/>
    <xf numFmtId="0" fontId="15" fillId="13" borderId="14" xfId="0" applyFont="1" applyFill="1" applyBorder="1"/>
    <xf numFmtId="187" fontId="15" fillId="13" borderId="16" xfId="0" applyNumberFormat="1" applyFont="1" applyFill="1" applyBorder="1"/>
    <xf numFmtId="0" fontId="15" fillId="13" borderId="17" xfId="0" applyFont="1" applyFill="1" applyBorder="1"/>
    <xf numFmtId="0" fontId="25" fillId="14" borderId="18" xfId="0" applyFont="1" applyFill="1" applyBorder="1"/>
    <xf numFmtId="0" fontId="0" fillId="0" borderId="0" xfId="0" applyFont="1"/>
    <xf numFmtId="49" fontId="15" fillId="0" borderId="18" xfId="0" applyNumberFormat="1" applyFont="1" applyBorder="1"/>
    <xf numFmtId="0" fontId="23" fillId="13" borderId="3" xfId="0" applyFont="1" applyFill="1" applyBorder="1"/>
    <xf numFmtId="0" fontId="15" fillId="6" borderId="3" xfId="0" applyFont="1" applyFill="1" applyBorder="1"/>
    <xf numFmtId="0" fontId="15" fillId="3" borderId="12" xfId="0" applyFont="1" applyFill="1" applyBorder="1"/>
    <xf numFmtId="0" fontId="15" fillId="3" borderId="13" xfId="0" applyFont="1" applyFill="1" applyBorder="1"/>
    <xf numFmtId="0" fontId="15" fillId="3" borderId="20" xfId="0" applyFont="1" applyFill="1" applyBorder="1"/>
    <xf numFmtId="0" fontId="15" fillId="3" borderId="0" xfId="0" applyFont="1" applyFill="1" applyBorder="1"/>
    <xf numFmtId="0" fontId="15" fillId="3" borderId="15" xfId="0" applyFont="1" applyFill="1" applyBorder="1"/>
    <xf numFmtId="0" fontId="15" fillId="3" borderId="16" xfId="0" applyFont="1" applyFill="1" applyBorder="1"/>
    <xf numFmtId="0" fontId="25" fillId="15" borderId="18" xfId="0" applyFont="1" applyFill="1" applyBorder="1"/>
    <xf numFmtId="0" fontId="15" fillId="0" borderId="18" xfId="0" applyFont="1" applyBorder="1" applyAlignment="1"/>
    <xf numFmtId="0" fontId="15" fillId="6" borderId="1" xfId="0" applyFont="1" applyFill="1" applyBorder="1" applyAlignment="1">
      <alignment horizontal="center"/>
    </xf>
    <xf numFmtId="0" fontId="23" fillId="6" borderId="3" xfId="0" applyFont="1" applyFill="1" applyBorder="1"/>
    <xf numFmtId="0" fontId="15" fillId="3" borderId="14" xfId="0" applyFont="1" applyFill="1" applyBorder="1"/>
    <xf numFmtId="0" fontId="15" fillId="3" borderId="22" xfId="0" applyFont="1" applyFill="1" applyBorder="1"/>
    <xf numFmtId="0" fontId="15" fillId="3" borderId="17" xfId="0" applyFont="1" applyFill="1" applyBorder="1"/>
    <xf numFmtId="0" fontId="15" fillId="16" borderId="23" xfId="0" applyFont="1" applyFill="1" applyBorder="1"/>
    <xf numFmtId="0" fontId="15" fillId="16" borderId="12" xfId="0" applyFont="1" applyFill="1" applyBorder="1"/>
    <xf numFmtId="0" fontId="15" fillId="16" borderId="13" xfId="0" applyFont="1" applyFill="1" applyBorder="1"/>
    <xf numFmtId="0" fontId="15" fillId="16" borderId="20" xfId="0" applyFont="1" applyFill="1" applyBorder="1"/>
    <xf numFmtId="0" fontId="15" fillId="16" borderId="0" xfId="0" applyFont="1" applyFill="1" applyBorder="1"/>
    <xf numFmtId="0" fontId="15" fillId="16" borderId="15" xfId="0" applyFont="1" applyFill="1" applyBorder="1"/>
    <xf numFmtId="0" fontId="15" fillId="16" borderId="16" xfId="0" applyFont="1" applyFill="1" applyBorder="1"/>
    <xf numFmtId="0" fontId="23" fillId="17" borderId="18" xfId="0" applyFont="1" applyFill="1" applyBorder="1" applyAlignment="1">
      <alignment horizontal="left"/>
    </xf>
    <xf numFmtId="0" fontId="23" fillId="17" borderId="24" xfId="0" applyFont="1" applyFill="1" applyBorder="1" applyAlignment="1">
      <alignment horizontal="left"/>
    </xf>
    <xf numFmtId="0" fontId="15" fillId="18" borderId="13" xfId="0" applyFont="1" applyFill="1" applyBorder="1"/>
    <xf numFmtId="0" fontId="15" fillId="0" borderId="18" xfId="0" applyFont="1" applyBorder="1" applyAlignment="1">
      <alignment horizontal="left"/>
    </xf>
    <xf numFmtId="49" fontId="15" fillId="0" borderId="18" xfId="0" applyNumberFormat="1" applyFont="1" applyBorder="1" applyAlignment="1">
      <alignment horizontal="left"/>
    </xf>
    <xf numFmtId="49" fontId="15" fillId="0" borderId="24" xfId="0" applyNumberFormat="1" applyFont="1" applyBorder="1" applyAlignment="1">
      <alignment horizontal="left"/>
    </xf>
    <xf numFmtId="0" fontId="15" fillId="18" borderId="0" xfId="0" applyFont="1" applyFill="1" applyBorder="1"/>
    <xf numFmtId="0" fontId="15" fillId="18" borderId="16" xfId="0" applyFont="1" applyFill="1" applyBorder="1"/>
    <xf numFmtId="0" fontId="23" fillId="16" borderId="3" xfId="0" applyFont="1" applyFill="1" applyBorder="1"/>
    <xf numFmtId="0" fontId="15" fillId="16" borderId="14" xfId="0" applyFont="1" applyFill="1" applyBorder="1"/>
    <xf numFmtId="0" fontId="15" fillId="16" borderId="22" xfId="0" applyFont="1" applyFill="1" applyBorder="1"/>
    <xf numFmtId="0" fontId="15" fillId="6" borderId="3" xfId="0" applyFont="1" applyFill="1" applyBorder="1" applyAlignment="1"/>
    <xf numFmtId="0" fontId="26" fillId="6" borderId="3" xfId="0" applyFont="1" applyFill="1" applyBorder="1" applyAlignment="1"/>
    <xf numFmtId="0" fontId="15" fillId="16" borderId="17" xfId="0" applyFont="1" applyFill="1" applyBorder="1"/>
    <xf numFmtId="0" fontId="15" fillId="12" borderId="0" xfId="0" applyFont="1" applyFill="1" applyBorder="1"/>
    <xf numFmtId="0" fontId="17" fillId="4" borderId="0" xfId="0" applyFont="1" applyFill="1" applyAlignment="1"/>
    <xf numFmtId="0" fontId="27" fillId="4" borderId="0" xfId="0" applyFont="1" applyFill="1" applyAlignment="1">
      <alignment horizontal="left"/>
    </xf>
    <xf numFmtId="0" fontId="0" fillId="0" borderId="0" xfId="0" applyFont="1" applyBorder="1" applyAlignment="1">
      <alignment horizontal="center"/>
    </xf>
    <xf numFmtId="0" fontId="2" fillId="0" borderId="0" xfId="0" applyFont="1" applyBorder="1" applyAlignment="1">
      <alignment horizontal="center"/>
    </xf>
    <xf numFmtId="0" fontId="20" fillId="0" borderId="0" xfId="0" applyFont="1" applyBorder="1" applyAlignment="1">
      <alignment horizontal="center"/>
    </xf>
    <xf numFmtId="180" fontId="4" fillId="0" borderId="0" xfId="0" applyNumberFormat="1" applyFont="1" applyBorder="1"/>
    <xf numFmtId="188" fontId="28" fillId="0" borderId="0" xfId="0" applyNumberFormat="1" applyFont="1" applyBorder="1" applyAlignment="1">
      <alignment horizontal="right"/>
    </xf>
    <xf numFmtId="49" fontId="28" fillId="0" borderId="0" xfId="0" applyNumberFormat="1" applyFont="1" applyBorder="1"/>
    <xf numFmtId="49" fontId="19" fillId="4" borderId="0" xfId="0" applyNumberFormat="1" applyFont="1" applyFill="1" applyBorder="1" applyAlignment="1"/>
    <xf numFmtId="49" fontId="28" fillId="0" borderId="0" xfId="0" applyNumberFormat="1" applyFont="1" applyBorder="1" applyAlignment="1"/>
    <xf numFmtId="0" fontId="19" fillId="4" borderId="0" xfId="0" applyFont="1" applyFill="1" applyBorder="1" applyAlignment="1"/>
    <xf numFmtId="0" fontId="29" fillId="4" borderId="0" xfId="0" applyFont="1" applyFill="1" applyBorder="1"/>
    <xf numFmtId="0" fontId="29" fillId="0" borderId="0" xfId="0" applyFont="1"/>
    <xf numFmtId="0" fontId="29" fillId="19" borderId="0" xfId="0" applyFont="1" applyFill="1" applyBorder="1"/>
    <xf numFmtId="0" fontId="29" fillId="20" borderId="0" xfId="0" applyFont="1" applyFill="1" applyBorder="1" applyAlignment="1">
      <alignment horizontal="center"/>
    </xf>
    <xf numFmtId="0" fontId="29" fillId="20" borderId="0" xfId="0" applyFont="1" applyFill="1" applyBorder="1"/>
    <xf numFmtId="0" fontId="30" fillId="19" borderId="0" xfId="0" applyFont="1" applyFill="1" applyBorder="1"/>
    <xf numFmtId="0" fontId="29" fillId="4" borderId="0" xfId="0" applyFont="1" applyFill="1" applyBorder="1" applyAlignment="1">
      <alignment horizontal="center"/>
    </xf>
    <xf numFmtId="0" fontId="16" fillId="0" borderId="3" xfId="0" applyFont="1" applyBorder="1"/>
    <xf numFmtId="0" fontId="0" fillId="0" borderId="25" xfId="0" applyFont="1" applyBorder="1" applyAlignment="1"/>
    <xf numFmtId="0" fontId="4" fillId="21" borderId="3" xfId="0" applyFont="1" applyFill="1" applyBorder="1" applyAlignment="1"/>
    <xf numFmtId="0" fontId="4" fillId="21" borderId="3" xfId="0" applyFont="1" applyFill="1" applyBorder="1" applyAlignment="1">
      <alignment horizontal="left"/>
    </xf>
    <xf numFmtId="0" fontId="31" fillId="0" borderId="0" xfId="0" applyFont="1"/>
    <xf numFmtId="0" fontId="32" fillId="4" borderId="0" xfId="0" applyFont="1" applyFill="1" applyBorder="1"/>
    <xf numFmtId="0" fontId="33" fillId="0" borderId="0" xfId="0" applyFont="1"/>
    <xf numFmtId="0" fontId="34" fillId="4" borderId="0" xfId="0" applyFont="1" applyFill="1" applyBorder="1"/>
    <xf numFmtId="0" fontId="35" fillId="4" borderId="0" xfId="0" applyFont="1" applyFill="1" applyBorder="1"/>
    <xf numFmtId="0" fontId="36" fillId="4" borderId="0" xfId="0" applyFont="1" applyFill="1" applyBorder="1"/>
    <xf numFmtId="0" fontId="37" fillId="4" borderId="0" xfId="0" applyFont="1" applyFill="1" applyBorder="1"/>
    <xf numFmtId="0" fontId="38" fillId="4" borderId="1" xfId="0" applyFont="1" applyFill="1" applyBorder="1" applyAlignment="1">
      <alignment horizontal="center"/>
    </xf>
    <xf numFmtId="0" fontId="39" fillId="4" borderId="4" xfId="0" applyFont="1" applyFill="1" applyBorder="1" applyAlignment="1">
      <alignment horizontal="center"/>
    </xf>
    <xf numFmtId="0" fontId="39" fillId="4" borderId="9" xfId="0" applyFont="1" applyFill="1" applyBorder="1" applyAlignment="1">
      <alignment horizontal="center"/>
    </xf>
    <xf numFmtId="0" fontId="39" fillId="4" borderId="6" xfId="0" applyFont="1" applyFill="1" applyBorder="1" applyAlignment="1">
      <alignment horizontal="center"/>
    </xf>
    <xf numFmtId="0" fontId="39" fillId="4" borderId="10" xfId="0" applyFont="1" applyFill="1" applyBorder="1" applyAlignment="1">
      <alignment horizontal="center"/>
    </xf>
    <xf numFmtId="0" fontId="16" fillId="4" borderId="7" xfId="0" applyFont="1" applyFill="1" applyBorder="1" applyAlignment="1">
      <alignment horizontal="center"/>
    </xf>
    <xf numFmtId="0" fontId="16" fillId="4" borderId="11" xfId="0" applyFont="1" applyFill="1" applyBorder="1" applyAlignment="1">
      <alignment horizontal="center"/>
    </xf>
    <xf numFmtId="0" fontId="39" fillId="4" borderId="0" xfId="0" applyFont="1" applyFill="1" applyBorder="1" applyAlignment="1">
      <alignment horizontal="center"/>
    </xf>
    <xf numFmtId="0" fontId="16" fillId="4" borderId="0" xfId="0" applyFont="1" applyFill="1" applyBorder="1" applyAlignment="1">
      <alignment horizontal="center"/>
    </xf>
  </cellXfs>
  <cellStyles count="49">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s>
  <dxfs count="25">
    <dxf>
      <font>
        <color rgb="FFFF0000"/>
      </font>
    </dxf>
    <dxf>
      <fill>
        <gradientFill>
          <stop position="0">
            <color theme="0"/>
          </stop>
          <stop position="1">
            <color theme="9" tint="0.4"/>
          </stop>
        </gradientFill>
      </fill>
    </dxf>
    <dxf>
      <font>
        <color rgb="FFFF0000"/>
      </font>
      <fill>
        <patternFill patternType="solid">
          <bgColor theme="0"/>
        </patternFill>
      </fill>
    </dxf>
    <dxf>
      <font>
        <color rgb="FF00B050"/>
      </font>
      <fill>
        <gradientFill degree="180">
          <stop position="0">
            <color theme="0"/>
          </stop>
          <stop position="1">
            <color theme="9" tint="0.4"/>
          </stop>
        </gradientFill>
      </fill>
    </dxf>
    <dxf>
      <font>
        <name val="Calibri"/>
        <scheme val="minor"/>
        <charset val="134"/>
        <family val="0"/>
        <b val="0"/>
        <i val="0"/>
        <strike val="0"/>
        <u val="none"/>
        <sz val="11"/>
        <color theme="1"/>
      </font>
    </dxf>
    <dxf>
      <font>
        <name val="Calibri"/>
        <scheme val="none"/>
        <charset val="134"/>
        <family val="0"/>
        <b val="0"/>
        <i val="0"/>
        <strike val="0"/>
        <u val="none"/>
        <sz val="11"/>
        <color theme="1"/>
      </font>
      <numFmt numFmtId="0" formatCode="General"/>
    </dxf>
    <dxf>
      <font>
        <name val="Calibri"/>
        <scheme val="none"/>
        <charset val="134"/>
        <family val="0"/>
        <b val="0"/>
        <i val="0"/>
        <strike val="0"/>
        <u val="none"/>
        <sz val="11"/>
        <color theme="1"/>
      </font>
    </dxf>
    <dxf>
      <font>
        <name val="Calibri"/>
        <scheme val="minor"/>
        <charset val="134"/>
        <family val="0"/>
        <b val="0"/>
        <i val="0"/>
        <strike val="0"/>
        <u val="none"/>
        <sz val="11"/>
        <color theme="1"/>
      </font>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14"/>
      <tableStyleElement type="headerRow" dxfId="13"/>
      <tableStyleElement type="totalRow" dxfId="12"/>
      <tableStyleElement type="firstColumn" dxfId="11"/>
      <tableStyleElement type="lastColumn" dxfId="10"/>
      <tableStyleElement type="firstRowStripe" dxfId="9"/>
      <tableStyleElement type="firstColumnStripe" dxfId="8"/>
    </tableStyle>
    <tableStyle name="PivotStylePreset2_Accent1" table="0" count="10" xr9:uid="{267968C8-6FFD-4C36-ACC1-9EA1FD1885CA}">
      <tableStyleElement type="headerRow" dxfId="24"/>
      <tableStyleElement type="totalRow" dxfId="23"/>
      <tableStyleElement type="firstRowStripe" dxfId="22"/>
      <tableStyleElement type="firstColumnStripe" dxfId="21"/>
      <tableStyleElement type="firstSubtotalRow" dxfId="20"/>
      <tableStyleElement type="secondSubtotalRow" dxfId="19"/>
      <tableStyleElement type="firstRowSubheading" dxfId="18"/>
      <tableStyleElement type="secondRowSubheading" dxfId="17"/>
      <tableStyleElement type="pageFieldLabels" dxfId="16"/>
      <tableStyleElement type="pageFieldValues" dxfId="15"/>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pivotCacheDefinition" Target="pivotCache/pivotCacheDefinition1.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2</xdr:col>
      <xdr:colOff>266700</xdr:colOff>
      <xdr:row>0</xdr:row>
      <xdr:rowOff>104775</xdr:rowOff>
    </xdr:from>
    <xdr:ext cx="5867400" cy="971550"/>
    <xdr:sp>
      <xdr:nvSpPr>
        <xdr:cNvPr id="3" name="Shape 3"/>
        <xdr:cNvSpPr/>
      </xdr:nvSpPr>
      <xdr:spPr>
        <a:xfrm>
          <a:off x="3657600" y="104775"/>
          <a:ext cx="5867400" cy="971550"/>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Clr>
              <a:srgbClr val="BABABA"/>
            </a:buClr>
            <a:buSzPts val="5400"/>
            <a:buFont typeface="Arial" panose="020B0604020202020204"/>
            <a:buNone/>
          </a:pPr>
          <a:r>
            <a:rPr lang="en-US" sz="5400" b="1" cap="none">
              <a:solidFill>
                <a:srgbClr val="BABABA"/>
              </a:solidFill>
            </a:rPr>
            <a:t>Cuemath Test1</a:t>
          </a:r>
          <a:endParaRPr sz="1400"/>
        </a:p>
      </xdr:txBody>
    </xdr:sp>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createdVersion="5" refreshedVersion="5" minRefreshableVersion="3" refreshedDate="45439.6955092593" refreshedBy="Ronit" recordCount="452">
  <cacheSource type="worksheet">
    <worksheetSource ref="B5:E457" sheet="Q4"/>
  </cacheSource>
  <cacheFields count="4">
    <cacheField name="Date" numFmtId="184">
      <sharedItems containsSemiMixedTypes="0" containsString="0" containsNonDate="0" containsDate="1" minDate="2004-10-10T00:00:00" maxDate="2004-10-26T00:00:00" count="11">
        <d v="2004-10-11T00:00:00"/>
        <d v="2004-10-12T00:00:00"/>
        <d v="2004-10-21T00:00:00"/>
        <d v="2004-10-13T00:00:00"/>
        <d v="2004-10-14T00:00:00"/>
        <d v="2004-10-17T00:00:00"/>
        <d v="2004-10-20T00:00:00"/>
        <d v="2004-10-24T00:00:00"/>
        <d v="2004-10-25T00:00:00"/>
        <d v="2004-10-26T00:00:00"/>
        <d v="2004-10-10T00:00:00"/>
      </sharedItems>
    </cacheField>
    <cacheField name="Part Number" numFmtId="0">
      <sharedItems count="113">
        <s v="J280T"/>
        <s v="T192H"/>
        <s v="FY878"/>
        <s v="F309J"/>
        <s v="D270R"/>
        <s v="K145G"/>
        <s v="HT952"/>
        <s v="FY291"/>
        <s v="C123J"/>
        <s v="HFDX0"/>
        <s v="W8TYX"/>
        <s v="Y9NHH"/>
        <s v="01TVT"/>
        <s v="J533H"/>
        <s v="H986H"/>
        <s v="F137T"/>
        <s v="X036C"/>
        <s v="C127J"/>
        <s v="F030H"/>
        <s v="FN679"/>
        <s v="WP896"/>
        <s v="R755K"/>
        <s v="X5VD1"/>
        <s v="K859M"/>
        <s v="V8835"/>
        <s v="G889G"/>
        <s v="D171K"/>
        <s v="NT417"/>
        <s v="JN957"/>
        <s v="D461F"/>
        <s v="J406F"/>
        <s v="G484D"/>
        <s v="NNKVM"/>
        <s v="H185K"/>
        <s v="XR812"/>
        <s v="Y475P"/>
        <s v="M4M08"/>
        <s v="M469G"/>
        <s v="J515N"/>
        <s v="TX269"/>
        <s v="2X1CJ"/>
        <s v="K725G"/>
        <s v="F805K"/>
        <s v="U738K"/>
        <s v="K620H"/>
        <s v="RU774"/>
        <s v="G115G"/>
        <s v="C2072"/>
        <s v="N530F"/>
        <s v="C2W2N"/>
        <s v="03KYX"/>
        <s v="GY581"/>
        <s v="U144H"/>
        <s v="N056N"/>
        <s v="P875G"/>
        <s v="J765R"/>
        <s v="G295T"/>
        <s v="H298M"/>
        <s v="H959F"/>
        <s v="D306F"/>
        <s v="H426H"/>
        <s v="H384M"/>
        <s v="Y80P7"/>
        <s v="F343G"/>
        <s v="M398F"/>
        <s v="C234R"/>
        <s v="M525M"/>
        <s v="C593T"/>
        <s v="F522M"/>
        <s v="HT150"/>
        <s v="V3872"/>
        <s v="G548K"/>
        <s v="G631F"/>
        <s v="KMH7P"/>
        <s v="J106M"/>
        <s v="G728T"/>
        <s v="G731N"/>
        <s v="X204R"/>
        <s v="K093P"/>
        <s v="N641M"/>
        <s v="G952F"/>
        <s v="J418T"/>
        <s v="K374T"/>
        <s v="X3R5M"/>
        <s v="J131J"/>
        <s v="K556T"/>
        <s v="Y619H"/>
        <s v="F342T"/>
        <s v="XP544"/>
        <s v="H726R"/>
        <s v="F729T"/>
        <s v="H704F"/>
        <s v="D7D66"/>
        <s v="D111N"/>
        <s v="YP777"/>
        <s v="P575R"/>
        <s v="M399F"/>
        <s v="3VCPF"/>
        <s v="X696G"/>
        <s v="K983K"/>
        <s v="NN876"/>
        <s v="MP492"/>
        <s v="G622T"/>
        <s v="W889F"/>
        <s v="J4C3V"/>
        <s v="MYC14"/>
        <s v="PNF3X"/>
        <s v="F804K"/>
        <s v="F862T"/>
        <s v="RN225"/>
        <s v="D181R"/>
        <s v="01RKN"/>
        <s v="Y996D"/>
      </sharedItems>
    </cacheField>
    <cacheField name="Commodity Group" numFmtId="0">
      <sharedItems count="5">
        <s v="Memory"/>
        <s v="HDD"/>
        <s v="Processor"/>
        <s v="Optical Drives"/>
        <s v="Battery"/>
      </sharedItems>
    </cacheField>
    <cacheField name="Production Shortages (Units)" numFmtId="2">
      <sharedItems containsSemiMixedTypes="0" containsString="0" containsNumber="1" minValue="0" maxValue="51780.8" count="209">
        <n v="0.8"/>
        <n v="1"/>
        <n v="2"/>
        <n v="3"/>
        <n v="4"/>
        <n v="5"/>
        <n v="6.4"/>
        <n v="7"/>
        <n v="8"/>
        <n v="9"/>
        <n v="10"/>
        <n v="11"/>
        <n v="12"/>
        <n v="12.8"/>
        <n v="13"/>
        <n v="13.6"/>
        <n v="14"/>
        <n v="15"/>
        <n v="16"/>
        <n v="17"/>
        <n v="18"/>
        <n v="19"/>
        <n v="20"/>
        <n v="21"/>
        <n v="22"/>
        <n v="23"/>
        <n v="23.2"/>
        <n v="24"/>
        <n v="25"/>
        <n v="25.6"/>
        <n v="26"/>
        <n v="27"/>
        <n v="28"/>
        <n v="29"/>
        <n v="30"/>
        <n v="31"/>
        <n v="32"/>
        <n v="33"/>
        <n v="34"/>
        <n v="35"/>
        <n v="36"/>
        <n v="37"/>
        <n v="38"/>
        <n v="38.4"/>
        <n v="39"/>
        <n v="41"/>
        <n v="42"/>
        <n v="43"/>
        <n v="44"/>
        <n v="44.8"/>
        <n v="45"/>
        <n v="46"/>
        <n v="47"/>
        <n v="48"/>
        <n v="49"/>
        <n v="51"/>
        <n v="52"/>
        <n v="53"/>
        <n v="54"/>
        <n v="56"/>
        <n v="57"/>
        <n v="58"/>
        <n v="63"/>
        <n v="64"/>
        <n v="65"/>
        <n v="66"/>
        <n v="67"/>
        <n v="68"/>
        <n v="70"/>
        <n v="71"/>
        <n v="72"/>
        <n v="72.8"/>
        <n v="73"/>
        <n v="74"/>
        <n v="75"/>
        <n v="77"/>
        <n v="78"/>
        <n v="82"/>
        <n v="84"/>
        <n v="85"/>
        <n v="89"/>
        <n v="90.4"/>
        <n v="91"/>
        <n v="92.8"/>
        <n v="93"/>
        <n v="97"/>
        <n v="100"/>
        <n v="102"/>
        <n v="103"/>
        <n v="105"/>
        <n v="106"/>
        <n v="111"/>
        <n v="112"/>
        <n v="115"/>
        <n v="117"/>
        <n v="118"/>
        <n v="122"/>
        <n v="123"/>
        <n v="124"/>
        <n v="125"/>
        <n v="127"/>
        <n v="128"/>
        <n v="130"/>
        <n v="133"/>
        <n v="134"/>
        <n v="135"/>
        <n v="137"/>
        <n v="138"/>
        <n v="139"/>
        <n v="140"/>
        <n v="151"/>
        <n v="155"/>
        <n v="157"/>
        <n v="165"/>
        <n v="168"/>
        <n v="169"/>
        <n v="175"/>
        <n v="182"/>
        <n v="184"/>
        <n v="193"/>
        <n v="198"/>
        <n v="228"/>
        <n v="230"/>
        <n v="235"/>
        <n v="236"/>
        <n v="247"/>
        <n v="254"/>
        <n v="256"/>
        <n v="257"/>
        <n v="261"/>
        <n v="265"/>
        <n v="273"/>
        <n v="276.8"/>
        <n v="278"/>
        <n v="287"/>
        <n v="290"/>
        <n v="296"/>
        <n v="303"/>
        <n v="310"/>
        <n v="320"/>
        <n v="323"/>
        <n v="336"/>
        <n v="337"/>
        <n v="340"/>
        <n v="366"/>
        <n v="384"/>
        <n v="392"/>
        <n v="401"/>
        <n v="417"/>
        <n v="420"/>
        <n v="432"/>
        <n v="434"/>
        <n v="441"/>
        <n v="445"/>
        <n v="447"/>
        <n v="484"/>
        <n v="508"/>
        <n v="514"/>
        <n v="515"/>
        <n v="518"/>
        <n v="563"/>
        <n v="628"/>
        <n v="633"/>
        <n v="647"/>
        <n v="654"/>
        <n v="663"/>
        <n v="690"/>
        <n v="709"/>
        <n v="713"/>
        <n v="714"/>
        <n v="717"/>
        <n v="729"/>
        <n v="753"/>
        <n v="775"/>
        <n v="794"/>
        <n v="931"/>
        <n v="960"/>
        <n v="963"/>
        <n v="1066"/>
        <n v="1080"/>
        <n v="1091"/>
        <n v="1101"/>
        <n v="1130"/>
        <n v="1147"/>
        <n v="1173"/>
        <n v="1175"/>
        <n v="1179"/>
        <n v="1180"/>
        <n v="1189"/>
        <n v="1190"/>
        <n v="1193"/>
        <n v="1217"/>
        <n v="1400"/>
        <n v="1497"/>
        <n v="1539"/>
        <n v="1556"/>
        <n v="1870"/>
        <n v="1905"/>
        <n v="1931"/>
        <n v="2265"/>
        <n v="2774"/>
        <n v="2930"/>
        <n v="3361"/>
        <n v="3664"/>
        <n v="4790"/>
        <n v="7425"/>
        <n v="8701"/>
        <n v="25032.8"/>
        <n v="51780.8"/>
      </sharedItems>
    </cacheField>
  </cacheFields>
</pivotCacheDefinition>
</file>

<file path=xl/pivotCache/pivotCacheRecords1.xml><?xml version="1.0" encoding="utf-8"?>
<pivotCacheRecords xmlns="http://schemas.openxmlformats.org/spreadsheetml/2006/main" xmlns:r="http://schemas.openxmlformats.org/officeDocument/2006/relationships" count="452">
  <r>
    <x v="0"/>
    <x v="0"/>
    <x v="0"/>
    <x v="0"/>
  </r>
  <r>
    <x v="1"/>
    <x v="0"/>
    <x v="0"/>
    <x v="0"/>
  </r>
  <r>
    <x v="2"/>
    <x v="1"/>
    <x v="0"/>
    <x v="0"/>
  </r>
  <r>
    <x v="3"/>
    <x v="2"/>
    <x v="1"/>
    <x v="1"/>
  </r>
  <r>
    <x v="3"/>
    <x v="3"/>
    <x v="2"/>
    <x v="1"/>
  </r>
  <r>
    <x v="4"/>
    <x v="4"/>
    <x v="2"/>
    <x v="1"/>
  </r>
  <r>
    <x v="4"/>
    <x v="2"/>
    <x v="1"/>
    <x v="1"/>
  </r>
  <r>
    <x v="4"/>
    <x v="3"/>
    <x v="2"/>
    <x v="1"/>
  </r>
  <r>
    <x v="5"/>
    <x v="5"/>
    <x v="3"/>
    <x v="1"/>
  </r>
  <r>
    <x v="5"/>
    <x v="2"/>
    <x v="1"/>
    <x v="1"/>
  </r>
  <r>
    <x v="5"/>
    <x v="3"/>
    <x v="2"/>
    <x v="1"/>
  </r>
  <r>
    <x v="6"/>
    <x v="6"/>
    <x v="1"/>
    <x v="1"/>
  </r>
  <r>
    <x v="6"/>
    <x v="7"/>
    <x v="1"/>
    <x v="1"/>
  </r>
  <r>
    <x v="6"/>
    <x v="8"/>
    <x v="1"/>
    <x v="1"/>
  </r>
  <r>
    <x v="2"/>
    <x v="9"/>
    <x v="1"/>
    <x v="1"/>
  </r>
  <r>
    <x v="2"/>
    <x v="10"/>
    <x v="1"/>
    <x v="1"/>
  </r>
  <r>
    <x v="2"/>
    <x v="7"/>
    <x v="1"/>
    <x v="1"/>
  </r>
  <r>
    <x v="7"/>
    <x v="7"/>
    <x v="1"/>
    <x v="1"/>
  </r>
  <r>
    <x v="8"/>
    <x v="7"/>
    <x v="1"/>
    <x v="1"/>
  </r>
  <r>
    <x v="8"/>
    <x v="2"/>
    <x v="1"/>
    <x v="1"/>
  </r>
  <r>
    <x v="9"/>
    <x v="2"/>
    <x v="1"/>
    <x v="1"/>
  </r>
  <r>
    <x v="9"/>
    <x v="7"/>
    <x v="1"/>
    <x v="1"/>
  </r>
  <r>
    <x v="9"/>
    <x v="11"/>
    <x v="2"/>
    <x v="1"/>
  </r>
  <r>
    <x v="0"/>
    <x v="5"/>
    <x v="3"/>
    <x v="2"/>
  </r>
  <r>
    <x v="3"/>
    <x v="12"/>
    <x v="3"/>
    <x v="2"/>
  </r>
  <r>
    <x v="4"/>
    <x v="12"/>
    <x v="3"/>
    <x v="2"/>
  </r>
  <r>
    <x v="4"/>
    <x v="13"/>
    <x v="1"/>
    <x v="2"/>
  </r>
  <r>
    <x v="5"/>
    <x v="4"/>
    <x v="2"/>
    <x v="2"/>
  </r>
  <r>
    <x v="5"/>
    <x v="11"/>
    <x v="2"/>
    <x v="2"/>
  </r>
  <r>
    <x v="6"/>
    <x v="14"/>
    <x v="4"/>
    <x v="2"/>
  </r>
  <r>
    <x v="6"/>
    <x v="15"/>
    <x v="3"/>
    <x v="2"/>
  </r>
  <r>
    <x v="6"/>
    <x v="4"/>
    <x v="2"/>
    <x v="2"/>
  </r>
  <r>
    <x v="2"/>
    <x v="15"/>
    <x v="3"/>
    <x v="2"/>
  </r>
  <r>
    <x v="2"/>
    <x v="16"/>
    <x v="1"/>
    <x v="2"/>
  </r>
  <r>
    <x v="2"/>
    <x v="4"/>
    <x v="2"/>
    <x v="2"/>
  </r>
  <r>
    <x v="7"/>
    <x v="15"/>
    <x v="3"/>
    <x v="2"/>
  </r>
  <r>
    <x v="7"/>
    <x v="4"/>
    <x v="2"/>
    <x v="2"/>
  </r>
  <r>
    <x v="8"/>
    <x v="15"/>
    <x v="3"/>
    <x v="2"/>
  </r>
  <r>
    <x v="8"/>
    <x v="4"/>
    <x v="2"/>
    <x v="2"/>
  </r>
  <r>
    <x v="8"/>
    <x v="17"/>
    <x v="1"/>
    <x v="2"/>
  </r>
  <r>
    <x v="9"/>
    <x v="15"/>
    <x v="3"/>
    <x v="2"/>
  </r>
  <r>
    <x v="9"/>
    <x v="4"/>
    <x v="2"/>
    <x v="2"/>
  </r>
  <r>
    <x v="10"/>
    <x v="18"/>
    <x v="2"/>
    <x v="3"/>
  </r>
  <r>
    <x v="10"/>
    <x v="19"/>
    <x v="3"/>
    <x v="3"/>
  </r>
  <r>
    <x v="0"/>
    <x v="20"/>
    <x v="2"/>
    <x v="3"/>
  </r>
  <r>
    <x v="1"/>
    <x v="5"/>
    <x v="3"/>
    <x v="3"/>
  </r>
  <r>
    <x v="1"/>
    <x v="20"/>
    <x v="2"/>
    <x v="3"/>
  </r>
  <r>
    <x v="1"/>
    <x v="21"/>
    <x v="1"/>
    <x v="3"/>
  </r>
  <r>
    <x v="3"/>
    <x v="21"/>
    <x v="1"/>
    <x v="3"/>
  </r>
  <r>
    <x v="3"/>
    <x v="5"/>
    <x v="3"/>
    <x v="3"/>
  </r>
  <r>
    <x v="3"/>
    <x v="20"/>
    <x v="2"/>
    <x v="3"/>
  </r>
  <r>
    <x v="4"/>
    <x v="20"/>
    <x v="2"/>
    <x v="3"/>
  </r>
  <r>
    <x v="4"/>
    <x v="21"/>
    <x v="1"/>
    <x v="3"/>
  </r>
  <r>
    <x v="5"/>
    <x v="22"/>
    <x v="3"/>
    <x v="3"/>
  </r>
  <r>
    <x v="5"/>
    <x v="20"/>
    <x v="2"/>
    <x v="3"/>
  </r>
  <r>
    <x v="5"/>
    <x v="12"/>
    <x v="3"/>
    <x v="3"/>
  </r>
  <r>
    <x v="8"/>
    <x v="22"/>
    <x v="3"/>
    <x v="3"/>
  </r>
  <r>
    <x v="9"/>
    <x v="17"/>
    <x v="1"/>
    <x v="3"/>
  </r>
  <r>
    <x v="10"/>
    <x v="23"/>
    <x v="3"/>
    <x v="4"/>
  </r>
  <r>
    <x v="10"/>
    <x v="21"/>
    <x v="1"/>
    <x v="4"/>
  </r>
  <r>
    <x v="10"/>
    <x v="20"/>
    <x v="2"/>
    <x v="4"/>
  </r>
  <r>
    <x v="0"/>
    <x v="24"/>
    <x v="2"/>
    <x v="4"/>
  </r>
  <r>
    <x v="0"/>
    <x v="25"/>
    <x v="2"/>
    <x v="4"/>
  </r>
  <r>
    <x v="0"/>
    <x v="21"/>
    <x v="1"/>
    <x v="4"/>
  </r>
  <r>
    <x v="6"/>
    <x v="20"/>
    <x v="2"/>
    <x v="4"/>
  </r>
  <r>
    <x v="7"/>
    <x v="26"/>
    <x v="1"/>
    <x v="4"/>
  </r>
  <r>
    <x v="1"/>
    <x v="27"/>
    <x v="1"/>
    <x v="5"/>
  </r>
  <r>
    <x v="3"/>
    <x v="19"/>
    <x v="3"/>
    <x v="5"/>
  </r>
  <r>
    <x v="5"/>
    <x v="28"/>
    <x v="1"/>
    <x v="5"/>
  </r>
  <r>
    <x v="6"/>
    <x v="29"/>
    <x v="2"/>
    <x v="5"/>
  </r>
  <r>
    <x v="8"/>
    <x v="30"/>
    <x v="1"/>
    <x v="5"/>
  </r>
  <r>
    <x v="6"/>
    <x v="31"/>
    <x v="0"/>
    <x v="6"/>
  </r>
  <r>
    <x v="0"/>
    <x v="13"/>
    <x v="1"/>
    <x v="7"/>
  </r>
  <r>
    <x v="4"/>
    <x v="32"/>
    <x v="3"/>
    <x v="7"/>
  </r>
  <r>
    <x v="5"/>
    <x v="32"/>
    <x v="3"/>
    <x v="7"/>
  </r>
  <r>
    <x v="7"/>
    <x v="33"/>
    <x v="2"/>
    <x v="7"/>
  </r>
  <r>
    <x v="8"/>
    <x v="21"/>
    <x v="1"/>
    <x v="7"/>
  </r>
  <r>
    <x v="9"/>
    <x v="21"/>
    <x v="1"/>
    <x v="7"/>
  </r>
  <r>
    <x v="1"/>
    <x v="13"/>
    <x v="1"/>
    <x v="8"/>
  </r>
  <r>
    <x v="3"/>
    <x v="13"/>
    <x v="1"/>
    <x v="8"/>
  </r>
  <r>
    <x v="6"/>
    <x v="12"/>
    <x v="3"/>
    <x v="8"/>
  </r>
  <r>
    <x v="2"/>
    <x v="34"/>
    <x v="1"/>
    <x v="8"/>
  </r>
  <r>
    <x v="7"/>
    <x v="34"/>
    <x v="1"/>
    <x v="8"/>
  </r>
  <r>
    <x v="8"/>
    <x v="34"/>
    <x v="1"/>
    <x v="8"/>
  </r>
  <r>
    <x v="9"/>
    <x v="34"/>
    <x v="1"/>
    <x v="8"/>
  </r>
  <r>
    <x v="5"/>
    <x v="21"/>
    <x v="1"/>
    <x v="9"/>
  </r>
  <r>
    <x v="6"/>
    <x v="35"/>
    <x v="2"/>
    <x v="9"/>
  </r>
  <r>
    <x v="10"/>
    <x v="36"/>
    <x v="3"/>
    <x v="10"/>
  </r>
  <r>
    <x v="1"/>
    <x v="24"/>
    <x v="2"/>
    <x v="10"/>
  </r>
  <r>
    <x v="4"/>
    <x v="37"/>
    <x v="2"/>
    <x v="10"/>
  </r>
  <r>
    <x v="5"/>
    <x v="37"/>
    <x v="2"/>
    <x v="10"/>
  </r>
  <r>
    <x v="6"/>
    <x v="37"/>
    <x v="2"/>
    <x v="10"/>
  </r>
  <r>
    <x v="6"/>
    <x v="26"/>
    <x v="1"/>
    <x v="10"/>
  </r>
  <r>
    <x v="2"/>
    <x v="29"/>
    <x v="2"/>
    <x v="10"/>
  </r>
  <r>
    <x v="2"/>
    <x v="37"/>
    <x v="2"/>
    <x v="10"/>
  </r>
  <r>
    <x v="7"/>
    <x v="37"/>
    <x v="2"/>
    <x v="10"/>
  </r>
  <r>
    <x v="7"/>
    <x v="29"/>
    <x v="2"/>
    <x v="10"/>
  </r>
  <r>
    <x v="8"/>
    <x v="38"/>
    <x v="1"/>
    <x v="10"/>
  </r>
  <r>
    <x v="9"/>
    <x v="38"/>
    <x v="1"/>
    <x v="10"/>
  </r>
  <r>
    <x v="1"/>
    <x v="25"/>
    <x v="2"/>
    <x v="11"/>
  </r>
  <r>
    <x v="6"/>
    <x v="39"/>
    <x v="4"/>
    <x v="11"/>
  </r>
  <r>
    <x v="8"/>
    <x v="29"/>
    <x v="2"/>
    <x v="11"/>
  </r>
  <r>
    <x v="8"/>
    <x v="40"/>
    <x v="1"/>
    <x v="11"/>
  </r>
  <r>
    <x v="9"/>
    <x v="29"/>
    <x v="2"/>
    <x v="11"/>
  </r>
  <r>
    <x v="9"/>
    <x v="37"/>
    <x v="2"/>
    <x v="11"/>
  </r>
  <r>
    <x v="10"/>
    <x v="41"/>
    <x v="2"/>
    <x v="12"/>
  </r>
  <r>
    <x v="10"/>
    <x v="37"/>
    <x v="2"/>
    <x v="12"/>
  </r>
  <r>
    <x v="0"/>
    <x v="37"/>
    <x v="2"/>
    <x v="12"/>
  </r>
  <r>
    <x v="0"/>
    <x v="41"/>
    <x v="2"/>
    <x v="12"/>
  </r>
  <r>
    <x v="1"/>
    <x v="41"/>
    <x v="2"/>
    <x v="12"/>
  </r>
  <r>
    <x v="1"/>
    <x v="37"/>
    <x v="2"/>
    <x v="12"/>
  </r>
  <r>
    <x v="3"/>
    <x v="37"/>
    <x v="2"/>
    <x v="12"/>
  </r>
  <r>
    <x v="6"/>
    <x v="42"/>
    <x v="2"/>
    <x v="12"/>
  </r>
  <r>
    <x v="2"/>
    <x v="43"/>
    <x v="1"/>
    <x v="12"/>
  </r>
  <r>
    <x v="2"/>
    <x v="42"/>
    <x v="2"/>
    <x v="12"/>
  </r>
  <r>
    <x v="2"/>
    <x v="20"/>
    <x v="2"/>
    <x v="12"/>
  </r>
  <r>
    <x v="7"/>
    <x v="20"/>
    <x v="2"/>
    <x v="12"/>
  </r>
  <r>
    <x v="7"/>
    <x v="42"/>
    <x v="2"/>
    <x v="12"/>
  </r>
  <r>
    <x v="8"/>
    <x v="20"/>
    <x v="2"/>
    <x v="12"/>
  </r>
  <r>
    <x v="8"/>
    <x v="44"/>
    <x v="1"/>
    <x v="12"/>
  </r>
  <r>
    <x v="8"/>
    <x v="37"/>
    <x v="2"/>
    <x v="12"/>
  </r>
  <r>
    <x v="8"/>
    <x v="45"/>
    <x v="3"/>
    <x v="12"/>
  </r>
  <r>
    <x v="9"/>
    <x v="20"/>
    <x v="2"/>
    <x v="12"/>
  </r>
  <r>
    <x v="9"/>
    <x v="45"/>
    <x v="3"/>
    <x v="12"/>
  </r>
  <r>
    <x v="7"/>
    <x v="1"/>
    <x v="0"/>
    <x v="13"/>
  </r>
  <r>
    <x v="10"/>
    <x v="46"/>
    <x v="2"/>
    <x v="14"/>
  </r>
  <r>
    <x v="1"/>
    <x v="47"/>
    <x v="4"/>
    <x v="14"/>
  </r>
  <r>
    <x v="3"/>
    <x v="48"/>
    <x v="1"/>
    <x v="14"/>
  </r>
  <r>
    <x v="4"/>
    <x v="47"/>
    <x v="4"/>
    <x v="14"/>
  </r>
  <r>
    <x v="9"/>
    <x v="3"/>
    <x v="2"/>
    <x v="14"/>
  </r>
  <r>
    <x v="3"/>
    <x v="1"/>
    <x v="0"/>
    <x v="15"/>
  </r>
  <r>
    <x v="4"/>
    <x v="1"/>
    <x v="0"/>
    <x v="15"/>
  </r>
  <r>
    <x v="6"/>
    <x v="28"/>
    <x v="1"/>
    <x v="16"/>
  </r>
  <r>
    <x v="6"/>
    <x v="2"/>
    <x v="1"/>
    <x v="16"/>
  </r>
  <r>
    <x v="8"/>
    <x v="3"/>
    <x v="2"/>
    <x v="16"/>
  </r>
  <r>
    <x v="9"/>
    <x v="44"/>
    <x v="1"/>
    <x v="16"/>
  </r>
  <r>
    <x v="0"/>
    <x v="49"/>
    <x v="2"/>
    <x v="17"/>
  </r>
  <r>
    <x v="0"/>
    <x v="36"/>
    <x v="3"/>
    <x v="18"/>
  </r>
  <r>
    <x v="0"/>
    <x v="48"/>
    <x v="1"/>
    <x v="18"/>
  </r>
  <r>
    <x v="7"/>
    <x v="24"/>
    <x v="2"/>
    <x v="18"/>
  </r>
  <r>
    <x v="7"/>
    <x v="49"/>
    <x v="2"/>
    <x v="18"/>
  </r>
  <r>
    <x v="1"/>
    <x v="36"/>
    <x v="3"/>
    <x v="19"/>
  </r>
  <r>
    <x v="3"/>
    <x v="50"/>
    <x v="2"/>
    <x v="19"/>
  </r>
  <r>
    <x v="4"/>
    <x v="5"/>
    <x v="3"/>
    <x v="19"/>
  </r>
  <r>
    <x v="8"/>
    <x v="51"/>
    <x v="1"/>
    <x v="19"/>
  </r>
  <r>
    <x v="6"/>
    <x v="32"/>
    <x v="3"/>
    <x v="20"/>
  </r>
  <r>
    <x v="10"/>
    <x v="17"/>
    <x v="1"/>
    <x v="21"/>
  </r>
  <r>
    <x v="0"/>
    <x v="17"/>
    <x v="1"/>
    <x v="21"/>
  </r>
  <r>
    <x v="1"/>
    <x v="17"/>
    <x v="1"/>
    <x v="21"/>
  </r>
  <r>
    <x v="3"/>
    <x v="52"/>
    <x v="2"/>
    <x v="21"/>
  </r>
  <r>
    <x v="2"/>
    <x v="3"/>
    <x v="2"/>
    <x v="21"/>
  </r>
  <r>
    <x v="7"/>
    <x v="53"/>
    <x v="2"/>
    <x v="21"/>
  </r>
  <r>
    <x v="6"/>
    <x v="3"/>
    <x v="2"/>
    <x v="22"/>
  </r>
  <r>
    <x v="2"/>
    <x v="17"/>
    <x v="1"/>
    <x v="22"/>
  </r>
  <r>
    <x v="7"/>
    <x v="17"/>
    <x v="1"/>
    <x v="22"/>
  </r>
  <r>
    <x v="7"/>
    <x v="3"/>
    <x v="2"/>
    <x v="22"/>
  </r>
  <r>
    <x v="3"/>
    <x v="17"/>
    <x v="1"/>
    <x v="23"/>
  </r>
  <r>
    <x v="4"/>
    <x v="17"/>
    <x v="1"/>
    <x v="23"/>
  </r>
  <r>
    <x v="5"/>
    <x v="17"/>
    <x v="1"/>
    <x v="23"/>
  </r>
  <r>
    <x v="6"/>
    <x v="17"/>
    <x v="1"/>
    <x v="23"/>
  </r>
  <r>
    <x v="9"/>
    <x v="54"/>
    <x v="3"/>
    <x v="23"/>
  </r>
  <r>
    <x v="0"/>
    <x v="18"/>
    <x v="2"/>
    <x v="24"/>
  </r>
  <r>
    <x v="3"/>
    <x v="36"/>
    <x v="3"/>
    <x v="24"/>
  </r>
  <r>
    <x v="2"/>
    <x v="32"/>
    <x v="3"/>
    <x v="24"/>
  </r>
  <r>
    <x v="10"/>
    <x v="55"/>
    <x v="1"/>
    <x v="25"/>
  </r>
  <r>
    <x v="0"/>
    <x v="55"/>
    <x v="1"/>
    <x v="25"/>
  </r>
  <r>
    <x v="4"/>
    <x v="36"/>
    <x v="3"/>
    <x v="25"/>
  </r>
  <r>
    <x v="8"/>
    <x v="54"/>
    <x v="3"/>
    <x v="25"/>
  </r>
  <r>
    <x v="5"/>
    <x v="1"/>
    <x v="0"/>
    <x v="26"/>
  </r>
  <r>
    <x v="10"/>
    <x v="48"/>
    <x v="1"/>
    <x v="27"/>
  </r>
  <r>
    <x v="1"/>
    <x v="55"/>
    <x v="1"/>
    <x v="27"/>
  </r>
  <r>
    <x v="5"/>
    <x v="55"/>
    <x v="1"/>
    <x v="27"/>
  </r>
  <r>
    <x v="6"/>
    <x v="56"/>
    <x v="1"/>
    <x v="27"/>
  </r>
  <r>
    <x v="8"/>
    <x v="32"/>
    <x v="3"/>
    <x v="27"/>
  </r>
  <r>
    <x v="0"/>
    <x v="57"/>
    <x v="1"/>
    <x v="28"/>
  </r>
  <r>
    <x v="1"/>
    <x v="49"/>
    <x v="2"/>
    <x v="28"/>
  </r>
  <r>
    <x v="3"/>
    <x v="55"/>
    <x v="1"/>
    <x v="28"/>
  </r>
  <r>
    <x v="4"/>
    <x v="55"/>
    <x v="1"/>
    <x v="28"/>
  </r>
  <r>
    <x v="8"/>
    <x v="43"/>
    <x v="1"/>
    <x v="28"/>
  </r>
  <r>
    <x v="9"/>
    <x v="51"/>
    <x v="1"/>
    <x v="28"/>
  </r>
  <r>
    <x v="6"/>
    <x v="58"/>
    <x v="0"/>
    <x v="29"/>
  </r>
  <r>
    <x v="0"/>
    <x v="59"/>
    <x v="2"/>
    <x v="30"/>
  </r>
  <r>
    <x v="8"/>
    <x v="55"/>
    <x v="1"/>
    <x v="30"/>
  </r>
  <r>
    <x v="9"/>
    <x v="60"/>
    <x v="3"/>
    <x v="30"/>
  </r>
  <r>
    <x v="6"/>
    <x v="60"/>
    <x v="3"/>
    <x v="31"/>
  </r>
  <r>
    <x v="6"/>
    <x v="55"/>
    <x v="1"/>
    <x v="31"/>
  </r>
  <r>
    <x v="2"/>
    <x v="60"/>
    <x v="3"/>
    <x v="31"/>
  </r>
  <r>
    <x v="7"/>
    <x v="61"/>
    <x v="2"/>
    <x v="31"/>
  </r>
  <r>
    <x v="7"/>
    <x v="60"/>
    <x v="3"/>
    <x v="31"/>
  </r>
  <r>
    <x v="7"/>
    <x v="32"/>
    <x v="3"/>
    <x v="31"/>
  </r>
  <r>
    <x v="8"/>
    <x v="60"/>
    <x v="3"/>
    <x v="31"/>
  </r>
  <r>
    <x v="5"/>
    <x v="36"/>
    <x v="3"/>
    <x v="32"/>
  </r>
  <r>
    <x v="9"/>
    <x v="32"/>
    <x v="3"/>
    <x v="32"/>
  </r>
  <r>
    <x v="2"/>
    <x v="55"/>
    <x v="1"/>
    <x v="33"/>
  </r>
  <r>
    <x v="5"/>
    <x v="49"/>
    <x v="2"/>
    <x v="34"/>
  </r>
  <r>
    <x v="7"/>
    <x v="55"/>
    <x v="1"/>
    <x v="34"/>
  </r>
  <r>
    <x v="3"/>
    <x v="53"/>
    <x v="2"/>
    <x v="35"/>
  </r>
  <r>
    <x v="4"/>
    <x v="52"/>
    <x v="2"/>
    <x v="35"/>
  </r>
  <r>
    <x v="4"/>
    <x v="59"/>
    <x v="2"/>
    <x v="35"/>
  </r>
  <r>
    <x v="2"/>
    <x v="61"/>
    <x v="2"/>
    <x v="35"/>
  </r>
  <r>
    <x v="8"/>
    <x v="62"/>
    <x v="3"/>
    <x v="36"/>
  </r>
  <r>
    <x v="3"/>
    <x v="63"/>
    <x v="2"/>
    <x v="37"/>
  </r>
  <r>
    <x v="9"/>
    <x v="43"/>
    <x v="1"/>
    <x v="37"/>
  </r>
  <r>
    <x v="9"/>
    <x v="55"/>
    <x v="1"/>
    <x v="37"/>
  </r>
  <r>
    <x v="0"/>
    <x v="64"/>
    <x v="2"/>
    <x v="38"/>
  </r>
  <r>
    <x v="6"/>
    <x v="65"/>
    <x v="3"/>
    <x v="38"/>
  </r>
  <r>
    <x v="2"/>
    <x v="65"/>
    <x v="3"/>
    <x v="38"/>
  </r>
  <r>
    <x v="2"/>
    <x v="36"/>
    <x v="3"/>
    <x v="38"/>
  </r>
  <r>
    <x v="7"/>
    <x v="65"/>
    <x v="3"/>
    <x v="38"/>
  </r>
  <r>
    <x v="8"/>
    <x v="65"/>
    <x v="3"/>
    <x v="38"/>
  </r>
  <r>
    <x v="8"/>
    <x v="49"/>
    <x v="2"/>
    <x v="38"/>
  </r>
  <r>
    <x v="9"/>
    <x v="65"/>
    <x v="3"/>
    <x v="38"/>
  </r>
  <r>
    <x v="9"/>
    <x v="49"/>
    <x v="2"/>
    <x v="38"/>
  </r>
  <r>
    <x v="3"/>
    <x v="24"/>
    <x v="2"/>
    <x v="39"/>
  </r>
  <r>
    <x v="6"/>
    <x v="66"/>
    <x v="1"/>
    <x v="40"/>
  </r>
  <r>
    <x v="7"/>
    <x v="45"/>
    <x v="3"/>
    <x v="40"/>
  </r>
  <r>
    <x v="7"/>
    <x v="66"/>
    <x v="1"/>
    <x v="40"/>
  </r>
  <r>
    <x v="8"/>
    <x v="67"/>
    <x v="3"/>
    <x v="40"/>
  </r>
  <r>
    <x v="4"/>
    <x v="24"/>
    <x v="2"/>
    <x v="41"/>
  </r>
  <r>
    <x v="9"/>
    <x v="40"/>
    <x v="1"/>
    <x v="41"/>
  </r>
  <r>
    <x v="3"/>
    <x v="68"/>
    <x v="2"/>
    <x v="42"/>
  </r>
  <r>
    <x v="4"/>
    <x v="22"/>
    <x v="3"/>
    <x v="42"/>
  </r>
  <r>
    <x v="4"/>
    <x v="63"/>
    <x v="2"/>
    <x v="42"/>
  </r>
  <r>
    <x v="7"/>
    <x v="43"/>
    <x v="1"/>
    <x v="42"/>
  </r>
  <r>
    <x v="8"/>
    <x v="1"/>
    <x v="0"/>
    <x v="43"/>
  </r>
  <r>
    <x v="2"/>
    <x v="56"/>
    <x v="1"/>
    <x v="44"/>
  </r>
  <r>
    <x v="10"/>
    <x v="69"/>
    <x v="2"/>
    <x v="45"/>
  </r>
  <r>
    <x v="1"/>
    <x v="59"/>
    <x v="2"/>
    <x v="45"/>
  </r>
  <r>
    <x v="3"/>
    <x v="59"/>
    <x v="2"/>
    <x v="45"/>
  </r>
  <r>
    <x v="5"/>
    <x v="63"/>
    <x v="2"/>
    <x v="45"/>
  </r>
  <r>
    <x v="4"/>
    <x v="49"/>
    <x v="2"/>
    <x v="46"/>
  </r>
  <r>
    <x v="5"/>
    <x v="52"/>
    <x v="2"/>
    <x v="46"/>
  </r>
  <r>
    <x v="8"/>
    <x v="36"/>
    <x v="3"/>
    <x v="46"/>
  </r>
  <r>
    <x v="5"/>
    <x v="59"/>
    <x v="2"/>
    <x v="47"/>
  </r>
  <r>
    <x v="0"/>
    <x v="70"/>
    <x v="2"/>
    <x v="48"/>
  </r>
  <r>
    <x v="4"/>
    <x v="50"/>
    <x v="2"/>
    <x v="48"/>
  </r>
  <r>
    <x v="0"/>
    <x v="71"/>
    <x v="0"/>
    <x v="49"/>
  </r>
  <r>
    <x v="1"/>
    <x v="18"/>
    <x v="2"/>
    <x v="50"/>
  </r>
  <r>
    <x v="0"/>
    <x v="69"/>
    <x v="2"/>
    <x v="51"/>
  </r>
  <r>
    <x v="4"/>
    <x v="53"/>
    <x v="2"/>
    <x v="51"/>
  </r>
  <r>
    <x v="9"/>
    <x v="24"/>
    <x v="2"/>
    <x v="51"/>
  </r>
  <r>
    <x v="3"/>
    <x v="49"/>
    <x v="2"/>
    <x v="52"/>
  </r>
  <r>
    <x v="2"/>
    <x v="72"/>
    <x v="1"/>
    <x v="52"/>
  </r>
  <r>
    <x v="7"/>
    <x v="72"/>
    <x v="1"/>
    <x v="52"/>
  </r>
  <r>
    <x v="2"/>
    <x v="73"/>
    <x v="3"/>
    <x v="53"/>
  </r>
  <r>
    <x v="9"/>
    <x v="74"/>
    <x v="2"/>
    <x v="53"/>
  </r>
  <r>
    <x v="4"/>
    <x v="73"/>
    <x v="3"/>
    <x v="54"/>
  </r>
  <r>
    <x v="5"/>
    <x v="24"/>
    <x v="2"/>
    <x v="54"/>
  </r>
  <r>
    <x v="8"/>
    <x v="75"/>
    <x v="1"/>
    <x v="54"/>
  </r>
  <r>
    <x v="6"/>
    <x v="76"/>
    <x v="1"/>
    <x v="55"/>
  </r>
  <r>
    <x v="2"/>
    <x v="76"/>
    <x v="1"/>
    <x v="55"/>
  </r>
  <r>
    <x v="7"/>
    <x v="40"/>
    <x v="1"/>
    <x v="56"/>
  </r>
  <r>
    <x v="9"/>
    <x v="36"/>
    <x v="3"/>
    <x v="56"/>
  </r>
  <r>
    <x v="10"/>
    <x v="61"/>
    <x v="2"/>
    <x v="57"/>
  </r>
  <r>
    <x v="1"/>
    <x v="69"/>
    <x v="2"/>
    <x v="57"/>
  </r>
  <r>
    <x v="6"/>
    <x v="52"/>
    <x v="2"/>
    <x v="57"/>
  </r>
  <r>
    <x v="2"/>
    <x v="33"/>
    <x v="2"/>
    <x v="57"/>
  </r>
  <r>
    <x v="10"/>
    <x v="45"/>
    <x v="3"/>
    <x v="58"/>
  </r>
  <r>
    <x v="8"/>
    <x v="77"/>
    <x v="2"/>
    <x v="58"/>
  </r>
  <r>
    <x v="0"/>
    <x v="45"/>
    <x v="3"/>
    <x v="59"/>
  </r>
  <r>
    <x v="1"/>
    <x v="45"/>
    <x v="3"/>
    <x v="59"/>
  </r>
  <r>
    <x v="3"/>
    <x v="45"/>
    <x v="3"/>
    <x v="59"/>
  </r>
  <r>
    <x v="2"/>
    <x v="63"/>
    <x v="2"/>
    <x v="60"/>
  </r>
  <r>
    <x v="0"/>
    <x v="61"/>
    <x v="2"/>
    <x v="61"/>
  </r>
  <r>
    <x v="4"/>
    <x v="78"/>
    <x v="2"/>
    <x v="61"/>
  </r>
  <r>
    <x v="4"/>
    <x v="45"/>
    <x v="3"/>
    <x v="61"/>
  </r>
  <r>
    <x v="8"/>
    <x v="59"/>
    <x v="2"/>
    <x v="62"/>
  </r>
  <r>
    <x v="6"/>
    <x v="59"/>
    <x v="2"/>
    <x v="63"/>
  </r>
  <r>
    <x v="2"/>
    <x v="49"/>
    <x v="2"/>
    <x v="63"/>
  </r>
  <r>
    <x v="2"/>
    <x v="59"/>
    <x v="2"/>
    <x v="63"/>
  </r>
  <r>
    <x v="6"/>
    <x v="45"/>
    <x v="3"/>
    <x v="64"/>
  </r>
  <r>
    <x v="2"/>
    <x v="45"/>
    <x v="3"/>
    <x v="64"/>
  </r>
  <r>
    <x v="2"/>
    <x v="52"/>
    <x v="2"/>
    <x v="64"/>
  </r>
  <r>
    <x v="10"/>
    <x v="79"/>
    <x v="2"/>
    <x v="65"/>
  </r>
  <r>
    <x v="7"/>
    <x v="59"/>
    <x v="2"/>
    <x v="65"/>
  </r>
  <r>
    <x v="10"/>
    <x v="59"/>
    <x v="2"/>
    <x v="66"/>
  </r>
  <r>
    <x v="0"/>
    <x v="80"/>
    <x v="2"/>
    <x v="67"/>
  </r>
  <r>
    <x v="8"/>
    <x v="24"/>
    <x v="2"/>
    <x v="67"/>
  </r>
  <r>
    <x v="6"/>
    <x v="69"/>
    <x v="2"/>
    <x v="68"/>
  </r>
  <r>
    <x v="2"/>
    <x v="69"/>
    <x v="2"/>
    <x v="69"/>
  </r>
  <r>
    <x v="7"/>
    <x v="52"/>
    <x v="2"/>
    <x v="69"/>
  </r>
  <r>
    <x v="7"/>
    <x v="69"/>
    <x v="2"/>
    <x v="69"/>
  </r>
  <r>
    <x v="1"/>
    <x v="61"/>
    <x v="2"/>
    <x v="70"/>
  </r>
  <r>
    <x v="8"/>
    <x v="69"/>
    <x v="2"/>
    <x v="70"/>
  </r>
  <r>
    <x v="8"/>
    <x v="81"/>
    <x v="1"/>
    <x v="70"/>
  </r>
  <r>
    <x v="9"/>
    <x v="81"/>
    <x v="1"/>
    <x v="70"/>
  </r>
  <r>
    <x v="0"/>
    <x v="82"/>
    <x v="0"/>
    <x v="71"/>
  </r>
  <r>
    <x v="1"/>
    <x v="53"/>
    <x v="2"/>
    <x v="72"/>
  </r>
  <r>
    <x v="5"/>
    <x v="45"/>
    <x v="3"/>
    <x v="73"/>
  </r>
  <r>
    <x v="6"/>
    <x v="49"/>
    <x v="2"/>
    <x v="73"/>
  </r>
  <r>
    <x v="1"/>
    <x v="70"/>
    <x v="2"/>
    <x v="74"/>
  </r>
  <r>
    <x v="5"/>
    <x v="50"/>
    <x v="2"/>
    <x v="74"/>
  </r>
  <r>
    <x v="6"/>
    <x v="43"/>
    <x v="1"/>
    <x v="75"/>
  </r>
  <r>
    <x v="0"/>
    <x v="79"/>
    <x v="2"/>
    <x v="76"/>
  </r>
  <r>
    <x v="6"/>
    <x v="75"/>
    <x v="1"/>
    <x v="77"/>
  </r>
  <r>
    <x v="8"/>
    <x v="33"/>
    <x v="2"/>
    <x v="77"/>
  </r>
  <r>
    <x v="9"/>
    <x v="33"/>
    <x v="2"/>
    <x v="77"/>
  </r>
  <r>
    <x v="1"/>
    <x v="79"/>
    <x v="2"/>
    <x v="78"/>
  </r>
  <r>
    <x v="8"/>
    <x v="52"/>
    <x v="2"/>
    <x v="79"/>
  </r>
  <r>
    <x v="3"/>
    <x v="69"/>
    <x v="2"/>
    <x v="80"/>
  </r>
  <r>
    <x v="7"/>
    <x v="81"/>
    <x v="1"/>
    <x v="80"/>
  </r>
  <r>
    <x v="9"/>
    <x v="75"/>
    <x v="1"/>
    <x v="80"/>
  </r>
  <r>
    <x v="1"/>
    <x v="83"/>
    <x v="0"/>
    <x v="81"/>
  </r>
  <r>
    <x v="1"/>
    <x v="64"/>
    <x v="2"/>
    <x v="82"/>
  </r>
  <r>
    <x v="2"/>
    <x v="81"/>
    <x v="1"/>
    <x v="82"/>
  </r>
  <r>
    <x v="7"/>
    <x v="76"/>
    <x v="1"/>
    <x v="82"/>
  </r>
  <r>
    <x v="8"/>
    <x v="76"/>
    <x v="1"/>
    <x v="82"/>
  </r>
  <r>
    <x v="1"/>
    <x v="71"/>
    <x v="0"/>
    <x v="83"/>
  </r>
  <r>
    <x v="10"/>
    <x v="84"/>
    <x v="2"/>
    <x v="84"/>
  </r>
  <r>
    <x v="8"/>
    <x v="85"/>
    <x v="1"/>
    <x v="84"/>
  </r>
  <r>
    <x v="6"/>
    <x v="86"/>
    <x v="3"/>
    <x v="85"/>
  </r>
  <r>
    <x v="4"/>
    <x v="69"/>
    <x v="2"/>
    <x v="86"/>
  </r>
  <r>
    <x v="10"/>
    <x v="24"/>
    <x v="2"/>
    <x v="87"/>
  </r>
  <r>
    <x v="5"/>
    <x v="69"/>
    <x v="2"/>
    <x v="88"/>
  </r>
  <r>
    <x v="6"/>
    <x v="68"/>
    <x v="2"/>
    <x v="89"/>
  </r>
  <r>
    <x v="7"/>
    <x v="63"/>
    <x v="2"/>
    <x v="90"/>
  </r>
  <r>
    <x v="2"/>
    <x v="67"/>
    <x v="3"/>
    <x v="91"/>
  </r>
  <r>
    <x v="6"/>
    <x v="78"/>
    <x v="2"/>
    <x v="92"/>
  </r>
  <r>
    <x v="7"/>
    <x v="87"/>
    <x v="1"/>
    <x v="92"/>
  </r>
  <r>
    <x v="0"/>
    <x v="88"/>
    <x v="3"/>
    <x v="93"/>
  </r>
  <r>
    <x v="3"/>
    <x v="70"/>
    <x v="2"/>
    <x v="94"/>
  </r>
  <r>
    <x v="3"/>
    <x v="61"/>
    <x v="2"/>
    <x v="95"/>
  </r>
  <r>
    <x v="6"/>
    <x v="89"/>
    <x v="2"/>
    <x v="95"/>
  </r>
  <r>
    <x v="6"/>
    <x v="81"/>
    <x v="1"/>
    <x v="96"/>
  </r>
  <r>
    <x v="8"/>
    <x v="63"/>
    <x v="2"/>
    <x v="96"/>
  </r>
  <r>
    <x v="2"/>
    <x v="89"/>
    <x v="2"/>
    <x v="97"/>
  </r>
  <r>
    <x v="7"/>
    <x v="89"/>
    <x v="2"/>
    <x v="98"/>
  </r>
  <r>
    <x v="1"/>
    <x v="88"/>
    <x v="3"/>
    <x v="99"/>
  </r>
  <r>
    <x v="5"/>
    <x v="89"/>
    <x v="2"/>
    <x v="100"/>
  </r>
  <r>
    <x v="6"/>
    <x v="72"/>
    <x v="1"/>
    <x v="100"/>
  </r>
  <r>
    <x v="9"/>
    <x v="63"/>
    <x v="2"/>
    <x v="101"/>
  </r>
  <r>
    <x v="0"/>
    <x v="75"/>
    <x v="1"/>
    <x v="102"/>
  </r>
  <r>
    <x v="2"/>
    <x v="90"/>
    <x v="1"/>
    <x v="102"/>
  </r>
  <r>
    <x v="7"/>
    <x v="90"/>
    <x v="1"/>
    <x v="102"/>
  </r>
  <r>
    <x v="5"/>
    <x v="70"/>
    <x v="2"/>
    <x v="103"/>
  </r>
  <r>
    <x v="8"/>
    <x v="87"/>
    <x v="1"/>
    <x v="104"/>
  </r>
  <r>
    <x v="3"/>
    <x v="88"/>
    <x v="3"/>
    <x v="105"/>
  </r>
  <r>
    <x v="6"/>
    <x v="90"/>
    <x v="1"/>
    <x v="106"/>
  </r>
  <r>
    <x v="2"/>
    <x v="75"/>
    <x v="1"/>
    <x v="107"/>
  </r>
  <r>
    <x v="9"/>
    <x v="87"/>
    <x v="1"/>
    <x v="107"/>
  </r>
  <r>
    <x v="1"/>
    <x v="75"/>
    <x v="1"/>
    <x v="108"/>
  </r>
  <r>
    <x v="5"/>
    <x v="75"/>
    <x v="1"/>
    <x v="109"/>
  </r>
  <r>
    <x v="4"/>
    <x v="70"/>
    <x v="2"/>
    <x v="110"/>
  </r>
  <r>
    <x v="3"/>
    <x v="75"/>
    <x v="1"/>
    <x v="111"/>
  </r>
  <r>
    <x v="6"/>
    <x v="63"/>
    <x v="2"/>
    <x v="111"/>
  </r>
  <r>
    <x v="2"/>
    <x v="48"/>
    <x v="1"/>
    <x v="111"/>
  </r>
  <r>
    <x v="10"/>
    <x v="70"/>
    <x v="2"/>
    <x v="112"/>
  </r>
  <r>
    <x v="10"/>
    <x v="74"/>
    <x v="2"/>
    <x v="112"/>
  </r>
  <r>
    <x v="4"/>
    <x v="61"/>
    <x v="2"/>
    <x v="113"/>
  </r>
  <r>
    <x v="7"/>
    <x v="75"/>
    <x v="1"/>
    <x v="114"/>
  </r>
  <r>
    <x v="0"/>
    <x v="68"/>
    <x v="2"/>
    <x v="115"/>
  </r>
  <r>
    <x v="10"/>
    <x v="75"/>
    <x v="1"/>
    <x v="116"/>
  </r>
  <r>
    <x v="6"/>
    <x v="50"/>
    <x v="2"/>
    <x v="117"/>
  </r>
  <r>
    <x v="6"/>
    <x v="91"/>
    <x v="1"/>
    <x v="118"/>
  </r>
  <r>
    <x v="5"/>
    <x v="92"/>
    <x v="3"/>
    <x v="119"/>
  </r>
  <r>
    <x v="2"/>
    <x v="78"/>
    <x v="2"/>
    <x v="120"/>
  </r>
  <r>
    <x v="8"/>
    <x v="70"/>
    <x v="2"/>
    <x v="121"/>
  </r>
  <r>
    <x v="6"/>
    <x v="70"/>
    <x v="2"/>
    <x v="122"/>
  </r>
  <r>
    <x v="2"/>
    <x v="68"/>
    <x v="2"/>
    <x v="123"/>
  </r>
  <r>
    <x v="1"/>
    <x v="80"/>
    <x v="2"/>
    <x v="124"/>
  </r>
  <r>
    <x v="7"/>
    <x v="85"/>
    <x v="1"/>
    <x v="125"/>
  </r>
  <r>
    <x v="5"/>
    <x v="93"/>
    <x v="1"/>
    <x v="126"/>
  </r>
  <r>
    <x v="9"/>
    <x v="70"/>
    <x v="2"/>
    <x v="127"/>
  </r>
  <r>
    <x v="4"/>
    <x v="88"/>
    <x v="3"/>
    <x v="128"/>
  </r>
  <r>
    <x v="2"/>
    <x v="70"/>
    <x v="2"/>
    <x v="129"/>
  </r>
  <r>
    <x v="6"/>
    <x v="54"/>
    <x v="3"/>
    <x v="130"/>
  </r>
  <r>
    <x v="6"/>
    <x v="94"/>
    <x v="1"/>
    <x v="131"/>
  </r>
  <r>
    <x v="3"/>
    <x v="71"/>
    <x v="0"/>
    <x v="132"/>
  </r>
  <r>
    <x v="1"/>
    <x v="68"/>
    <x v="2"/>
    <x v="133"/>
  </r>
  <r>
    <x v="0"/>
    <x v="95"/>
    <x v="2"/>
    <x v="134"/>
  </r>
  <r>
    <x v="10"/>
    <x v="95"/>
    <x v="2"/>
    <x v="135"/>
  </r>
  <r>
    <x v="7"/>
    <x v="70"/>
    <x v="2"/>
    <x v="136"/>
  </r>
  <r>
    <x v="3"/>
    <x v="96"/>
    <x v="2"/>
    <x v="137"/>
  </r>
  <r>
    <x v="4"/>
    <x v="68"/>
    <x v="2"/>
    <x v="138"/>
  </r>
  <r>
    <x v="4"/>
    <x v="71"/>
    <x v="0"/>
    <x v="139"/>
  </r>
  <r>
    <x v="7"/>
    <x v="78"/>
    <x v="2"/>
    <x v="140"/>
  </r>
  <r>
    <x v="5"/>
    <x v="88"/>
    <x v="3"/>
    <x v="141"/>
  </r>
  <r>
    <x v="4"/>
    <x v="97"/>
    <x v="2"/>
    <x v="142"/>
  </r>
  <r>
    <x v="3"/>
    <x v="78"/>
    <x v="2"/>
    <x v="143"/>
  </r>
  <r>
    <x v="10"/>
    <x v="89"/>
    <x v="2"/>
    <x v="144"/>
  </r>
  <r>
    <x v="6"/>
    <x v="93"/>
    <x v="1"/>
    <x v="145"/>
  </r>
  <r>
    <x v="5"/>
    <x v="71"/>
    <x v="0"/>
    <x v="146"/>
  </r>
  <r>
    <x v="1"/>
    <x v="42"/>
    <x v="2"/>
    <x v="147"/>
  </r>
  <r>
    <x v="3"/>
    <x v="42"/>
    <x v="2"/>
    <x v="147"/>
  </r>
  <r>
    <x v="4"/>
    <x v="42"/>
    <x v="2"/>
    <x v="147"/>
  </r>
  <r>
    <x v="5"/>
    <x v="42"/>
    <x v="2"/>
    <x v="147"/>
  </r>
  <r>
    <x v="4"/>
    <x v="96"/>
    <x v="2"/>
    <x v="148"/>
  </r>
  <r>
    <x v="7"/>
    <x v="98"/>
    <x v="2"/>
    <x v="149"/>
  </r>
  <r>
    <x v="8"/>
    <x v="42"/>
    <x v="2"/>
    <x v="150"/>
  </r>
  <r>
    <x v="9"/>
    <x v="42"/>
    <x v="2"/>
    <x v="150"/>
  </r>
  <r>
    <x v="0"/>
    <x v="89"/>
    <x v="2"/>
    <x v="151"/>
  </r>
  <r>
    <x v="4"/>
    <x v="89"/>
    <x v="2"/>
    <x v="152"/>
  </r>
  <r>
    <x v="1"/>
    <x v="89"/>
    <x v="2"/>
    <x v="153"/>
  </r>
  <r>
    <x v="3"/>
    <x v="89"/>
    <x v="2"/>
    <x v="154"/>
  </r>
  <r>
    <x v="10"/>
    <x v="99"/>
    <x v="2"/>
    <x v="155"/>
  </r>
  <r>
    <x v="1"/>
    <x v="100"/>
    <x v="0"/>
    <x v="156"/>
  </r>
  <r>
    <x v="2"/>
    <x v="93"/>
    <x v="1"/>
    <x v="157"/>
  </r>
  <r>
    <x v="9"/>
    <x v="99"/>
    <x v="2"/>
    <x v="158"/>
  </r>
  <r>
    <x v="8"/>
    <x v="99"/>
    <x v="2"/>
    <x v="159"/>
  </r>
  <r>
    <x v="0"/>
    <x v="99"/>
    <x v="2"/>
    <x v="160"/>
  </r>
  <r>
    <x v="1"/>
    <x v="99"/>
    <x v="2"/>
    <x v="161"/>
  </r>
  <r>
    <x v="4"/>
    <x v="101"/>
    <x v="4"/>
    <x v="162"/>
  </r>
  <r>
    <x v="8"/>
    <x v="93"/>
    <x v="1"/>
    <x v="163"/>
  </r>
  <r>
    <x v="8"/>
    <x v="78"/>
    <x v="2"/>
    <x v="164"/>
  </r>
  <r>
    <x v="1"/>
    <x v="96"/>
    <x v="2"/>
    <x v="165"/>
  </r>
  <r>
    <x v="6"/>
    <x v="22"/>
    <x v="3"/>
    <x v="166"/>
  </r>
  <r>
    <x v="1"/>
    <x v="102"/>
    <x v="1"/>
    <x v="167"/>
  </r>
  <r>
    <x v="10"/>
    <x v="103"/>
    <x v="2"/>
    <x v="168"/>
  </r>
  <r>
    <x v="0"/>
    <x v="103"/>
    <x v="2"/>
    <x v="169"/>
  </r>
  <r>
    <x v="1"/>
    <x v="103"/>
    <x v="2"/>
    <x v="169"/>
  </r>
  <r>
    <x v="3"/>
    <x v="103"/>
    <x v="2"/>
    <x v="170"/>
  </r>
  <r>
    <x v="6"/>
    <x v="62"/>
    <x v="3"/>
    <x v="171"/>
  </r>
  <r>
    <x v="9"/>
    <x v="78"/>
    <x v="2"/>
    <x v="172"/>
  </r>
  <r>
    <x v="3"/>
    <x v="99"/>
    <x v="2"/>
    <x v="173"/>
  </r>
  <r>
    <x v="10"/>
    <x v="104"/>
    <x v="2"/>
    <x v="174"/>
  </r>
  <r>
    <x v="5"/>
    <x v="105"/>
    <x v="2"/>
    <x v="175"/>
  </r>
  <r>
    <x v="0"/>
    <x v="106"/>
    <x v="2"/>
    <x v="176"/>
  </r>
  <r>
    <x v="4"/>
    <x v="99"/>
    <x v="2"/>
    <x v="177"/>
  </r>
  <r>
    <x v="6"/>
    <x v="107"/>
    <x v="2"/>
    <x v="178"/>
  </r>
  <r>
    <x v="3"/>
    <x v="105"/>
    <x v="2"/>
    <x v="179"/>
  </r>
  <r>
    <x v="10"/>
    <x v="105"/>
    <x v="2"/>
    <x v="180"/>
  </r>
  <r>
    <x v="4"/>
    <x v="105"/>
    <x v="2"/>
    <x v="181"/>
  </r>
  <r>
    <x v="1"/>
    <x v="105"/>
    <x v="2"/>
    <x v="182"/>
  </r>
  <r>
    <x v="6"/>
    <x v="99"/>
    <x v="2"/>
    <x v="183"/>
  </r>
  <r>
    <x v="9"/>
    <x v="107"/>
    <x v="2"/>
    <x v="184"/>
  </r>
  <r>
    <x v="0"/>
    <x v="107"/>
    <x v="2"/>
    <x v="185"/>
  </r>
  <r>
    <x v="1"/>
    <x v="107"/>
    <x v="2"/>
    <x v="185"/>
  </r>
  <r>
    <x v="2"/>
    <x v="107"/>
    <x v="2"/>
    <x v="186"/>
  </r>
  <r>
    <x v="7"/>
    <x v="107"/>
    <x v="2"/>
    <x v="186"/>
  </r>
  <r>
    <x v="8"/>
    <x v="107"/>
    <x v="2"/>
    <x v="186"/>
  </r>
  <r>
    <x v="3"/>
    <x v="107"/>
    <x v="2"/>
    <x v="187"/>
  </r>
  <r>
    <x v="7"/>
    <x v="99"/>
    <x v="2"/>
    <x v="188"/>
  </r>
  <r>
    <x v="5"/>
    <x v="99"/>
    <x v="2"/>
    <x v="189"/>
  </r>
  <r>
    <x v="2"/>
    <x v="99"/>
    <x v="2"/>
    <x v="190"/>
  </r>
  <r>
    <x v="0"/>
    <x v="105"/>
    <x v="2"/>
    <x v="191"/>
  </r>
  <r>
    <x v="8"/>
    <x v="108"/>
    <x v="1"/>
    <x v="192"/>
  </r>
  <r>
    <x v="5"/>
    <x v="98"/>
    <x v="2"/>
    <x v="193"/>
  </r>
  <r>
    <x v="6"/>
    <x v="109"/>
    <x v="1"/>
    <x v="194"/>
  </r>
  <r>
    <x v="4"/>
    <x v="110"/>
    <x v="3"/>
    <x v="195"/>
  </r>
  <r>
    <x v="8"/>
    <x v="97"/>
    <x v="2"/>
    <x v="196"/>
  </r>
  <r>
    <x v="9"/>
    <x v="102"/>
    <x v="1"/>
    <x v="197"/>
  </r>
  <r>
    <x v="8"/>
    <x v="102"/>
    <x v="1"/>
    <x v="198"/>
  </r>
  <r>
    <x v="2"/>
    <x v="111"/>
    <x v="1"/>
    <x v="199"/>
  </r>
  <r>
    <x v="6"/>
    <x v="102"/>
    <x v="1"/>
    <x v="200"/>
  </r>
  <r>
    <x v="6"/>
    <x v="92"/>
    <x v="3"/>
    <x v="201"/>
  </r>
  <r>
    <x v="2"/>
    <x v="92"/>
    <x v="3"/>
    <x v="202"/>
  </r>
  <r>
    <x v="7"/>
    <x v="106"/>
    <x v="2"/>
    <x v="203"/>
  </r>
  <r>
    <x v="1"/>
    <x v="106"/>
    <x v="2"/>
    <x v="204"/>
  </r>
  <r>
    <x v="8"/>
    <x v="106"/>
    <x v="2"/>
    <x v="205"/>
  </r>
  <r>
    <x v="6"/>
    <x v="57"/>
    <x v="1"/>
    <x v="206"/>
  </r>
  <r>
    <x v="8"/>
    <x v="112"/>
    <x v="0"/>
    <x v="207"/>
  </r>
  <r>
    <x v="7"/>
    <x v="112"/>
    <x v="0"/>
    <x v="2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utoFormatId="1" applyNumberFormats="0" applyBorderFormats="0" applyFontFormats="0" applyPatternFormats="0" applyAlignmentFormats="0" applyWidthHeightFormats="1" dataCaption="Values" updatedVersion="5" minRefreshableVersion="3" createdVersion="5" useAutoFormatting="1" compact="0" indent="0" outline="1" compactData="0" outlineData="1" showDrill="1" multipleFieldFilters="0">
  <location ref="A3:B117" firstHeaderRow="1" firstDataRow="1" firstDataCol="1"/>
  <pivotFields count="4">
    <pivotField compact="0" numFmtId="184" showAll="0">
      <items count="12">
        <item x="10"/>
        <item x="0"/>
        <item x="1"/>
        <item x="3"/>
        <item x="4"/>
        <item x="5"/>
        <item x="6"/>
        <item x="2"/>
        <item x="7"/>
        <item x="8"/>
        <item x="9"/>
        <item t="default"/>
      </items>
    </pivotField>
    <pivotField axis="axisRow" compact="0" sortType="ascending" showAll="0">
      <items count="114">
        <item x="94"/>
        <item x="11"/>
        <item x="112"/>
        <item x="62"/>
        <item x="86"/>
        <item x="35"/>
        <item x="34"/>
        <item x="88"/>
        <item x="98"/>
        <item x="22"/>
        <item x="83"/>
        <item x="77"/>
        <item x="16"/>
        <item x="20"/>
        <item x="10"/>
        <item x="103"/>
        <item x="24"/>
        <item x="70"/>
        <item x="43"/>
        <item x="52"/>
        <item x="39"/>
        <item x="1"/>
        <item x="45"/>
        <item x="109"/>
        <item x="21"/>
        <item x="106"/>
        <item x="54"/>
        <item x="95"/>
        <item x="27"/>
        <item x="32"/>
        <item x="100"/>
        <item x="79"/>
        <item x="48"/>
        <item x="53"/>
        <item x="105"/>
        <item x="101"/>
        <item x="66"/>
        <item x="36"/>
        <item x="37"/>
        <item x="96"/>
        <item x="64"/>
        <item x="73"/>
        <item x="99"/>
        <item x="23"/>
        <item x="41"/>
        <item x="44"/>
        <item x="85"/>
        <item x="82"/>
        <item x="5"/>
        <item x="78"/>
        <item x="28"/>
        <item x="55"/>
        <item x="13"/>
        <item x="38"/>
        <item x="104"/>
        <item x="81"/>
        <item x="30"/>
        <item x="0"/>
        <item x="84"/>
        <item x="74"/>
        <item x="6"/>
        <item x="69"/>
        <item x="9"/>
        <item x="14"/>
        <item x="58"/>
        <item x="89"/>
        <item x="91"/>
        <item x="60"/>
        <item x="61"/>
        <item x="57"/>
        <item x="33"/>
        <item x="51"/>
        <item x="80"/>
        <item x="25"/>
        <item x="76"/>
        <item x="75"/>
        <item x="72"/>
        <item x="102"/>
        <item x="71"/>
        <item x="31"/>
        <item x="56"/>
        <item x="46"/>
        <item x="2"/>
        <item x="7"/>
        <item x="19"/>
        <item x="108"/>
        <item x="42"/>
        <item x="107"/>
        <item x="90"/>
        <item x="68"/>
        <item x="63"/>
        <item x="87"/>
        <item x="3"/>
        <item x="15"/>
        <item x="18"/>
        <item x="92"/>
        <item x="29"/>
        <item x="59"/>
        <item x="4"/>
        <item x="110"/>
        <item x="26"/>
        <item x="93"/>
        <item x="67"/>
        <item x="49"/>
        <item x="65"/>
        <item x="47"/>
        <item x="17"/>
        <item x="8"/>
        <item x="97"/>
        <item x="40"/>
        <item x="50"/>
        <item x="12"/>
        <item x="111"/>
        <item t="default"/>
      </items>
      <autoSortScope>
        <pivotArea fieldPosition="0">
          <references count="1">
            <reference field="4294967294" count="1" selected="0">
              <x v="0"/>
            </reference>
          </references>
        </pivotArea>
      </autoSortScope>
    </pivotField>
    <pivotField compact="0" showAll="0">
      <items count="6">
        <item x="0"/>
        <item x="1"/>
        <item x="2"/>
        <item x="3"/>
        <item x="4"/>
        <item t="default"/>
      </items>
    </pivotField>
    <pivotField dataField="1" compact="0" sortType="descending" numFmtId="2" showAll="0">
      <items count="210">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s>
  <rowFields count="1">
    <field x="1"/>
  </rowFields>
  <rowItems count="114">
    <i>
      <x v="14"/>
    </i>
    <i>
      <x v="60"/>
    </i>
    <i>
      <x v="62"/>
    </i>
    <i>
      <x v="107"/>
    </i>
    <i>
      <x v="57"/>
    </i>
    <i>
      <x v="12"/>
    </i>
    <i>
      <x v="63"/>
    </i>
    <i>
      <x v="1"/>
    </i>
    <i>
      <x v="43"/>
    </i>
    <i>
      <x v="28"/>
    </i>
    <i>
      <x v="56"/>
    </i>
    <i>
      <x v="83"/>
    </i>
    <i>
      <x v="79"/>
    </i>
    <i>
      <x v="84"/>
    </i>
    <i>
      <x v="5"/>
    </i>
    <i>
      <x v="93"/>
    </i>
    <i>
      <x v="20"/>
    </i>
    <i>
      <x v="81"/>
    </i>
    <i>
      <x v="98"/>
    </i>
    <i>
      <x v="100"/>
    </i>
    <i>
      <x v="73"/>
    </i>
    <i>
      <x v="111"/>
    </i>
    <i>
      <x v="50"/>
    </i>
    <i>
      <x v="82"/>
    </i>
    <i>
      <x v="53"/>
    </i>
    <i>
      <x v="52"/>
    </i>
    <i>
      <x v="64"/>
    </i>
    <i>
      <x v="45"/>
    </i>
    <i>
      <x v="48"/>
    </i>
    <i>
      <x v="105"/>
    </i>
    <i>
      <x v="6"/>
    </i>
    <i>
      <x v="44"/>
    </i>
    <i>
      <x v="24"/>
    </i>
    <i>
      <x v="71"/>
    </i>
    <i>
      <x v="96"/>
    </i>
    <i>
      <x v="11"/>
    </i>
    <i>
      <x v="80"/>
    </i>
    <i>
      <x v="94"/>
    </i>
    <i>
      <x v="13"/>
    </i>
    <i>
      <x v="36"/>
    </i>
    <i>
      <x v="47"/>
    </i>
    <i>
      <x v="92"/>
    </i>
    <i>
      <x v="10"/>
    </i>
    <i>
      <x v="58"/>
    </i>
    <i>
      <x v="4"/>
    </i>
    <i>
      <x v="41"/>
    </i>
    <i>
      <x v="109"/>
    </i>
    <i>
      <x v="21"/>
    </i>
    <i>
      <x v="38"/>
    </i>
    <i>
      <x v="40"/>
    </i>
    <i>
      <x v="29"/>
    </i>
    <i>
      <x v="67"/>
    </i>
    <i>
      <x v="102"/>
    </i>
    <i>
      <x v="33"/>
    </i>
    <i>
      <x v="104"/>
    </i>
    <i>
      <x v="66"/>
    </i>
    <i>
      <x v="18"/>
    </i>
    <i>
      <x v="106"/>
    </i>
    <i>
      <x v="59"/>
    </i>
    <i>
      <x v="32"/>
    </i>
    <i>
      <x v="76"/>
    </i>
    <i>
      <x v="70"/>
    </i>
    <i>
      <x v="31"/>
    </i>
    <i>
      <x v="37"/>
    </i>
    <i>
      <x/>
    </i>
    <i>
      <x v="74"/>
    </i>
    <i>
      <x v="51"/>
    </i>
    <i>
      <x v="72"/>
    </i>
    <i>
      <x v="26"/>
    </i>
    <i>
      <x v="110"/>
    </i>
    <i>
      <x v="46"/>
    </i>
    <i>
      <x v="19"/>
    </i>
    <i>
      <x v="16"/>
    </i>
    <i>
      <x v="103"/>
    </i>
    <i>
      <x v="91"/>
    </i>
    <i>
      <x v="88"/>
    </i>
    <i>
      <x v="55"/>
    </i>
    <i>
      <x v="97"/>
    </i>
    <i>
      <x v="30"/>
    </i>
    <i>
      <x v="68"/>
    </i>
    <i>
      <x v="22"/>
    </i>
    <i>
      <x v="27"/>
    </i>
    <i>
      <x v="35"/>
    </i>
    <i>
      <x v="90"/>
    </i>
    <i>
      <x v="61"/>
    </i>
    <i>
      <x v="9"/>
    </i>
    <i>
      <x v="3"/>
    </i>
    <i>
      <x v="54"/>
    </i>
    <i>
      <x v="7"/>
    </i>
    <i>
      <x v="78"/>
    </i>
    <i>
      <x v="89"/>
    </i>
    <i>
      <x v="75"/>
    </i>
    <i>
      <x v="39"/>
    </i>
    <i>
      <x v="85"/>
    </i>
    <i>
      <x v="23"/>
    </i>
    <i>
      <x v="99"/>
    </i>
    <i>
      <x v="101"/>
    </i>
    <i>
      <x v="8"/>
    </i>
    <i>
      <x v="17"/>
    </i>
    <i>
      <x v="108"/>
    </i>
    <i>
      <x v="112"/>
    </i>
    <i>
      <x v="49"/>
    </i>
    <i>
      <x v="86"/>
    </i>
    <i>
      <x v="65"/>
    </i>
    <i>
      <x v="15"/>
    </i>
    <i>
      <x v="95"/>
    </i>
    <i>
      <x v="34"/>
    </i>
    <i>
      <x v="77"/>
    </i>
    <i>
      <x v="69"/>
    </i>
    <i>
      <x v="42"/>
    </i>
    <i>
      <x v="87"/>
    </i>
    <i>
      <x v="25"/>
    </i>
    <i>
      <x v="2"/>
    </i>
    <i t="grand">
      <x/>
    </i>
  </rowItems>
  <colItems count="1">
    <i/>
  </colItems>
  <dataFields count="1">
    <dataField name="Sum of Production Shortages (Units)" fld="3" baseField="0" baseItem="0"/>
  </dataFields>
  <pivotTableStyleInfo name="PivotStylePreset2_Accent1" showRowHeaders="1" showColHeaders="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D115" totalsRowShown="0">
  <autoFilter ref="A1:D115"/>
  <tableColumns count="4">
    <tableColumn id="1" name="Part Number" dataDxfId="4"/>
    <tableColumn id="2" name="Sum of Production Shortages (Units)" dataDxfId="5"/>
    <tableColumn id="3" name="Cumulative SUM" dataDxfId="6"/>
    <tableColumn id="4" name="Cumulative Percentage" dataDxfId="7"/>
  </tableColumns>
  <tableStyleInfo name="TableStylePreset3_Accent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4" tint="0.6"/>
  </sheetPr>
  <dimension ref="A1:G1001"/>
  <sheetViews>
    <sheetView showGridLines="0" tabSelected="1" workbookViewId="0">
      <selection activeCell="B2" sqref="B2:F7"/>
    </sheetView>
  </sheetViews>
  <sheetFormatPr defaultColWidth="14.4285714285714" defaultRowHeight="15" customHeight="1" outlineLevelCol="6"/>
  <cols>
    <col min="1" max="1" width="8.71428571428571" customWidth="1"/>
    <col min="2" max="2" width="42.1428571428571" customWidth="1"/>
    <col min="3" max="3" width="32.4285714285714" customWidth="1"/>
    <col min="4" max="4" width="26.2857142857143" customWidth="1"/>
    <col min="5" max="5" width="17.1428571428571" customWidth="1"/>
    <col min="6" max="6" width="31.1428571428571" customWidth="1"/>
    <col min="7" max="26" width="8.71428571428571" customWidth="1"/>
  </cols>
  <sheetData>
    <row r="1" ht="14.25" customHeight="1" spans="1:7">
      <c r="A1" s="159"/>
      <c r="B1" s="160"/>
      <c r="C1" s="159"/>
      <c r="D1" s="159"/>
      <c r="E1" s="159"/>
      <c r="F1" s="159"/>
      <c r="G1" s="159"/>
    </row>
    <row r="2" ht="14.25" customHeight="1" spans="1:7">
      <c r="A2" s="159"/>
      <c r="B2" s="161"/>
      <c r="C2" s="162"/>
      <c r="D2" s="163"/>
      <c r="E2" s="163"/>
      <c r="F2" s="163"/>
      <c r="G2" s="159"/>
    </row>
    <row r="3" ht="14.25" customHeight="1" spans="1:7">
      <c r="A3" s="159"/>
      <c r="B3" s="164"/>
      <c r="C3" s="162"/>
      <c r="D3" s="163"/>
      <c r="E3" s="163"/>
      <c r="F3" s="163"/>
      <c r="G3" s="159"/>
    </row>
    <row r="4" ht="14.25" customHeight="1" spans="1:7">
      <c r="A4" s="159"/>
      <c r="B4" s="161"/>
      <c r="C4" s="162"/>
      <c r="D4" s="163"/>
      <c r="E4" s="163"/>
      <c r="F4" s="163"/>
      <c r="G4" s="159"/>
    </row>
    <row r="5" ht="14.25" customHeight="1" spans="1:7">
      <c r="A5" s="159"/>
      <c r="B5" s="161"/>
      <c r="C5" s="162"/>
      <c r="D5" s="163"/>
      <c r="E5" s="163"/>
      <c r="F5" s="163"/>
      <c r="G5" s="159"/>
    </row>
    <row r="6" ht="14.25" customHeight="1" spans="1:7">
      <c r="A6" s="159"/>
      <c r="B6" s="161"/>
      <c r="C6" s="162"/>
      <c r="D6" s="163"/>
      <c r="E6" s="163"/>
      <c r="F6" s="163"/>
      <c r="G6" s="159"/>
    </row>
    <row r="7" ht="14.25" customHeight="1" spans="1:7">
      <c r="A7" s="159"/>
      <c r="B7" s="161"/>
      <c r="C7" s="162"/>
      <c r="D7" s="163"/>
      <c r="E7" s="163"/>
      <c r="F7" s="163"/>
      <c r="G7" s="159"/>
    </row>
    <row r="8" ht="14.25" customHeight="1" spans="1:7">
      <c r="A8" s="159"/>
      <c r="B8" s="160"/>
      <c r="C8" s="165"/>
      <c r="D8" s="159"/>
      <c r="E8" s="159"/>
      <c r="F8" s="159"/>
      <c r="G8" s="159"/>
    </row>
    <row r="9" ht="14.25" customHeight="1" spans="1:7">
      <c r="A9" s="159"/>
      <c r="B9" s="166" t="s">
        <v>0</v>
      </c>
      <c r="C9" s="167" t="s">
        <v>1</v>
      </c>
      <c r="D9" s="159"/>
      <c r="E9" s="159"/>
      <c r="F9" s="159"/>
      <c r="G9" s="159"/>
    </row>
    <row r="10" ht="14.25" customHeight="1" spans="1:7">
      <c r="A10" s="159"/>
      <c r="B10" s="166" t="s">
        <v>2</v>
      </c>
      <c r="C10" s="168" t="s">
        <v>3</v>
      </c>
      <c r="D10" s="159"/>
      <c r="E10" s="159"/>
      <c r="F10" s="159"/>
      <c r="G10" s="159"/>
    </row>
    <row r="11" ht="14.25" customHeight="1" spans="1:7">
      <c r="A11" s="159"/>
      <c r="B11" s="166" t="s">
        <v>4</v>
      </c>
      <c r="C11" s="168" t="s">
        <v>5</v>
      </c>
      <c r="D11" s="159"/>
      <c r="E11" s="159"/>
      <c r="F11" s="159"/>
      <c r="G11" s="159"/>
    </row>
    <row r="12" ht="14.25" customHeight="1" spans="1:7">
      <c r="A12" s="159"/>
      <c r="B12" s="166" t="s">
        <v>6</v>
      </c>
      <c r="C12" s="169"/>
      <c r="D12" s="159"/>
      <c r="E12" s="159"/>
      <c r="F12" s="159"/>
      <c r="G12" s="159"/>
    </row>
    <row r="13" ht="14.25" customHeight="1" spans="1:7">
      <c r="A13" s="159"/>
      <c r="B13" s="166" t="s">
        <v>7</v>
      </c>
      <c r="C13" s="168"/>
      <c r="D13" s="159"/>
      <c r="E13" s="159"/>
      <c r="F13" s="159"/>
      <c r="G13" s="159"/>
    </row>
    <row r="14" ht="14.25" customHeight="1" spans="1:7">
      <c r="A14" s="159"/>
      <c r="B14" s="159"/>
      <c r="C14" s="159"/>
      <c r="D14" s="159"/>
      <c r="E14" s="159"/>
      <c r="F14" s="159"/>
      <c r="G14" s="159"/>
    </row>
    <row r="15" ht="14.25" customHeight="1" spans="1:7">
      <c r="A15" s="159"/>
      <c r="B15" s="170" t="s">
        <v>8</v>
      </c>
      <c r="C15" s="159"/>
      <c r="D15" s="159"/>
      <c r="E15" s="159"/>
      <c r="F15" s="159"/>
      <c r="G15" s="159"/>
    </row>
    <row r="16" ht="14.25" customHeight="1" spans="1:7">
      <c r="A16" s="171"/>
      <c r="B16" s="172" t="s">
        <v>9</v>
      </c>
      <c r="C16" s="171"/>
      <c r="D16" s="171"/>
      <c r="E16" s="171"/>
      <c r="F16" s="171"/>
      <c r="G16" s="171"/>
    </row>
    <row r="17" ht="14.25" customHeight="1" spans="1:7">
      <c r="A17" s="171"/>
      <c r="B17" s="173"/>
      <c r="C17" s="171"/>
      <c r="D17" s="171"/>
      <c r="E17" s="171"/>
      <c r="F17" s="171"/>
      <c r="G17" s="171"/>
    </row>
    <row r="18" ht="14.25" customHeight="1" spans="1:7">
      <c r="A18" s="171"/>
      <c r="B18" s="174" t="s">
        <v>10</v>
      </c>
      <c r="C18" s="171"/>
      <c r="D18" s="171"/>
      <c r="E18" s="171"/>
      <c r="F18" s="171"/>
      <c r="G18" s="171"/>
    </row>
    <row r="19" ht="14.25" customHeight="1" spans="1:7">
      <c r="A19" s="171"/>
      <c r="B19" s="175" t="s">
        <v>11</v>
      </c>
      <c r="C19" s="175" t="s">
        <v>11</v>
      </c>
      <c r="D19" s="175" t="s">
        <v>11</v>
      </c>
      <c r="E19" s="171"/>
      <c r="F19" s="171"/>
      <c r="G19" s="171"/>
    </row>
    <row r="20" ht="14.25" customHeight="1" spans="1:7">
      <c r="A20" s="171"/>
      <c r="B20" s="175" t="s">
        <v>12</v>
      </c>
      <c r="C20" s="171"/>
      <c r="D20" s="171"/>
      <c r="E20" s="171"/>
      <c r="F20" s="171"/>
      <c r="G20" s="171"/>
    </row>
    <row r="21" ht="14.25" customHeight="1" spans="1:7">
      <c r="A21" s="171"/>
      <c r="B21" s="175" t="s">
        <v>13</v>
      </c>
      <c r="C21" s="171"/>
      <c r="D21" s="171"/>
      <c r="E21" s="171"/>
      <c r="F21" s="171"/>
      <c r="G21" s="171"/>
    </row>
    <row r="22" ht="14.25" customHeight="1" spans="1:7">
      <c r="A22" s="171"/>
      <c r="B22" s="175" t="s">
        <v>14</v>
      </c>
      <c r="C22" s="171"/>
      <c r="D22" s="171"/>
      <c r="E22" s="171"/>
      <c r="F22" s="171"/>
      <c r="G22" s="171"/>
    </row>
    <row r="23" ht="14.25" customHeight="1" spans="1:7">
      <c r="A23" s="159"/>
      <c r="B23" s="175" t="s">
        <v>15</v>
      </c>
      <c r="C23" s="159"/>
      <c r="D23" s="159"/>
      <c r="E23" s="159"/>
      <c r="F23" s="159"/>
      <c r="G23" s="159"/>
    </row>
    <row r="24" ht="14.25" customHeight="1" spans="1:7">
      <c r="A24" s="159"/>
      <c r="B24" s="175" t="s">
        <v>16</v>
      </c>
      <c r="C24" s="159"/>
      <c r="D24" s="159"/>
      <c r="E24" s="159"/>
      <c r="F24" s="159"/>
      <c r="G24" s="159"/>
    </row>
    <row r="25" ht="14.25" customHeight="1" spans="1:7">
      <c r="A25" s="159"/>
      <c r="B25" s="176"/>
      <c r="C25" s="159"/>
      <c r="D25" s="159"/>
      <c r="E25" s="159"/>
      <c r="F25" s="159"/>
      <c r="G25" s="159"/>
    </row>
    <row r="26" ht="14.25" customHeight="1" spans="1:7">
      <c r="A26" s="159"/>
      <c r="B26" s="159"/>
      <c r="C26" s="177" t="s">
        <v>17</v>
      </c>
      <c r="D26" s="4"/>
      <c r="E26" s="159"/>
      <c r="F26" s="159"/>
      <c r="G26" s="159"/>
    </row>
    <row r="27" ht="14.25" customHeight="1" spans="1:7">
      <c r="A27" s="159"/>
      <c r="B27" s="159"/>
      <c r="C27" s="178" t="s">
        <v>18</v>
      </c>
      <c r="D27" s="179">
        <v>3</v>
      </c>
      <c r="E27" s="159"/>
      <c r="F27" s="159"/>
      <c r="G27" s="159"/>
    </row>
    <row r="28" ht="14.25" customHeight="1" spans="1:7">
      <c r="A28" s="159"/>
      <c r="B28" s="159"/>
      <c r="C28" s="180" t="s">
        <v>19</v>
      </c>
      <c r="D28" s="181">
        <v>2</v>
      </c>
      <c r="E28" s="159"/>
      <c r="F28" s="159"/>
      <c r="G28" s="159"/>
    </row>
    <row r="29" ht="14.25" customHeight="1" spans="1:7">
      <c r="A29" s="159"/>
      <c r="B29" s="159"/>
      <c r="C29" s="180" t="s">
        <v>20</v>
      </c>
      <c r="D29" s="181">
        <v>4</v>
      </c>
      <c r="E29" s="159"/>
      <c r="F29" s="159"/>
      <c r="G29" s="159"/>
    </row>
    <row r="30" ht="14.25" customHeight="1" spans="1:7">
      <c r="A30" s="159"/>
      <c r="B30" s="159"/>
      <c r="C30" s="180" t="s">
        <v>21</v>
      </c>
      <c r="D30" s="181">
        <v>3</v>
      </c>
      <c r="E30" s="159"/>
      <c r="F30" s="159"/>
      <c r="G30" s="159"/>
    </row>
    <row r="31" ht="14.25" customHeight="1" spans="1:7">
      <c r="A31" s="159"/>
      <c r="B31" s="159"/>
      <c r="C31" s="180" t="s">
        <v>22</v>
      </c>
      <c r="D31" s="181">
        <v>8</v>
      </c>
      <c r="E31" s="159"/>
      <c r="F31" s="159"/>
      <c r="G31" s="159"/>
    </row>
    <row r="32" ht="14.25" customHeight="1" spans="1:7">
      <c r="A32" s="159"/>
      <c r="B32" s="159"/>
      <c r="C32" s="180" t="s">
        <v>23</v>
      </c>
      <c r="D32" s="181">
        <v>15</v>
      </c>
      <c r="E32" s="159"/>
      <c r="F32" s="159"/>
      <c r="G32" s="159"/>
    </row>
    <row r="33" ht="14.25" customHeight="1" spans="1:7">
      <c r="A33" s="159"/>
      <c r="B33" s="159"/>
      <c r="C33" s="180" t="s">
        <v>24</v>
      </c>
      <c r="D33" s="181">
        <v>15</v>
      </c>
      <c r="E33" s="159"/>
      <c r="F33" s="159"/>
      <c r="G33" s="159"/>
    </row>
    <row r="34" ht="14.25" customHeight="1" spans="1:7">
      <c r="A34" s="159"/>
      <c r="B34" s="159"/>
      <c r="C34" s="182" t="s">
        <v>25</v>
      </c>
      <c r="D34" s="183">
        <f>SUM(D27:D33)</f>
        <v>50</v>
      </c>
      <c r="E34" s="159"/>
      <c r="F34" s="159"/>
      <c r="G34" s="159"/>
    </row>
    <row r="35" ht="14.25" customHeight="1" spans="1:7">
      <c r="A35" s="159"/>
      <c r="B35" s="159"/>
      <c r="C35" s="184"/>
      <c r="D35" s="184"/>
      <c r="E35" s="159"/>
      <c r="F35" s="159"/>
      <c r="G35" s="159"/>
    </row>
    <row r="36" ht="14.25" customHeight="1" spans="1:7">
      <c r="A36" s="159"/>
      <c r="B36" s="159"/>
      <c r="C36" s="184"/>
      <c r="D36" s="184"/>
      <c r="E36" s="159"/>
      <c r="F36" s="159"/>
      <c r="G36" s="159"/>
    </row>
    <row r="37" ht="14.25" customHeight="1" spans="1:7">
      <c r="A37" s="159"/>
      <c r="B37" s="159"/>
      <c r="C37" s="184"/>
      <c r="D37" s="184"/>
      <c r="E37" s="159"/>
      <c r="F37" s="159"/>
      <c r="G37" s="159"/>
    </row>
    <row r="38" ht="14.25" customHeight="1" spans="1:7">
      <c r="A38" s="159"/>
      <c r="B38" s="159"/>
      <c r="C38" s="184"/>
      <c r="D38" s="184"/>
      <c r="E38" s="159"/>
      <c r="F38" s="159"/>
      <c r="G38" s="159"/>
    </row>
    <row r="39" ht="14.25" customHeight="1" spans="1:7">
      <c r="A39" s="159"/>
      <c r="B39" s="159"/>
      <c r="C39" s="185"/>
      <c r="D39" s="185"/>
      <c r="E39" s="159"/>
      <c r="F39" s="159"/>
      <c r="G39" s="159"/>
    </row>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sheetData>
  <mergeCells count="1">
    <mergeCell ref="C26:D26"/>
  </mergeCells>
  <pageMargins left="0.7" right="0.7" top="0.75" bottom="0.75" header="0" footer="0"/>
  <pageSetup paperSize="1"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4" tint="0.6"/>
  </sheetPr>
  <dimension ref="A1:F1012"/>
  <sheetViews>
    <sheetView workbookViewId="0">
      <selection activeCell="I8" sqref="I8"/>
    </sheetView>
  </sheetViews>
  <sheetFormatPr defaultColWidth="14.4285714285714" defaultRowHeight="15" customHeight="1" outlineLevelCol="5"/>
  <cols>
    <col min="1" max="1" width="12.5714285714286" style="1" customWidth="1"/>
    <col min="2" max="2" width="19.4285714285714" style="1" customWidth="1"/>
    <col min="3" max="3" width="39.1428571428571" style="1" customWidth="1"/>
    <col min="4" max="4" width="19" style="1" customWidth="1"/>
    <col min="5" max="5" width="12.2857142857143" style="1" customWidth="1"/>
    <col min="6" max="6" width="6.14285714285714" style="1" customWidth="1"/>
    <col min="7" max="26" width="8.71428571428571" style="1" customWidth="1"/>
    <col min="27" max="16384" width="14.4285714285714" style="1"/>
  </cols>
  <sheetData>
    <row r="1" s="150" customFormat="1" ht="14.25" customHeight="1" spans="1:6">
      <c r="A1" s="151" t="s">
        <v>26</v>
      </c>
      <c r="B1" s="152" t="s">
        <v>27</v>
      </c>
      <c r="C1" s="152" t="s">
        <v>28</v>
      </c>
      <c r="D1" s="152" t="s">
        <v>29</v>
      </c>
      <c r="E1" s="152" t="s">
        <v>30</v>
      </c>
      <c r="F1" s="152" t="s">
        <v>31</v>
      </c>
    </row>
    <row r="2" ht="14.25" customHeight="1" spans="1:6">
      <c r="A2" s="153">
        <v>45139</v>
      </c>
      <c r="B2" s="154">
        <v>45139</v>
      </c>
      <c r="C2" s="155" t="s">
        <v>32</v>
      </c>
      <c r="D2" s="155" t="s">
        <v>33</v>
      </c>
      <c r="E2" s="155" t="s">
        <v>34</v>
      </c>
      <c r="F2" s="155" t="s">
        <v>35</v>
      </c>
    </row>
    <row r="3" ht="14.25" customHeight="1" spans="1:6">
      <c r="A3" s="153">
        <v>45139</v>
      </c>
      <c r="B3" s="154">
        <v>45139</v>
      </c>
      <c r="C3" s="155" t="s">
        <v>36</v>
      </c>
      <c r="D3" s="156" t="s">
        <v>37</v>
      </c>
      <c r="E3" s="155" t="s">
        <v>38</v>
      </c>
      <c r="F3" s="155" t="s">
        <v>39</v>
      </c>
    </row>
    <row r="4" ht="14.25" customHeight="1" spans="1:6">
      <c r="A4" s="153">
        <v>45139</v>
      </c>
      <c r="B4" s="154">
        <v>45139</v>
      </c>
      <c r="C4" s="155" t="s">
        <v>40</v>
      </c>
      <c r="D4" s="156" t="s">
        <v>37</v>
      </c>
      <c r="E4" s="155" t="s">
        <v>38</v>
      </c>
      <c r="F4" s="155" t="s">
        <v>39</v>
      </c>
    </row>
    <row r="5" ht="14.25" customHeight="1" spans="1:6">
      <c r="A5" s="153">
        <v>45139</v>
      </c>
      <c r="B5" s="154">
        <v>45139</v>
      </c>
      <c r="C5" s="155" t="s">
        <v>41</v>
      </c>
      <c r="D5" s="155" t="s">
        <v>42</v>
      </c>
      <c r="E5" s="155" t="s">
        <v>43</v>
      </c>
      <c r="F5" s="155" t="s">
        <v>39</v>
      </c>
    </row>
    <row r="6" ht="14.25" customHeight="1" spans="1:6">
      <c r="A6" s="153">
        <v>45139</v>
      </c>
      <c r="B6" s="154">
        <v>45139</v>
      </c>
      <c r="C6" s="155" t="s">
        <v>44</v>
      </c>
      <c r="D6" s="155" t="s">
        <v>45</v>
      </c>
      <c r="E6" s="155" t="s">
        <v>43</v>
      </c>
      <c r="F6" s="155" t="s">
        <v>35</v>
      </c>
    </row>
    <row r="7" ht="14.25" customHeight="1" spans="1:6">
      <c r="A7" s="153">
        <v>45139</v>
      </c>
      <c r="B7" s="154">
        <v>45139</v>
      </c>
      <c r="C7" s="155" t="s">
        <v>46</v>
      </c>
      <c r="D7" s="155" t="s">
        <v>47</v>
      </c>
      <c r="E7" s="155" t="s">
        <v>43</v>
      </c>
      <c r="F7" s="155" t="s">
        <v>39</v>
      </c>
    </row>
    <row r="8" ht="14.25" customHeight="1" spans="1:6">
      <c r="A8" s="153">
        <v>45139</v>
      </c>
      <c r="B8" s="154">
        <v>45139</v>
      </c>
      <c r="C8" s="155" t="s">
        <v>48</v>
      </c>
      <c r="D8" s="155" t="s">
        <v>45</v>
      </c>
      <c r="E8" s="155" t="s">
        <v>43</v>
      </c>
      <c r="F8" s="155" t="s">
        <v>39</v>
      </c>
    </row>
    <row r="9" ht="14.25" customHeight="1" spans="1:6">
      <c r="A9" s="153">
        <v>45139</v>
      </c>
      <c r="B9" s="154">
        <v>45139</v>
      </c>
      <c r="C9" s="155" t="s">
        <v>49</v>
      </c>
      <c r="D9" s="155" t="s">
        <v>45</v>
      </c>
      <c r="E9" s="155" t="s">
        <v>50</v>
      </c>
      <c r="F9" s="155" t="s">
        <v>35</v>
      </c>
    </row>
    <row r="10" ht="14.25" customHeight="1" spans="1:6">
      <c r="A10" s="153">
        <v>45139</v>
      </c>
      <c r="B10" s="154">
        <v>45139</v>
      </c>
      <c r="C10" s="155" t="s">
        <v>51</v>
      </c>
      <c r="D10" s="155" t="s">
        <v>45</v>
      </c>
      <c r="E10" s="155" t="s">
        <v>43</v>
      </c>
      <c r="F10" s="155" t="s">
        <v>35</v>
      </c>
    </row>
    <row r="11" ht="14.25" customHeight="1" spans="1:6">
      <c r="A11" s="153">
        <v>45139</v>
      </c>
      <c r="B11" s="154">
        <v>45139</v>
      </c>
      <c r="C11" s="155" t="s">
        <v>52</v>
      </c>
      <c r="D11" s="156" t="s">
        <v>37</v>
      </c>
      <c r="E11" s="155" t="s">
        <v>38</v>
      </c>
      <c r="F11" s="155" t="s">
        <v>39</v>
      </c>
    </row>
    <row r="12" ht="14.25" customHeight="1" spans="1:6">
      <c r="A12" s="153">
        <v>45139</v>
      </c>
      <c r="B12" s="154">
        <v>45139</v>
      </c>
      <c r="C12" s="155" t="s">
        <v>53</v>
      </c>
      <c r="D12" s="156" t="s">
        <v>37</v>
      </c>
      <c r="E12" s="155" t="s">
        <v>38</v>
      </c>
      <c r="F12" s="155" t="s">
        <v>39</v>
      </c>
    </row>
    <row r="13" ht="14.25" customHeight="1" spans="1:6">
      <c r="A13" s="153">
        <v>45139</v>
      </c>
      <c r="B13" s="154">
        <v>45139</v>
      </c>
      <c r="C13" s="155" t="s">
        <v>54</v>
      </c>
      <c r="D13" s="156" t="s">
        <v>37</v>
      </c>
      <c r="E13" s="155" t="s">
        <v>38</v>
      </c>
      <c r="F13" s="155" t="s">
        <v>39</v>
      </c>
    </row>
    <row r="14" ht="14.25" customHeight="1" spans="1:6">
      <c r="A14" s="153">
        <v>45139</v>
      </c>
      <c r="B14" s="154">
        <v>45139</v>
      </c>
      <c r="C14" s="155" t="s">
        <v>55</v>
      </c>
      <c r="D14" s="156" t="s">
        <v>37</v>
      </c>
      <c r="E14" s="155" t="s">
        <v>38</v>
      </c>
      <c r="F14" s="155" t="s">
        <v>39</v>
      </c>
    </row>
    <row r="15" ht="14.25" customHeight="1" spans="1:6">
      <c r="A15" s="153">
        <v>45139</v>
      </c>
      <c r="B15" s="154">
        <v>45139</v>
      </c>
      <c r="C15" s="155" t="s">
        <v>56</v>
      </c>
      <c r="D15" s="155" t="s">
        <v>33</v>
      </c>
      <c r="E15" s="155" t="s">
        <v>38</v>
      </c>
      <c r="F15" s="155" t="s">
        <v>57</v>
      </c>
    </row>
    <row r="16" ht="14.25" customHeight="1" spans="1:6">
      <c r="A16" s="153">
        <v>45139</v>
      </c>
      <c r="B16" s="154">
        <v>45139</v>
      </c>
      <c r="C16" s="155" t="s">
        <v>58</v>
      </c>
      <c r="D16" s="156" t="s">
        <v>37</v>
      </c>
      <c r="E16" s="155" t="s">
        <v>38</v>
      </c>
      <c r="F16" s="155" t="s">
        <v>39</v>
      </c>
    </row>
    <row r="17" ht="14.25" customHeight="1" spans="1:6">
      <c r="A17" s="153">
        <v>45139</v>
      </c>
      <c r="B17" s="154">
        <v>45139</v>
      </c>
      <c r="C17" s="155" t="s">
        <v>59</v>
      </c>
      <c r="D17" s="155" t="s">
        <v>45</v>
      </c>
      <c r="E17" s="155" t="s">
        <v>38</v>
      </c>
      <c r="F17" s="155" t="s">
        <v>35</v>
      </c>
    </row>
    <row r="18" ht="14.25" customHeight="1" spans="1:6">
      <c r="A18" s="153">
        <v>45139</v>
      </c>
      <c r="B18" s="154">
        <v>45139</v>
      </c>
      <c r="C18" s="155" t="s">
        <v>60</v>
      </c>
      <c r="D18" s="155" t="s">
        <v>42</v>
      </c>
      <c r="E18" s="155" t="s">
        <v>34</v>
      </c>
      <c r="F18" s="155" t="s">
        <v>57</v>
      </c>
    </row>
    <row r="19" ht="14.25" customHeight="1" spans="1:6">
      <c r="A19" s="153">
        <v>45139</v>
      </c>
      <c r="B19" s="154">
        <v>45139</v>
      </c>
      <c r="C19" s="155" t="s">
        <v>61</v>
      </c>
      <c r="D19" s="155" t="s">
        <v>62</v>
      </c>
      <c r="E19" s="155" t="s">
        <v>43</v>
      </c>
      <c r="F19" s="155" t="s">
        <v>35</v>
      </c>
    </row>
    <row r="20" ht="14.25" customHeight="1" spans="1:6">
      <c r="A20" s="153">
        <v>45139</v>
      </c>
      <c r="B20" s="154">
        <v>45139</v>
      </c>
      <c r="C20" s="155" t="s">
        <v>63</v>
      </c>
      <c r="D20" s="155" t="s">
        <v>45</v>
      </c>
      <c r="E20" s="155" t="s">
        <v>34</v>
      </c>
      <c r="F20" s="155" t="s">
        <v>35</v>
      </c>
    </row>
    <row r="21" ht="14.25" customHeight="1" spans="1:6">
      <c r="A21" s="153">
        <v>45139</v>
      </c>
      <c r="B21" s="154">
        <v>45139</v>
      </c>
      <c r="C21" s="155" t="s">
        <v>64</v>
      </c>
      <c r="D21" s="155" t="s">
        <v>45</v>
      </c>
      <c r="E21" s="155" t="s">
        <v>43</v>
      </c>
      <c r="F21" s="155" t="s">
        <v>39</v>
      </c>
    </row>
    <row r="22" ht="14.25" customHeight="1" spans="1:6">
      <c r="A22" s="153">
        <v>45139</v>
      </c>
      <c r="B22" s="154">
        <v>45139</v>
      </c>
      <c r="C22" s="155" t="s">
        <v>65</v>
      </c>
      <c r="D22" s="155" t="s">
        <v>42</v>
      </c>
      <c r="E22" s="155" t="s">
        <v>43</v>
      </c>
      <c r="F22" s="155" t="s">
        <v>39</v>
      </c>
    </row>
    <row r="23" ht="14.25" customHeight="1" spans="1:6">
      <c r="A23" s="153">
        <v>45139</v>
      </c>
      <c r="B23" s="154">
        <v>45139</v>
      </c>
      <c r="C23" s="155" t="s">
        <v>66</v>
      </c>
      <c r="D23" s="155" t="s">
        <v>45</v>
      </c>
      <c r="E23" s="155" t="s">
        <v>43</v>
      </c>
      <c r="F23" s="155" t="s">
        <v>39</v>
      </c>
    </row>
    <row r="24" ht="14.25" customHeight="1" spans="1:6">
      <c r="A24" s="153">
        <v>45139</v>
      </c>
      <c r="B24" s="154">
        <v>45139</v>
      </c>
      <c r="C24" s="155" t="s">
        <v>67</v>
      </c>
      <c r="D24" s="155" t="s">
        <v>45</v>
      </c>
      <c r="E24" s="155" t="s">
        <v>38</v>
      </c>
      <c r="F24" s="155" t="s">
        <v>39</v>
      </c>
    </row>
    <row r="25" ht="14.25" customHeight="1" spans="1:6">
      <c r="A25" s="153">
        <v>45139</v>
      </c>
      <c r="B25" s="154">
        <v>45139</v>
      </c>
      <c r="C25" s="155" t="s">
        <v>68</v>
      </c>
      <c r="D25" s="156" t="s">
        <v>47</v>
      </c>
      <c r="E25" s="155" t="s">
        <v>34</v>
      </c>
      <c r="F25" s="155" t="s">
        <v>35</v>
      </c>
    </row>
    <row r="26" ht="14.25" customHeight="1" spans="1:6">
      <c r="A26" s="153">
        <v>45139</v>
      </c>
      <c r="B26" s="154">
        <v>45139</v>
      </c>
      <c r="C26" s="155" t="s">
        <v>69</v>
      </c>
      <c r="D26" s="156" t="s">
        <v>47</v>
      </c>
      <c r="E26" s="155" t="s">
        <v>38</v>
      </c>
      <c r="F26" s="155" t="s">
        <v>35</v>
      </c>
    </row>
    <row r="27" ht="14.25" customHeight="1" spans="1:6">
      <c r="A27" s="153">
        <v>45139</v>
      </c>
      <c r="B27" s="154">
        <v>45139</v>
      </c>
      <c r="C27" s="155" t="s">
        <v>70</v>
      </c>
      <c r="D27" s="156" t="s">
        <v>37</v>
      </c>
      <c r="E27" s="155" t="s">
        <v>38</v>
      </c>
      <c r="F27" s="155" t="s">
        <v>39</v>
      </c>
    </row>
    <row r="28" ht="14.25" customHeight="1" spans="1:6">
      <c r="A28" s="153">
        <v>45139</v>
      </c>
      <c r="B28" s="154">
        <v>45139</v>
      </c>
      <c r="C28" s="155" t="s">
        <v>71</v>
      </c>
      <c r="D28" s="155" t="s">
        <v>45</v>
      </c>
      <c r="E28" s="155" t="s">
        <v>43</v>
      </c>
      <c r="F28" s="155" t="s">
        <v>39</v>
      </c>
    </row>
    <row r="29" ht="14.25" customHeight="1" spans="1:6">
      <c r="A29" s="153">
        <v>45139</v>
      </c>
      <c r="B29" s="154">
        <v>45139</v>
      </c>
      <c r="C29" s="155" t="s">
        <v>72</v>
      </c>
      <c r="D29" s="155" t="s">
        <v>45</v>
      </c>
      <c r="E29" s="155" t="s">
        <v>43</v>
      </c>
      <c r="F29" s="155" t="s">
        <v>57</v>
      </c>
    </row>
    <row r="30" ht="14.25" customHeight="1" spans="1:6">
      <c r="A30" s="153">
        <v>45139</v>
      </c>
      <c r="B30" s="154">
        <v>45139</v>
      </c>
      <c r="C30" s="155" t="s">
        <v>73</v>
      </c>
      <c r="D30" s="155" t="s">
        <v>33</v>
      </c>
      <c r="E30" s="155" t="s">
        <v>34</v>
      </c>
      <c r="F30" s="155" t="s">
        <v>35</v>
      </c>
    </row>
    <row r="31" ht="14.25" customHeight="1" spans="1:6">
      <c r="A31" s="153">
        <v>45139</v>
      </c>
      <c r="B31" s="154">
        <v>45139</v>
      </c>
      <c r="C31" s="155" t="s">
        <v>74</v>
      </c>
      <c r="D31" s="156" t="s">
        <v>47</v>
      </c>
      <c r="E31" s="155" t="s">
        <v>34</v>
      </c>
      <c r="F31" s="155" t="s">
        <v>35</v>
      </c>
    </row>
    <row r="32" ht="14.25" customHeight="1" spans="1:6">
      <c r="A32" s="153">
        <v>45139</v>
      </c>
      <c r="B32" s="154">
        <v>45139</v>
      </c>
      <c r="C32" s="155" t="s">
        <v>75</v>
      </c>
      <c r="D32" s="155" t="s">
        <v>33</v>
      </c>
      <c r="E32" s="155" t="s">
        <v>38</v>
      </c>
      <c r="F32" s="155" t="s">
        <v>57</v>
      </c>
    </row>
    <row r="33" ht="14.25" customHeight="1" spans="1:6">
      <c r="A33" s="153">
        <v>45139</v>
      </c>
      <c r="B33" s="154">
        <v>45139</v>
      </c>
      <c r="C33" s="155" t="s">
        <v>76</v>
      </c>
      <c r="D33" s="156" t="s">
        <v>47</v>
      </c>
      <c r="E33" s="155" t="s">
        <v>34</v>
      </c>
      <c r="F33" s="155" t="s">
        <v>35</v>
      </c>
    </row>
    <row r="34" ht="14.25" customHeight="1" spans="1:6">
      <c r="A34" s="153">
        <v>45139</v>
      </c>
      <c r="B34" s="154">
        <v>45139</v>
      </c>
      <c r="C34" s="155" t="s">
        <v>77</v>
      </c>
      <c r="D34" s="156" t="s">
        <v>37</v>
      </c>
      <c r="E34" s="155" t="s">
        <v>38</v>
      </c>
      <c r="F34" s="155" t="s">
        <v>39</v>
      </c>
    </row>
    <row r="35" ht="14.25" customHeight="1" spans="1:6">
      <c r="A35" s="153">
        <v>45139</v>
      </c>
      <c r="B35" s="154">
        <v>45139</v>
      </c>
      <c r="C35" s="155" t="s">
        <v>78</v>
      </c>
      <c r="D35" s="155" t="s">
        <v>45</v>
      </c>
      <c r="E35" s="155" t="s">
        <v>34</v>
      </c>
      <c r="F35" s="155" t="s">
        <v>57</v>
      </c>
    </row>
    <row r="36" ht="14.25" customHeight="1" spans="1:6">
      <c r="A36" s="153">
        <v>45139</v>
      </c>
      <c r="B36" s="154">
        <v>45139</v>
      </c>
      <c r="C36" s="155" t="s">
        <v>79</v>
      </c>
      <c r="D36" s="156" t="s">
        <v>37</v>
      </c>
      <c r="E36" s="155" t="s">
        <v>38</v>
      </c>
      <c r="F36" s="155" t="s">
        <v>39</v>
      </c>
    </row>
    <row r="37" ht="14.25" customHeight="1" spans="1:6">
      <c r="A37" s="153">
        <v>45139</v>
      </c>
      <c r="B37" s="154">
        <v>45139</v>
      </c>
      <c r="C37" s="155" t="s">
        <v>80</v>
      </c>
      <c r="D37" s="155" t="s">
        <v>33</v>
      </c>
      <c r="E37" s="155" t="s">
        <v>43</v>
      </c>
      <c r="F37" s="155" t="s">
        <v>39</v>
      </c>
    </row>
    <row r="38" ht="14.25" customHeight="1" spans="1:6">
      <c r="A38" s="153">
        <v>45139</v>
      </c>
      <c r="B38" s="154">
        <v>45139</v>
      </c>
      <c r="C38" s="155" t="s">
        <v>81</v>
      </c>
      <c r="D38" s="155" t="s">
        <v>45</v>
      </c>
      <c r="E38" s="155" t="s">
        <v>43</v>
      </c>
      <c r="F38" s="155" t="s">
        <v>39</v>
      </c>
    </row>
    <row r="39" ht="14.25" customHeight="1" spans="1:6">
      <c r="A39" s="153">
        <v>45139</v>
      </c>
      <c r="B39" s="154">
        <v>45139</v>
      </c>
      <c r="C39" s="155" t="s">
        <v>82</v>
      </c>
      <c r="D39" s="155" t="s">
        <v>45</v>
      </c>
      <c r="E39" s="155" t="s">
        <v>43</v>
      </c>
      <c r="F39" s="155" t="s">
        <v>57</v>
      </c>
    </row>
    <row r="40" ht="14.25" customHeight="1" spans="1:6">
      <c r="A40" s="153">
        <v>45139</v>
      </c>
      <c r="B40" s="154">
        <v>45139</v>
      </c>
      <c r="C40" s="155" t="s">
        <v>83</v>
      </c>
      <c r="D40" s="155" t="s">
        <v>45</v>
      </c>
      <c r="E40" s="155" t="s">
        <v>43</v>
      </c>
      <c r="F40" s="155" t="s">
        <v>35</v>
      </c>
    </row>
    <row r="41" ht="14.25" customHeight="1" spans="1:6">
      <c r="A41" s="153">
        <v>45139</v>
      </c>
      <c r="B41" s="154">
        <v>45139</v>
      </c>
      <c r="C41" s="155" t="s">
        <v>84</v>
      </c>
      <c r="D41" s="155" t="s">
        <v>33</v>
      </c>
      <c r="E41" s="155" t="s">
        <v>34</v>
      </c>
      <c r="F41" s="155" t="s">
        <v>39</v>
      </c>
    </row>
    <row r="42" ht="14.25" customHeight="1" spans="1:6">
      <c r="A42" s="153">
        <v>45139</v>
      </c>
      <c r="B42" s="154">
        <v>45139</v>
      </c>
      <c r="C42" s="155" t="s">
        <v>85</v>
      </c>
      <c r="D42" s="155" t="s">
        <v>45</v>
      </c>
      <c r="E42" s="155" t="s">
        <v>43</v>
      </c>
      <c r="F42" s="155" t="s">
        <v>39</v>
      </c>
    </row>
    <row r="43" ht="14.25" customHeight="1" spans="1:6">
      <c r="A43" s="153">
        <v>45139</v>
      </c>
      <c r="B43" s="154">
        <v>45139</v>
      </c>
      <c r="C43" s="155" t="s">
        <v>86</v>
      </c>
      <c r="D43" s="155" t="s">
        <v>45</v>
      </c>
      <c r="E43" s="155" t="s">
        <v>38</v>
      </c>
      <c r="F43" s="155" t="s">
        <v>57</v>
      </c>
    </row>
    <row r="44" ht="14.25" customHeight="1" spans="1:6">
      <c r="A44" s="153">
        <v>45139</v>
      </c>
      <c r="B44" s="154">
        <v>45139</v>
      </c>
      <c r="C44" s="155" t="s">
        <v>87</v>
      </c>
      <c r="D44" s="156" t="s">
        <v>47</v>
      </c>
      <c r="E44" s="155" t="s">
        <v>38</v>
      </c>
      <c r="F44" s="155" t="s">
        <v>39</v>
      </c>
    </row>
    <row r="45" ht="14.25" customHeight="1" spans="1:6">
      <c r="A45" s="153">
        <v>45139</v>
      </c>
      <c r="B45" s="154">
        <v>45139</v>
      </c>
      <c r="C45" s="155" t="s">
        <v>88</v>
      </c>
      <c r="D45" s="156" t="s">
        <v>37</v>
      </c>
      <c r="E45" s="155" t="s">
        <v>38</v>
      </c>
      <c r="F45" s="155" t="s">
        <v>39</v>
      </c>
    </row>
    <row r="46" ht="14.25" customHeight="1" spans="1:6">
      <c r="A46" s="153">
        <v>45139</v>
      </c>
      <c r="B46" s="154">
        <v>45139</v>
      </c>
      <c r="C46" s="155" t="s">
        <v>89</v>
      </c>
      <c r="D46" s="155" t="s">
        <v>45</v>
      </c>
      <c r="E46" s="155" t="s">
        <v>43</v>
      </c>
      <c r="F46" s="155" t="s">
        <v>39</v>
      </c>
    </row>
    <row r="47" ht="14.25" customHeight="1" spans="1:6">
      <c r="A47" s="153">
        <v>45139</v>
      </c>
      <c r="B47" s="154">
        <v>45139</v>
      </c>
      <c r="C47" s="155" t="s">
        <v>90</v>
      </c>
      <c r="D47" s="155" t="s">
        <v>62</v>
      </c>
      <c r="E47" s="155" t="s">
        <v>43</v>
      </c>
      <c r="F47" s="155" t="s">
        <v>39</v>
      </c>
    </row>
    <row r="48" ht="14.25" customHeight="1" spans="1:6">
      <c r="A48" s="153">
        <v>45139</v>
      </c>
      <c r="B48" s="154">
        <v>45139</v>
      </c>
      <c r="C48" s="155" t="s">
        <v>91</v>
      </c>
      <c r="D48" s="155" t="s">
        <v>45</v>
      </c>
      <c r="E48" s="155" t="s">
        <v>43</v>
      </c>
      <c r="F48" s="155" t="s">
        <v>39</v>
      </c>
    </row>
    <row r="49" ht="14.25" customHeight="1" spans="1:6">
      <c r="A49" s="153">
        <v>45139</v>
      </c>
      <c r="B49" s="154">
        <v>45139</v>
      </c>
      <c r="C49" s="155" t="s">
        <v>92</v>
      </c>
      <c r="D49" s="155" t="s">
        <v>33</v>
      </c>
      <c r="E49" s="155" t="s">
        <v>43</v>
      </c>
      <c r="F49" s="155" t="s">
        <v>35</v>
      </c>
    </row>
    <row r="50" ht="14.25" customHeight="1" spans="1:6">
      <c r="A50" s="153">
        <v>45139</v>
      </c>
      <c r="B50" s="154">
        <v>45139</v>
      </c>
      <c r="C50" s="155" t="s">
        <v>93</v>
      </c>
      <c r="D50" s="156" t="s">
        <v>37</v>
      </c>
      <c r="E50" s="155" t="s">
        <v>38</v>
      </c>
      <c r="F50" s="155" t="s">
        <v>39</v>
      </c>
    </row>
    <row r="51" ht="14.25" customHeight="1" spans="1:6">
      <c r="A51" s="153">
        <v>45139</v>
      </c>
      <c r="B51" s="154">
        <v>45139</v>
      </c>
      <c r="C51" s="155" t="s">
        <v>94</v>
      </c>
      <c r="D51" s="155" t="s">
        <v>45</v>
      </c>
      <c r="E51" s="155" t="s">
        <v>34</v>
      </c>
      <c r="F51" s="155" t="s">
        <v>35</v>
      </c>
    </row>
    <row r="52" ht="14.25" customHeight="1" spans="1:6">
      <c r="A52" s="153">
        <v>45139</v>
      </c>
      <c r="B52" s="154">
        <v>45139</v>
      </c>
      <c r="C52" s="155" t="s">
        <v>95</v>
      </c>
      <c r="D52" s="155" t="s">
        <v>45</v>
      </c>
      <c r="E52" s="155" t="s">
        <v>43</v>
      </c>
      <c r="F52" s="155" t="s">
        <v>39</v>
      </c>
    </row>
    <row r="53" ht="14.25" customHeight="1" spans="1:6">
      <c r="A53" s="153">
        <v>45139</v>
      </c>
      <c r="B53" s="154">
        <v>45139</v>
      </c>
      <c r="C53" s="155" t="s">
        <v>96</v>
      </c>
      <c r="D53" s="155" t="s">
        <v>45</v>
      </c>
      <c r="E53" s="155" t="s">
        <v>43</v>
      </c>
      <c r="F53" s="155" t="s">
        <v>39</v>
      </c>
    </row>
    <row r="54" ht="14.25" customHeight="1" spans="1:6">
      <c r="A54" s="153">
        <v>45139</v>
      </c>
      <c r="B54" s="154">
        <v>45139</v>
      </c>
      <c r="C54" s="155" t="s">
        <v>97</v>
      </c>
      <c r="D54" s="155" t="s">
        <v>45</v>
      </c>
      <c r="E54" s="155" t="s">
        <v>43</v>
      </c>
      <c r="F54" s="155" t="s">
        <v>39</v>
      </c>
    </row>
    <row r="55" ht="14.25" customHeight="1" spans="1:6">
      <c r="A55" s="153">
        <v>45139</v>
      </c>
      <c r="B55" s="154">
        <v>45139</v>
      </c>
      <c r="C55" s="155" t="s">
        <v>98</v>
      </c>
      <c r="D55" s="156" t="s">
        <v>47</v>
      </c>
      <c r="E55" s="155" t="s">
        <v>43</v>
      </c>
      <c r="F55" s="155" t="s">
        <v>39</v>
      </c>
    </row>
    <row r="56" ht="14.25" customHeight="1" spans="1:6">
      <c r="A56" s="153">
        <v>45139</v>
      </c>
      <c r="B56" s="154">
        <v>45139</v>
      </c>
      <c r="C56" s="155" t="s">
        <v>99</v>
      </c>
      <c r="D56" s="156" t="s">
        <v>37</v>
      </c>
      <c r="E56" s="155" t="s">
        <v>38</v>
      </c>
      <c r="F56" s="155" t="s">
        <v>39</v>
      </c>
    </row>
    <row r="57" ht="14.25" customHeight="1" spans="1:6">
      <c r="A57" s="153">
        <v>45139</v>
      </c>
      <c r="B57" s="154">
        <v>45139</v>
      </c>
      <c r="C57" s="155" t="s">
        <v>100</v>
      </c>
      <c r="D57" s="155" t="s">
        <v>47</v>
      </c>
      <c r="E57" s="155" t="s">
        <v>43</v>
      </c>
      <c r="F57" s="155" t="s">
        <v>39</v>
      </c>
    </row>
    <row r="58" ht="14.25" customHeight="1" spans="1:6">
      <c r="A58" s="153">
        <v>45139</v>
      </c>
      <c r="B58" s="154">
        <v>45139</v>
      </c>
      <c r="C58" s="155" t="s">
        <v>101</v>
      </c>
      <c r="D58" s="155" t="s">
        <v>45</v>
      </c>
      <c r="E58" s="155" t="s">
        <v>43</v>
      </c>
      <c r="F58" s="155" t="s">
        <v>57</v>
      </c>
    </row>
    <row r="59" ht="14.25" customHeight="1" spans="1:6">
      <c r="A59" s="153">
        <v>45139</v>
      </c>
      <c r="B59" s="154">
        <v>45139</v>
      </c>
      <c r="C59" s="155" t="s">
        <v>102</v>
      </c>
      <c r="D59" s="155" t="s">
        <v>45</v>
      </c>
      <c r="E59" s="155" t="s">
        <v>43</v>
      </c>
      <c r="F59" s="155" t="s">
        <v>39</v>
      </c>
    </row>
    <row r="60" ht="14.25" customHeight="1" spans="1:6">
      <c r="A60" s="153">
        <v>45139</v>
      </c>
      <c r="B60" s="154">
        <v>45139</v>
      </c>
      <c r="C60" s="155" t="s">
        <v>103</v>
      </c>
      <c r="D60" s="155" t="s">
        <v>45</v>
      </c>
      <c r="E60" s="155" t="s">
        <v>43</v>
      </c>
      <c r="F60" s="155" t="s">
        <v>39</v>
      </c>
    </row>
    <row r="61" ht="14.25" customHeight="1" spans="1:6">
      <c r="A61" s="153">
        <v>45139</v>
      </c>
      <c r="B61" s="154">
        <v>45139</v>
      </c>
      <c r="C61" s="155" t="s">
        <v>104</v>
      </c>
      <c r="D61" s="155" t="s">
        <v>33</v>
      </c>
      <c r="E61" s="155" t="s">
        <v>38</v>
      </c>
      <c r="F61" s="155" t="s">
        <v>35</v>
      </c>
    </row>
    <row r="62" ht="14.25" customHeight="1" spans="1:6">
      <c r="A62" s="153">
        <v>45139</v>
      </c>
      <c r="B62" s="154">
        <v>45139</v>
      </c>
      <c r="C62" s="155" t="s">
        <v>105</v>
      </c>
      <c r="D62" s="156" t="s">
        <v>47</v>
      </c>
      <c r="E62" s="155" t="s">
        <v>43</v>
      </c>
      <c r="F62" s="155" t="s">
        <v>39</v>
      </c>
    </row>
    <row r="63" ht="14.25" customHeight="1" spans="1:6">
      <c r="A63" s="153">
        <v>45139</v>
      </c>
      <c r="B63" s="154">
        <v>45139</v>
      </c>
      <c r="C63" s="155" t="s">
        <v>106</v>
      </c>
      <c r="D63" s="155" t="s">
        <v>45</v>
      </c>
      <c r="E63" s="155" t="s">
        <v>50</v>
      </c>
      <c r="F63" s="155" t="s">
        <v>57</v>
      </c>
    </row>
    <row r="64" ht="14.25" customHeight="1" spans="1:6">
      <c r="A64" s="153">
        <v>45139</v>
      </c>
      <c r="B64" s="154">
        <v>45139</v>
      </c>
      <c r="C64" s="155" t="s">
        <v>107</v>
      </c>
      <c r="D64" s="155" t="s">
        <v>45</v>
      </c>
      <c r="E64" s="155" t="s">
        <v>43</v>
      </c>
      <c r="F64" s="155" t="s">
        <v>39</v>
      </c>
    </row>
    <row r="65" ht="14.25" customHeight="1" spans="1:6">
      <c r="A65" s="153">
        <v>45139</v>
      </c>
      <c r="B65" s="154">
        <v>45139</v>
      </c>
      <c r="C65" s="155" t="s">
        <v>108</v>
      </c>
      <c r="D65" s="155" t="s">
        <v>45</v>
      </c>
      <c r="E65" s="155" t="s">
        <v>43</v>
      </c>
      <c r="F65" s="155" t="s">
        <v>39</v>
      </c>
    </row>
    <row r="66" ht="14.25" customHeight="1" spans="1:6">
      <c r="A66" s="153">
        <v>45139</v>
      </c>
      <c r="B66" s="154">
        <v>45139</v>
      </c>
      <c r="C66" s="155" t="s">
        <v>109</v>
      </c>
      <c r="D66" s="155" t="s">
        <v>45</v>
      </c>
      <c r="E66" s="155" t="s">
        <v>38</v>
      </c>
      <c r="F66" s="155" t="s">
        <v>39</v>
      </c>
    </row>
    <row r="67" ht="14.25" customHeight="1" spans="1:6">
      <c r="A67" s="153">
        <v>45139</v>
      </c>
      <c r="B67" s="154">
        <v>45139</v>
      </c>
      <c r="C67" s="155" t="s">
        <v>110</v>
      </c>
      <c r="D67" s="155" t="s">
        <v>33</v>
      </c>
      <c r="E67" s="155" t="s">
        <v>34</v>
      </c>
      <c r="F67" s="155" t="s">
        <v>57</v>
      </c>
    </row>
    <row r="68" ht="14.25" customHeight="1" spans="1:6">
      <c r="A68" s="153">
        <v>45139</v>
      </c>
      <c r="B68" s="154">
        <v>45139</v>
      </c>
      <c r="C68" s="155" t="s">
        <v>111</v>
      </c>
      <c r="D68" s="155" t="s">
        <v>45</v>
      </c>
      <c r="E68" s="155" t="s">
        <v>43</v>
      </c>
      <c r="F68" s="155" t="s">
        <v>35</v>
      </c>
    </row>
    <row r="69" ht="14.25" customHeight="1" spans="1:6">
      <c r="A69" s="153">
        <v>45139</v>
      </c>
      <c r="B69" s="154">
        <v>45139</v>
      </c>
      <c r="C69" s="155" t="s">
        <v>112</v>
      </c>
      <c r="D69" s="155" t="s">
        <v>45</v>
      </c>
      <c r="E69" s="155" t="s">
        <v>43</v>
      </c>
      <c r="F69" s="155" t="s">
        <v>39</v>
      </c>
    </row>
    <row r="70" ht="14.25" customHeight="1" spans="1:6">
      <c r="A70" s="153">
        <v>45139</v>
      </c>
      <c r="B70" s="154">
        <v>45139</v>
      </c>
      <c r="C70" s="155" t="s">
        <v>113</v>
      </c>
      <c r="D70" s="156" t="s">
        <v>47</v>
      </c>
      <c r="E70" s="155" t="s">
        <v>38</v>
      </c>
      <c r="F70" s="155" t="s">
        <v>35</v>
      </c>
    </row>
    <row r="71" ht="14.25" customHeight="1" spans="1:6">
      <c r="A71" s="153">
        <v>45139</v>
      </c>
      <c r="B71" s="154">
        <v>45139</v>
      </c>
      <c r="C71" s="155" t="s">
        <v>114</v>
      </c>
      <c r="D71" s="155" t="s">
        <v>45</v>
      </c>
      <c r="E71" s="155" t="s">
        <v>38</v>
      </c>
      <c r="F71" s="155" t="s">
        <v>39</v>
      </c>
    </row>
    <row r="72" ht="14.25" customHeight="1" spans="1:6">
      <c r="A72" s="153">
        <v>45139</v>
      </c>
      <c r="B72" s="154">
        <v>45139</v>
      </c>
      <c r="C72" s="155" t="s">
        <v>115</v>
      </c>
      <c r="D72" s="155" t="s">
        <v>45</v>
      </c>
      <c r="E72" s="155" t="s">
        <v>43</v>
      </c>
      <c r="F72" s="155" t="s">
        <v>39</v>
      </c>
    </row>
    <row r="73" ht="14.25" customHeight="1" spans="1:6">
      <c r="A73" s="153">
        <v>45139</v>
      </c>
      <c r="B73" s="154">
        <v>45139</v>
      </c>
      <c r="C73" s="155" t="s">
        <v>116</v>
      </c>
      <c r="D73" s="155" t="s">
        <v>47</v>
      </c>
      <c r="E73" s="155" t="s">
        <v>43</v>
      </c>
      <c r="F73" s="155" t="s">
        <v>57</v>
      </c>
    </row>
    <row r="74" ht="14.25" customHeight="1" spans="1:6">
      <c r="A74" s="153">
        <v>45139</v>
      </c>
      <c r="B74" s="154">
        <v>45139</v>
      </c>
      <c r="C74" s="155" t="s">
        <v>117</v>
      </c>
      <c r="D74" s="156" t="s">
        <v>47</v>
      </c>
      <c r="E74" s="155" t="s">
        <v>34</v>
      </c>
      <c r="F74" s="155" t="s">
        <v>35</v>
      </c>
    </row>
    <row r="75" ht="14.25" customHeight="1" spans="1:6">
      <c r="A75" s="153">
        <v>45139</v>
      </c>
      <c r="B75" s="154">
        <v>45139</v>
      </c>
      <c r="C75" s="155" t="s">
        <v>118</v>
      </c>
      <c r="D75" s="155" t="s">
        <v>45</v>
      </c>
      <c r="E75" s="155" t="s">
        <v>43</v>
      </c>
      <c r="F75" s="155" t="s">
        <v>35</v>
      </c>
    </row>
    <row r="76" ht="14.25" customHeight="1" spans="1:6">
      <c r="A76" s="153">
        <v>45139</v>
      </c>
      <c r="B76" s="154">
        <v>45139</v>
      </c>
      <c r="C76" s="155" t="s">
        <v>119</v>
      </c>
      <c r="D76" s="156" t="s">
        <v>37</v>
      </c>
      <c r="E76" s="155" t="s">
        <v>38</v>
      </c>
      <c r="F76" s="155" t="s">
        <v>35</v>
      </c>
    </row>
    <row r="77" ht="14.25" customHeight="1" spans="1:6">
      <c r="A77" s="153">
        <v>45139</v>
      </c>
      <c r="B77" s="154">
        <v>45139</v>
      </c>
      <c r="C77" s="155" t="s">
        <v>120</v>
      </c>
      <c r="D77" s="156" t="s">
        <v>37</v>
      </c>
      <c r="E77" s="155" t="s">
        <v>50</v>
      </c>
      <c r="F77" s="155" t="s">
        <v>35</v>
      </c>
    </row>
    <row r="78" ht="14.25" customHeight="1" spans="1:6">
      <c r="A78" s="153">
        <v>45139</v>
      </c>
      <c r="B78" s="154">
        <v>45139</v>
      </c>
      <c r="C78" s="155" t="s">
        <v>121</v>
      </c>
      <c r="D78" s="156" t="s">
        <v>37</v>
      </c>
      <c r="E78" s="155" t="s">
        <v>38</v>
      </c>
      <c r="F78" s="155" t="s">
        <v>35</v>
      </c>
    </row>
    <row r="79" ht="14.25" customHeight="1" spans="1:6">
      <c r="A79" s="153">
        <v>45139</v>
      </c>
      <c r="B79" s="154">
        <v>45139</v>
      </c>
      <c r="C79" s="155" t="s">
        <v>122</v>
      </c>
      <c r="D79" s="156" t="s">
        <v>37</v>
      </c>
      <c r="E79" s="155" t="s">
        <v>38</v>
      </c>
      <c r="F79" s="155" t="s">
        <v>39</v>
      </c>
    </row>
    <row r="80" ht="14.25" customHeight="1" spans="1:6">
      <c r="A80" s="153">
        <v>45139</v>
      </c>
      <c r="B80" s="154">
        <v>45139</v>
      </c>
      <c r="C80" s="155" t="s">
        <v>123</v>
      </c>
      <c r="D80" s="155" t="s">
        <v>45</v>
      </c>
      <c r="E80" s="155" t="s">
        <v>50</v>
      </c>
      <c r="F80" s="155" t="s">
        <v>57</v>
      </c>
    </row>
    <row r="81" ht="14.25" customHeight="1" spans="1:6">
      <c r="A81" s="153">
        <v>45139</v>
      </c>
      <c r="B81" s="154">
        <v>45139</v>
      </c>
      <c r="C81" s="155" t="s">
        <v>124</v>
      </c>
      <c r="D81" s="156" t="s">
        <v>37</v>
      </c>
      <c r="E81" s="155" t="s">
        <v>38</v>
      </c>
      <c r="F81" s="155" t="s">
        <v>39</v>
      </c>
    </row>
    <row r="82" ht="14.25" customHeight="1" spans="1:6">
      <c r="A82" s="153">
        <v>45139</v>
      </c>
      <c r="B82" s="154">
        <v>45139</v>
      </c>
      <c r="C82" s="155" t="s">
        <v>125</v>
      </c>
      <c r="D82" s="155" t="s">
        <v>45</v>
      </c>
      <c r="E82" s="155" t="s">
        <v>38</v>
      </c>
      <c r="F82" s="155" t="s">
        <v>39</v>
      </c>
    </row>
    <row r="83" ht="14.25" customHeight="1" spans="1:6">
      <c r="A83" s="153">
        <v>45139</v>
      </c>
      <c r="B83" s="154">
        <v>45139</v>
      </c>
      <c r="C83" s="155" t="s">
        <v>126</v>
      </c>
      <c r="D83" s="156" t="s">
        <v>37</v>
      </c>
      <c r="E83" s="155" t="s">
        <v>38</v>
      </c>
      <c r="F83" s="155" t="s">
        <v>39</v>
      </c>
    </row>
    <row r="84" ht="14.25" customHeight="1" spans="1:6">
      <c r="A84" s="153">
        <v>45139</v>
      </c>
      <c r="B84" s="154">
        <v>45139</v>
      </c>
      <c r="C84" s="155" t="s">
        <v>127</v>
      </c>
      <c r="D84" s="156" t="s">
        <v>47</v>
      </c>
      <c r="E84" s="155" t="s">
        <v>34</v>
      </c>
      <c r="F84" s="155" t="s">
        <v>39</v>
      </c>
    </row>
    <row r="85" ht="14.25" customHeight="1" spans="1:6">
      <c r="A85" s="153">
        <v>45139</v>
      </c>
      <c r="B85" s="154">
        <v>45139</v>
      </c>
      <c r="C85" s="155" t="s">
        <v>128</v>
      </c>
      <c r="D85" s="156" t="s">
        <v>129</v>
      </c>
      <c r="E85" s="155" t="s">
        <v>43</v>
      </c>
      <c r="F85" s="155" t="s">
        <v>39</v>
      </c>
    </row>
    <row r="86" ht="14.25" customHeight="1" spans="1:6">
      <c r="A86" s="153">
        <v>45139</v>
      </c>
      <c r="B86" s="154">
        <v>45139</v>
      </c>
      <c r="C86" s="155" t="s">
        <v>130</v>
      </c>
      <c r="D86" s="156" t="s">
        <v>37</v>
      </c>
      <c r="E86" s="155" t="s">
        <v>38</v>
      </c>
      <c r="F86" s="155" t="s">
        <v>39</v>
      </c>
    </row>
    <row r="87" ht="14.25" customHeight="1" spans="1:6">
      <c r="A87" s="153">
        <v>45139</v>
      </c>
      <c r="B87" s="154">
        <v>45139</v>
      </c>
      <c r="C87" s="155" t="s">
        <v>131</v>
      </c>
      <c r="D87" s="155" t="s">
        <v>45</v>
      </c>
      <c r="E87" s="155" t="s">
        <v>43</v>
      </c>
      <c r="F87" s="155" t="s">
        <v>57</v>
      </c>
    </row>
    <row r="88" ht="14.25" customHeight="1" spans="1:6">
      <c r="A88" s="153">
        <v>45139</v>
      </c>
      <c r="B88" s="154">
        <v>45139</v>
      </c>
      <c r="C88" s="155" t="s">
        <v>132</v>
      </c>
      <c r="D88" s="156" t="s">
        <v>129</v>
      </c>
      <c r="E88" s="155" t="s">
        <v>43</v>
      </c>
      <c r="F88" s="155" t="s">
        <v>39</v>
      </c>
    </row>
    <row r="89" ht="14.25" customHeight="1" spans="1:6">
      <c r="A89" s="153">
        <v>45139</v>
      </c>
      <c r="B89" s="154">
        <v>45139</v>
      </c>
      <c r="C89" s="155" t="s">
        <v>133</v>
      </c>
      <c r="D89" s="155" t="s">
        <v>47</v>
      </c>
      <c r="E89" s="155" t="s">
        <v>43</v>
      </c>
      <c r="F89" s="155" t="s">
        <v>57</v>
      </c>
    </row>
    <row r="90" ht="14.25" customHeight="1" spans="1:6">
      <c r="A90" s="153">
        <v>45139</v>
      </c>
      <c r="B90" s="154">
        <v>45139</v>
      </c>
      <c r="C90" s="155" t="s">
        <v>134</v>
      </c>
      <c r="D90" s="155" t="s">
        <v>33</v>
      </c>
      <c r="E90" s="155" t="s">
        <v>38</v>
      </c>
      <c r="F90" s="155" t="s">
        <v>39</v>
      </c>
    </row>
    <row r="91" ht="14.25" customHeight="1" spans="1:6">
      <c r="A91" s="153">
        <v>45139</v>
      </c>
      <c r="B91" s="154">
        <v>45139</v>
      </c>
      <c r="C91" s="155" t="s">
        <v>135</v>
      </c>
      <c r="D91" s="155" t="s">
        <v>33</v>
      </c>
      <c r="E91" s="155" t="s">
        <v>43</v>
      </c>
      <c r="F91" s="155" t="s">
        <v>35</v>
      </c>
    </row>
    <row r="92" ht="14.25" customHeight="1" spans="1:6">
      <c r="A92" s="153">
        <v>45139</v>
      </c>
      <c r="B92" s="154">
        <v>45139</v>
      </c>
      <c r="C92" s="155" t="s">
        <v>136</v>
      </c>
      <c r="D92" s="155" t="s">
        <v>45</v>
      </c>
      <c r="E92" s="155" t="s">
        <v>43</v>
      </c>
      <c r="F92" s="155" t="s">
        <v>35</v>
      </c>
    </row>
    <row r="93" ht="14.25" customHeight="1" spans="1:6">
      <c r="A93" s="153">
        <v>45139</v>
      </c>
      <c r="B93" s="154">
        <v>45139</v>
      </c>
      <c r="C93" s="155" t="s">
        <v>137</v>
      </c>
      <c r="D93" s="155" t="s">
        <v>45</v>
      </c>
      <c r="E93" s="155" t="s">
        <v>43</v>
      </c>
      <c r="F93" s="155" t="s">
        <v>57</v>
      </c>
    </row>
    <row r="94" ht="14.25" customHeight="1" spans="1:6">
      <c r="A94" s="153">
        <v>45139</v>
      </c>
      <c r="B94" s="154">
        <v>45139</v>
      </c>
      <c r="C94" s="155" t="s">
        <v>138</v>
      </c>
      <c r="D94" s="155" t="s">
        <v>33</v>
      </c>
      <c r="E94" s="155" t="s">
        <v>43</v>
      </c>
      <c r="F94" s="155" t="s">
        <v>57</v>
      </c>
    </row>
    <row r="95" ht="14.25" customHeight="1" spans="1:6">
      <c r="A95" s="153">
        <v>45139</v>
      </c>
      <c r="B95" s="154">
        <v>45139</v>
      </c>
      <c r="C95" s="155" t="s">
        <v>139</v>
      </c>
      <c r="D95" s="156" t="s">
        <v>37</v>
      </c>
      <c r="E95" s="155" t="s">
        <v>34</v>
      </c>
      <c r="F95" s="155" t="s">
        <v>35</v>
      </c>
    </row>
    <row r="96" ht="14.25" customHeight="1" spans="1:6">
      <c r="A96" s="153">
        <v>45139</v>
      </c>
      <c r="B96" s="154">
        <v>45139</v>
      </c>
      <c r="C96" s="155" t="s">
        <v>140</v>
      </c>
      <c r="D96" s="155" t="s">
        <v>33</v>
      </c>
      <c r="E96" s="155" t="s">
        <v>43</v>
      </c>
      <c r="F96" s="155" t="s">
        <v>39</v>
      </c>
    </row>
    <row r="97" ht="14.25" customHeight="1" spans="1:6">
      <c r="A97" s="153">
        <v>45139</v>
      </c>
      <c r="B97" s="154">
        <v>45139</v>
      </c>
      <c r="C97" s="155" t="s">
        <v>141</v>
      </c>
      <c r="D97" s="155" t="s">
        <v>45</v>
      </c>
      <c r="E97" s="155" t="s">
        <v>43</v>
      </c>
      <c r="F97" s="155" t="s">
        <v>39</v>
      </c>
    </row>
    <row r="98" ht="14.25" customHeight="1" spans="1:6">
      <c r="A98" s="153">
        <v>45139</v>
      </c>
      <c r="B98" s="154">
        <v>45139</v>
      </c>
      <c r="C98" s="155" t="s">
        <v>142</v>
      </c>
      <c r="D98" s="156" t="s">
        <v>129</v>
      </c>
      <c r="E98" s="155" t="s">
        <v>43</v>
      </c>
      <c r="F98" s="155" t="s">
        <v>39</v>
      </c>
    </row>
    <row r="99" ht="14.25" customHeight="1" spans="1:6">
      <c r="A99" s="153">
        <v>45139</v>
      </c>
      <c r="B99" s="154">
        <v>45139</v>
      </c>
      <c r="C99" s="155" t="s">
        <v>143</v>
      </c>
      <c r="D99" s="155" t="s">
        <v>45</v>
      </c>
      <c r="E99" s="155" t="s">
        <v>43</v>
      </c>
      <c r="F99" s="155" t="s">
        <v>39</v>
      </c>
    </row>
    <row r="100" ht="14.25" customHeight="1" spans="1:6">
      <c r="A100" s="153">
        <v>45139</v>
      </c>
      <c r="B100" s="154">
        <v>45139</v>
      </c>
      <c r="C100" s="155" t="s">
        <v>144</v>
      </c>
      <c r="D100" s="156" t="s">
        <v>129</v>
      </c>
      <c r="E100" s="155" t="s">
        <v>43</v>
      </c>
      <c r="F100" s="155" t="s">
        <v>39</v>
      </c>
    </row>
    <row r="101" ht="14.25" customHeight="1" spans="1:6">
      <c r="A101" s="153">
        <v>45139</v>
      </c>
      <c r="B101" s="154">
        <v>45139</v>
      </c>
      <c r="C101" s="155" t="s">
        <v>145</v>
      </c>
      <c r="D101" s="156" t="s">
        <v>47</v>
      </c>
      <c r="E101" s="155" t="s">
        <v>43</v>
      </c>
      <c r="F101" s="155" t="s">
        <v>39</v>
      </c>
    </row>
    <row r="102" ht="14.25" customHeight="1" spans="1:6">
      <c r="A102" s="153">
        <v>45139</v>
      </c>
      <c r="B102" s="154">
        <v>45139</v>
      </c>
      <c r="C102" s="155" t="s">
        <v>146</v>
      </c>
      <c r="D102" s="155" t="s">
        <v>45</v>
      </c>
      <c r="E102" s="155" t="s">
        <v>43</v>
      </c>
      <c r="F102" s="155" t="s">
        <v>35</v>
      </c>
    </row>
    <row r="103" ht="14.25" customHeight="1" spans="1:6">
      <c r="A103" s="153">
        <v>45139</v>
      </c>
      <c r="B103" s="154">
        <v>45139</v>
      </c>
      <c r="C103" s="155" t="s">
        <v>147</v>
      </c>
      <c r="D103" s="155" t="s">
        <v>45</v>
      </c>
      <c r="E103" s="155" t="s">
        <v>43</v>
      </c>
      <c r="F103" s="155" t="s">
        <v>39</v>
      </c>
    </row>
    <row r="104" ht="14.25" customHeight="1" spans="1:6">
      <c r="A104" s="153">
        <v>45139</v>
      </c>
      <c r="B104" s="154">
        <v>45139</v>
      </c>
      <c r="C104" s="155" t="s">
        <v>148</v>
      </c>
      <c r="D104" s="155" t="s">
        <v>45</v>
      </c>
      <c r="E104" s="155" t="s">
        <v>43</v>
      </c>
      <c r="F104" s="155" t="s">
        <v>39</v>
      </c>
    </row>
    <row r="105" ht="14.25" customHeight="1" spans="1:6">
      <c r="A105" s="153">
        <v>45139</v>
      </c>
      <c r="B105" s="154">
        <v>45139</v>
      </c>
      <c r="C105" s="155" t="s">
        <v>149</v>
      </c>
      <c r="D105" s="156" t="s">
        <v>37</v>
      </c>
      <c r="E105" s="155" t="s">
        <v>38</v>
      </c>
      <c r="F105" s="157" t="s">
        <v>35</v>
      </c>
    </row>
    <row r="106" ht="14.25" customHeight="1" spans="1:6">
      <c r="A106" s="153">
        <v>45139</v>
      </c>
      <c r="B106" s="154">
        <v>45139</v>
      </c>
      <c r="C106" s="155" t="s">
        <v>150</v>
      </c>
      <c r="D106" s="156" t="s">
        <v>37</v>
      </c>
      <c r="E106" s="155" t="s">
        <v>38</v>
      </c>
      <c r="F106" s="155" t="s">
        <v>39</v>
      </c>
    </row>
    <row r="107" ht="14.25" customHeight="1" spans="1:6">
      <c r="A107" s="153">
        <v>45139</v>
      </c>
      <c r="B107" s="154">
        <v>45139</v>
      </c>
      <c r="C107" s="155" t="s">
        <v>151</v>
      </c>
      <c r="D107" s="155" t="s">
        <v>45</v>
      </c>
      <c r="E107" s="155" t="s">
        <v>38</v>
      </c>
      <c r="F107" s="155" t="s">
        <v>35</v>
      </c>
    </row>
    <row r="108" ht="14.25" customHeight="1" spans="1:6">
      <c r="A108" s="153">
        <v>45139</v>
      </c>
      <c r="B108" s="154">
        <v>45139</v>
      </c>
      <c r="C108" s="155" t="s">
        <v>152</v>
      </c>
      <c r="D108" s="155" t="s">
        <v>33</v>
      </c>
      <c r="E108" s="155" t="s">
        <v>43</v>
      </c>
      <c r="F108" s="155" t="s">
        <v>35</v>
      </c>
    </row>
    <row r="109" ht="14.25" customHeight="1" spans="1:6">
      <c r="A109" s="153">
        <v>45139</v>
      </c>
      <c r="B109" s="154">
        <v>45139</v>
      </c>
      <c r="C109" s="155" t="s">
        <v>153</v>
      </c>
      <c r="D109" s="155" t="s">
        <v>45</v>
      </c>
      <c r="E109" s="155" t="s">
        <v>43</v>
      </c>
      <c r="F109" s="155" t="s">
        <v>39</v>
      </c>
    </row>
    <row r="110" ht="14.25" customHeight="1" spans="1:6">
      <c r="A110" s="153">
        <v>45139</v>
      </c>
      <c r="B110" s="154">
        <v>45139</v>
      </c>
      <c r="C110" s="155" t="s">
        <v>154</v>
      </c>
      <c r="D110" s="156" t="s">
        <v>129</v>
      </c>
      <c r="E110" s="155" t="s">
        <v>34</v>
      </c>
      <c r="F110" s="155" t="s">
        <v>39</v>
      </c>
    </row>
    <row r="111" ht="14.25" customHeight="1" spans="1:6">
      <c r="A111" s="153">
        <v>45139</v>
      </c>
      <c r="B111" s="154">
        <v>45139</v>
      </c>
      <c r="C111" s="155" t="s">
        <v>155</v>
      </c>
      <c r="D111" s="155" t="s">
        <v>45</v>
      </c>
      <c r="E111" s="155" t="s">
        <v>38</v>
      </c>
      <c r="F111" s="155" t="s">
        <v>57</v>
      </c>
    </row>
    <row r="112" ht="14.25" customHeight="1" spans="1:6">
      <c r="A112" s="153">
        <v>45139</v>
      </c>
      <c r="B112" s="154">
        <v>45139</v>
      </c>
      <c r="C112" s="155" t="s">
        <v>156</v>
      </c>
      <c r="D112" s="155" t="s">
        <v>45</v>
      </c>
      <c r="E112" s="155" t="s">
        <v>43</v>
      </c>
      <c r="F112" s="155" t="s">
        <v>39</v>
      </c>
    </row>
    <row r="113" ht="14.25" customHeight="1" spans="1:6">
      <c r="A113" s="153">
        <v>45139</v>
      </c>
      <c r="B113" s="154">
        <v>45139</v>
      </c>
      <c r="C113" s="155" t="s">
        <v>157</v>
      </c>
      <c r="D113" s="155" t="s">
        <v>62</v>
      </c>
      <c r="E113" s="155" t="s">
        <v>43</v>
      </c>
      <c r="F113" s="155" t="s">
        <v>35</v>
      </c>
    </row>
    <row r="114" ht="14.25" customHeight="1" spans="1:6">
      <c r="A114" s="153">
        <v>45139</v>
      </c>
      <c r="B114" s="154">
        <v>45139</v>
      </c>
      <c r="C114" s="155" t="s">
        <v>158</v>
      </c>
      <c r="D114" s="155" t="s">
        <v>62</v>
      </c>
      <c r="E114" s="155" t="s">
        <v>43</v>
      </c>
      <c r="F114" s="155" t="s">
        <v>39</v>
      </c>
    </row>
    <row r="115" ht="14.25" customHeight="1" spans="1:6">
      <c r="A115" s="153">
        <v>45139</v>
      </c>
      <c r="B115" s="154">
        <v>45139</v>
      </c>
      <c r="C115" s="155" t="s">
        <v>159</v>
      </c>
      <c r="D115" s="156" t="s">
        <v>129</v>
      </c>
      <c r="E115" s="155" t="s">
        <v>43</v>
      </c>
      <c r="F115" s="155" t="s">
        <v>39</v>
      </c>
    </row>
    <row r="116" ht="14.25" customHeight="1" spans="1:6">
      <c r="A116" s="153">
        <v>45139</v>
      </c>
      <c r="B116" s="154">
        <v>45139</v>
      </c>
      <c r="C116" s="155" t="s">
        <v>160</v>
      </c>
      <c r="D116" s="156" t="s">
        <v>37</v>
      </c>
      <c r="E116" s="155" t="s">
        <v>38</v>
      </c>
      <c r="F116" s="155" t="s">
        <v>39</v>
      </c>
    </row>
    <row r="117" ht="14.25" customHeight="1" spans="1:6">
      <c r="A117" s="153">
        <v>45139</v>
      </c>
      <c r="B117" s="154">
        <v>45139</v>
      </c>
      <c r="C117" s="155" t="s">
        <v>161</v>
      </c>
      <c r="D117" s="156" t="s">
        <v>129</v>
      </c>
      <c r="E117" s="155" t="s">
        <v>43</v>
      </c>
      <c r="F117" s="155" t="s">
        <v>39</v>
      </c>
    </row>
    <row r="118" ht="14.25" customHeight="1" spans="1:6">
      <c r="A118" s="153">
        <v>45139</v>
      </c>
      <c r="B118" s="154">
        <v>45139</v>
      </c>
      <c r="C118" s="155" t="s">
        <v>162</v>
      </c>
      <c r="D118" s="156" t="s">
        <v>37</v>
      </c>
      <c r="E118" s="155" t="s">
        <v>38</v>
      </c>
      <c r="F118" s="157" t="s">
        <v>35</v>
      </c>
    </row>
    <row r="119" ht="14.25" customHeight="1" spans="1:6">
      <c r="A119" s="153">
        <v>45139</v>
      </c>
      <c r="B119" s="154">
        <v>45139</v>
      </c>
      <c r="C119" s="155" t="s">
        <v>163</v>
      </c>
      <c r="D119" s="155" t="s">
        <v>62</v>
      </c>
      <c r="E119" s="155" t="s">
        <v>34</v>
      </c>
      <c r="F119" s="155" t="s">
        <v>39</v>
      </c>
    </row>
    <row r="120" ht="14.25" customHeight="1" spans="1:6">
      <c r="A120" s="153">
        <v>45139</v>
      </c>
      <c r="B120" s="154">
        <v>45139</v>
      </c>
      <c r="C120" s="155" t="s">
        <v>164</v>
      </c>
      <c r="D120" s="156" t="s">
        <v>129</v>
      </c>
      <c r="E120" s="155" t="s">
        <v>43</v>
      </c>
      <c r="F120" s="157" t="s">
        <v>35</v>
      </c>
    </row>
    <row r="121" ht="14.25" customHeight="1" spans="1:6">
      <c r="A121" s="153">
        <v>45139</v>
      </c>
      <c r="B121" s="154">
        <v>45139</v>
      </c>
      <c r="C121" s="155" t="s">
        <v>165</v>
      </c>
      <c r="D121" s="155" t="s">
        <v>62</v>
      </c>
      <c r="E121" s="155" t="s">
        <v>43</v>
      </c>
      <c r="F121" s="155" t="s">
        <v>39</v>
      </c>
    </row>
    <row r="122" ht="14.25" customHeight="1" spans="1:6">
      <c r="A122" s="153">
        <v>45139</v>
      </c>
      <c r="B122" s="154">
        <v>45139</v>
      </c>
      <c r="C122" s="155" t="s">
        <v>166</v>
      </c>
      <c r="D122" s="156" t="s">
        <v>129</v>
      </c>
      <c r="E122" s="155" t="s">
        <v>43</v>
      </c>
      <c r="F122" s="155" t="s">
        <v>57</v>
      </c>
    </row>
    <row r="123" ht="14.25" customHeight="1" spans="1:6">
      <c r="A123" s="153">
        <v>45139</v>
      </c>
      <c r="B123" s="154">
        <v>45139</v>
      </c>
      <c r="C123" s="155" t="s">
        <v>167</v>
      </c>
      <c r="D123" s="155" t="s">
        <v>62</v>
      </c>
      <c r="E123" s="155" t="s">
        <v>43</v>
      </c>
      <c r="F123" s="155" t="s">
        <v>39</v>
      </c>
    </row>
    <row r="124" ht="14.25" customHeight="1" spans="1:6">
      <c r="A124" s="153">
        <v>45139</v>
      </c>
      <c r="B124" s="154">
        <v>45139</v>
      </c>
      <c r="C124" s="155" t="s">
        <v>168</v>
      </c>
      <c r="D124" s="155" t="s">
        <v>62</v>
      </c>
      <c r="E124" s="155" t="s">
        <v>43</v>
      </c>
      <c r="F124" s="155" t="s">
        <v>39</v>
      </c>
    </row>
    <row r="125" ht="14.25" customHeight="1" spans="1:6">
      <c r="A125" s="153">
        <v>45139</v>
      </c>
      <c r="B125" s="154">
        <v>45139</v>
      </c>
      <c r="C125" s="155" t="s">
        <v>169</v>
      </c>
      <c r="D125" s="155" t="s">
        <v>62</v>
      </c>
      <c r="E125" s="155" t="s">
        <v>34</v>
      </c>
      <c r="F125" s="155" t="s">
        <v>39</v>
      </c>
    </row>
    <row r="126" ht="14.25" customHeight="1" spans="1:6">
      <c r="A126" s="153">
        <v>45139</v>
      </c>
      <c r="B126" s="154">
        <v>45139</v>
      </c>
      <c r="C126" s="155" t="s">
        <v>170</v>
      </c>
      <c r="D126" s="156" t="s">
        <v>129</v>
      </c>
      <c r="E126" s="155" t="s">
        <v>38</v>
      </c>
      <c r="F126" s="157" t="s">
        <v>35</v>
      </c>
    </row>
    <row r="127" ht="14.25" customHeight="1" spans="1:6">
      <c r="A127" s="153">
        <v>45139</v>
      </c>
      <c r="B127" s="154">
        <v>45139</v>
      </c>
      <c r="C127" s="155" t="s">
        <v>171</v>
      </c>
      <c r="D127" s="155" t="s">
        <v>62</v>
      </c>
      <c r="E127" s="155" t="s">
        <v>43</v>
      </c>
      <c r="F127" s="155" t="s">
        <v>39</v>
      </c>
    </row>
    <row r="128" ht="14.25" customHeight="1" spans="1:6">
      <c r="A128" s="153">
        <v>45139</v>
      </c>
      <c r="B128" s="154">
        <v>45139</v>
      </c>
      <c r="C128" s="155" t="s">
        <v>172</v>
      </c>
      <c r="D128" s="155" t="s">
        <v>33</v>
      </c>
      <c r="E128" s="155" t="s">
        <v>38</v>
      </c>
      <c r="F128" s="155" t="s">
        <v>39</v>
      </c>
    </row>
    <row r="129" ht="14.25" customHeight="1" spans="1:6">
      <c r="A129" s="153">
        <v>45139</v>
      </c>
      <c r="B129" s="154">
        <v>45139</v>
      </c>
      <c r="C129" s="155" t="s">
        <v>173</v>
      </c>
      <c r="D129" s="156" t="s">
        <v>129</v>
      </c>
      <c r="E129" s="155" t="s">
        <v>38</v>
      </c>
      <c r="F129" s="155" t="s">
        <v>39</v>
      </c>
    </row>
    <row r="130" ht="14.25" customHeight="1" spans="1:6">
      <c r="A130" s="153">
        <v>45139</v>
      </c>
      <c r="B130" s="154">
        <v>45139</v>
      </c>
      <c r="C130" s="155" t="s">
        <v>174</v>
      </c>
      <c r="D130" s="155" t="s">
        <v>62</v>
      </c>
      <c r="E130" s="155" t="s">
        <v>38</v>
      </c>
      <c r="F130" s="155" t="s">
        <v>39</v>
      </c>
    </row>
    <row r="131" ht="14.25" customHeight="1" spans="1:6">
      <c r="A131" s="153">
        <v>45139</v>
      </c>
      <c r="B131" s="154">
        <v>45139</v>
      </c>
      <c r="C131" s="155" t="s">
        <v>175</v>
      </c>
      <c r="D131" s="155" t="s">
        <v>62</v>
      </c>
      <c r="E131" s="155" t="s">
        <v>43</v>
      </c>
      <c r="F131" s="155" t="s">
        <v>39</v>
      </c>
    </row>
    <row r="132" ht="14.25" customHeight="1" spans="1:6">
      <c r="A132" s="153">
        <v>45139</v>
      </c>
      <c r="B132" s="154">
        <v>45139</v>
      </c>
      <c r="C132" s="155" t="s">
        <v>176</v>
      </c>
      <c r="D132" s="155" t="s">
        <v>62</v>
      </c>
      <c r="E132" s="155" t="s">
        <v>43</v>
      </c>
      <c r="F132" s="155" t="s">
        <v>39</v>
      </c>
    </row>
    <row r="133" ht="14.25" customHeight="1" spans="1:6">
      <c r="A133" s="153">
        <v>45139</v>
      </c>
      <c r="B133" s="154">
        <v>45139</v>
      </c>
      <c r="C133" s="155" t="s">
        <v>177</v>
      </c>
      <c r="D133" s="155" t="s">
        <v>62</v>
      </c>
      <c r="E133" s="155" t="s">
        <v>38</v>
      </c>
      <c r="F133" s="155" t="s">
        <v>39</v>
      </c>
    </row>
    <row r="134" ht="14.25" customHeight="1" spans="1:6">
      <c r="A134" s="153">
        <v>45139</v>
      </c>
      <c r="B134" s="154">
        <v>45139</v>
      </c>
      <c r="C134" s="155" t="s">
        <v>178</v>
      </c>
      <c r="D134" s="156" t="s">
        <v>37</v>
      </c>
      <c r="E134" s="155" t="s">
        <v>38</v>
      </c>
      <c r="F134" s="157" t="s">
        <v>35</v>
      </c>
    </row>
    <row r="135" ht="14.25" customHeight="1" spans="1:6">
      <c r="A135" s="153">
        <v>45139</v>
      </c>
      <c r="B135" s="154">
        <v>45139</v>
      </c>
      <c r="C135" s="155" t="s">
        <v>179</v>
      </c>
      <c r="D135" s="155" t="s">
        <v>62</v>
      </c>
      <c r="E135" s="155" t="s">
        <v>38</v>
      </c>
      <c r="F135" s="157" t="s">
        <v>35</v>
      </c>
    </row>
    <row r="136" ht="14.25" customHeight="1" spans="1:6">
      <c r="A136" s="153">
        <v>45139</v>
      </c>
      <c r="B136" s="154">
        <v>45139</v>
      </c>
      <c r="C136" s="155" t="s">
        <v>180</v>
      </c>
      <c r="D136" s="155" t="s">
        <v>62</v>
      </c>
      <c r="E136" s="155" t="s">
        <v>38</v>
      </c>
      <c r="F136" s="157" t="s">
        <v>35</v>
      </c>
    </row>
    <row r="137" ht="14.25" customHeight="1" spans="1:6">
      <c r="A137" s="153">
        <v>45139</v>
      </c>
      <c r="B137" s="154">
        <v>45139</v>
      </c>
      <c r="C137" s="155" t="s">
        <v>181</v>
      </c>
      <c r="D137" s="155" t="s">
        <v>62</v>
      </c>
      <c r="E137" s="155" t="s">
        <v>43</v>
      </c>
      <c r="F137" s="157" t="s">
        <v>35</v>
      </c>
    </row>
    <row r="138" ht="14.25" customHeight="1" spans="1:6">
      <c r="A138" s="153">
        <v>45139</v>
      </c>
      <c r="B138" s="154">
        <v>45139</v>
      </c>
      <c r="C138" s="155" t="s">
        <v>182</v>
      </c>
      <c r="D138" s="155" t="s">
        <v>62</v>
      </c>
      <c r="E138" s="155" t="s">
        <v>43</v>
      </c>
      <c r="F138" s="157" t="s">
        <v>35</v>
      </c>
    </row>
    <row r="139" ht="14.25" customHeight="1" spans="1:6">
      <c r="A139" s="153">
        <v>45139</v>
      </c>
      <c r="B139" s="154">
        <v>45139</v>
      </c>
      <c r="C139" s="155" t="s">
        <v>183</v>
      </c>
      <c r="D139" s="156" t="s">
        <v>37</v>
      </c>
      <c r="E139" s="155" t="s">
        <v>43</v>
      </c>
      <c r="F139" s="157" t="s">
        <v>35</v>
      </c>
    </row>
    <row r="140" ht="14.25" customHeight="1" spans="1:6">
      <c r="A140" s="153">
        <v>45139</v>
      </c>
      <c r="B140" s="154">
        <v>45139</v>
      </c>
      <c r="C140" s="155" t="s">
        <v>184</v>
      </c>
      <c r="D140" s="155" t="s">
        <v>62</v>
      </c>
      <c r="E140" s="155" t="s">
        <v>38</v>
      </c>
      <c r="F140" s="155" t="s">
        <v>39</v>
      </c>
    </row>
    <row r="141" ht="14.25" customHeight="1" spans="1:6">
      <c r="A141" s="153">
        <v>45139</v>
      </c>
      <c r="B141" s="154">
        <v>45139</v>
      </c>
      <c r="C141" s="155" t="s">
        <v>185</v>
      </c>
      <c r="D141" s="155" t="s">
        <v>62</v>
      </c>
      <c r="E141" s="155" t="s">
        <v>38</v>
      </c>
      <c r="F141" s="155" t="s">
        <v>39</v>
      </c>
    </row>
    <row r="142" ht="14.25" customHeight="1" spans="1:6">
      <c r="A142" s="153">
        <v>45139</v>
      </c>
      <c r="B142" s="154">
        <v>45139</v>
      </c>
      <c r="C142" s="155" t="s">
        <v>186</v>
      </c>
      <c r="D142" s="155" t="s">
        <v>62</v>
      </c>
      <c r="E142" s="155" t="s">
        <v>38</v>
      </c>
      <c r="F142" s="155" t="s">
        <v>39</v>
      </c>
    </row>
    <row r="143" ht="14.25" customHeight="1" spans="1:6">
      <c r="A143" s="153">
        <v>45139</v>
      </c>
      <c r="B143" s="154">
        <v>45139</v>
      </c>
      <c r="C143" s="155" t="s">
        <v>187</v>
      </c>
      <c r="D143" s="155" t="s">
        <v>62</v>
      </c>
      <c r="E143" s="155" t="s">
        <v>38</v>
      </c>
      <c r="F143" s="155" t="s">
        <v>39</v>
      </c>
    </row>
    <row r="144" ht="14.25" customHeight="1" spans="1:6">
      <c r="A144" s="153">
        <v>45139</v>
      </c>
      <c r="B144" s="154">
        <v>45139</v>
      </c>
      <c r="C144" s="155" t="s">
        <v>188</v>
      </c>
      <c r="D144" s="155" t="s">
        <v>62</v>
      </c>
      <c r="E144" s="155" t="s">
        <v>43</v>
      </c>
      <c r="F144" s="155" t="s">
        <v>39</v>
      </c>
    </row>
    <row r="145" ht="14.25" customHeight="1" spans="1:6">
      <c r="A145" s="153">
        <v>45139</v>
      </c>
      <c r="B145" s="154">
        <v>45139</v>
      </c>
      <c r="C145" s="155" t="s">
        <v>189</v>
      </c>
      <c r="D145" s="156" t="s">
        <v>129</v>
      </c>
      <c r="E145" s="155" t="s">
        <v>38</v>
      </c>
      <c r="F145" s="155" t="s">
        <v>39</v>
      </c>
    </row>
    <row r="146" ht="14.25" customHeight="1" spans="1:6">
      <c r="A146" s="153">
        <v>45139</v>
      </c>
      <c r="B146" s="154">
        <v>45139</v>
      </c>
      <c r="C146" s="155" t="s">
        <v>190</v>
      </c>
      <c r="D146" s="155" t="s">
        <v>62</v>
      </c>
      <c r="E146" s="155" t="s">
        <v>38</v>
      </c>
      <c r="F146" s="155" t="s">
        <v>39</v>
      </c>
    </row>
    <row r="147" ht="14.25" customHeight="1" spans="1:6">
      <c r="A147" s="153">
        <v>45139</v>
      </c>
      <c r="B147" s="154">
        <v>45139</v>
      </c>
      <c r="C147" s="155" t="s">
        <v>191</v>
      </c>
      <c r="D147" s="156" t="s">
        <v>37</v>
      </c>
      <c r="E147" s="155" t="s">
        <v>43</v>
      </c>
      <c r="F147" s="155" t="s">
        <v>39</v>
      </c>
    </row>
    <row r="148" ht="14.25" customHeight="1" spans="1:6">
      <c r="A148" s="153">
        <v>45139</v>
      </c>
      <c r="B148" s="154">
        <v>45139</v>
      </c>
      <c r="C148" s="155" t="s">
        <v>192</v>
      </c>
      <c r="D148" s="156" t="s">
        <v>129</v>
      </c>
      <c r="E148" s="155" t="s">
        <v>43</v>
      </c>
      <c r="F148" s="155" t="s">
        <v>39</v>
      </c>
    </row>
    <row r="149" ht="14.25" customHeight="1" spans="1:6">
      <c r="A149" s="153">
        <v>45139</v>
      </c>
      <c r="B149" s="154">
        <v>45139</v>
      </c>
      <c r="C149" s="155" t="s">
        <v>193</v>
      </c>
      <c r="D149" s="155" t="s">
        <v>62</v>
      </c>
      <c r="E149" s="155" t="s">
        <v>43</v>
      </c>
      <c r="F149" s="155" t="s">
        <v>39</v>
      </c>
    </row>
    <row r="150" ht="14.25" customHeight="1" spans="1:6">
      <c r="A150" s="153">
        <v>45139</v>
      </c>
      <c r="B150" s="154">
        <v>45139</v>
      </c>
      <c r="C150" s="155" t="s">
        <v>194</v>
      </c>
      <c r="D150" s="155" t="s">
        <v>62</v>
      </c>
      <c r="E150" s="155" t="s">
        <v>43</v>
      </c>
      <c r="F150" s="155" t="s">
        <v>39</v>
      </c>
    </row>
    <row r="151" ht="14.25" customHeight="1" spans="1:6">
      <c r="A151" s="153">
        <v>45139</v>
      </c>
      <c r="B151" s="154">
        <v>45139</v>
      </c>
      <c r="C151" s="155" t="s">
        <v>195</v>
      </c>
      <c r="D151" s="155" t="s">
        <v>62</v>
      </c>
      <c r="E151" s="155" t="s">
        <v>38</v>
      </c>
      <c r="F151" s="155" t="s">
        <v>39</v>
      </c>
    </row>
    <row r="152" ht="14.25" customHeight="1" spans="1:6">
      <c r="A152" s="153">
        <v>45139</v>
      </c>
      <c r="B152" s="154">
        <v>45139</v>
      </c>
      <c r="C152" s="155" t="s">
        <v>196</v>
      </c>
      <c r="D152" s="155" t="s">
        <v>62</v>
      </c>
      <c r="E152" s="155" t="s">
        <v>43</v>
      </c>
      <c r="F152" s="155" t="s">
        <v>39</v>
      </c>
    </row>
    <row r="153" ht="14.25" customHeight="1" spans="1:6">
      <c r="A153" s="153">
        <v>45139</v>
      </c>
      <c r="B153" s="154">
        <v>45139</v>
      </c>
      <c r="C153" s="155" t="s">
        <v>197</v>
      </c>
      <c r="D153" s="156" t="s">
        <v>129</v>
      </c>
      <c r="E153" s="155" t="s">
        <v>38</v>
      </c>
      <c r="F153" s="155" t="s">
        <v>39</v>
      </c>
    </row>
    <row r="154" ht="14.25" customHeight="1" spans="1:6">
      <c r="A154" s="153">
        <v>45139</v>
      </c>
      <c r="B154" s="154">
        <v>45139</v>
      </c>
      <c r="C154" s="155" t="s">
        <v>198</v>
      </c>
      <c r="D154" s="155" t="s">
        <v>33</v>
      </c>
      <c r="E154" s="155" t="s">
        <v>34</v>
      </c>
      <c r="F154" s="155" t="s">
        <v>35</v>
      </c>
    </row>
    <row r="155" ht="14.25" customHeight="1" spans="1:6">
      <c r="A155" s="153">
        <v>45139</v>
      </c>
      <c r="B155" s="154">
        <v>45139</v>
      </c>
      <c r="C155" s="155" t="s">
        <v>199</v>
      </c>
      <c r="D155" s="155" t="s">
        <v>62</v>
      </c>
      <c r="E155" s="155" t="s">
        <v>38</v>
      </c>
      <c r="F155" s="155" t="s">
        <v>39</v>
      </c>
    </row>
    <row r="156" ht="14.25" customHeight="1" spans="1:6">
      <c r="A156" s="153">
        <v>45139</v>
      </c>
      <c r="B156" s="154">
        <v>45139</v>
      </c>
      <c r="C156" s="155" t="s">
        <v>200</v>
      </c>
      <c r="D156" s="155" t="s">
        <v>62</v>
      </c>
      <c r="E156" s="155" t="s">
        <v>43</v>
      </c>
      <c r="F156" s="155" t="s">
        <v>39</v>
      </c>
    </row>
    <row r="157" ht="14.25" customHeight="1" spans="1:6">
      <c r="A157" s="153">
        <v>45139</v>
      </c>
      <c r="B157" s="154">
        <v>45139</v>
      </c>
      <c r="C157" s="155" t="s">
        <v>201</v>
      </c>
      <c r="D157" s="155" t="s">
        <v>62</v>
      </c>
      <c r="E157" s="155" t="s">
        <v>38</v>
      </c>
      <c r="F157" s="155" t="s">
        <v>39</v>
      </c>
    </row>
    <row r="158" ht="14.25" customHeight="1" spans="1:6">
      <c r="A158" s="153">
        <v>45139</v>
      </c>
      <c r="B158" s="154">
        <v>45139</v>
      </c>
      <c r="C158" s="155" t="s">
        <v>202</v>
      </c>
      <c r="D158" s="155" t="s">
        <v>62</v>
      </c>
      <c r="E158" s="155" t="s">
        <v>43</v>
      </c>
      <c r="F158" s="155" t="s">
        <v>39</v>
      </c>
    </row>
    <row r="159" ht="14.25" customHeight="1" spans="1:6">
      <c r="A159" s="153">
        <v>45139</v>
      </c>
      <c r="B159" s="154">
        <v>45139</v>
      </c>
      <c r="C159" s="155" t="s">
        <v>203</v>
      </c>
      <c r="D159" s="155" t="s">
        <v>33</v>
      </c>
      <c r="E159" s="155" t="s">
        <v>50</v>
      </c>
      <c r="F159" s="155" t="s">
        <v>39</v>
      </c>
    </row>
    <row r="160" ht="14.25" customHeight="1" spans="1:6">
      <c r="A160" s="153">
        <v>45139</v>
      </c>
      <c r="B160" s="154">
        <v>45139</v>
      </c>
      <c r="C160" s="155" t="s">
        <v>204</v>
      </c>
      <c r="D160" s="155" t="s">
        <v>62</v>
      </c>
      <c r="E160" s="155" t="s">
        <v>38</v>
      </c>
      <c r="F160" s="155" t="s">
        <v>39</v>
      </c>
    </row>
    <row r="161" ht="14.25" customHeight="1" spans="1:6">
      <c r="A161" s="153">
        <v>45139</v>
      </c>
      <c r="B161" s="154">
        <v>45139</v>
      </c>
      <c r="C161" s="155" t="s">
        <v>205</v>
      </c>
      <c r="D161" s="155" t="s">
        <v>62</v>
      </c>
      <c r="E161" s="155" t="s">
        <v>38</v>
      </c>
      <c r="F161" s="155" t="s">
        <v>39</v>
      </c>
    </row>
    <row r="162" ht="14.25" customHeight="1" spans="1:6">
      <c r="A162" s="153">
        <v>45139</v>
      </c>
      <c r="B162" s="154">
        <v>45139</v>
      </c>
      <c r="C162" s="155" t="s">
        <v>206</v>
      </c>
      <c r="D162" s="155" t="s">
        <v>62</v>
      </c>
      <c r="E162" s="155" t="s">
        <v>38</v>
      </c>
      <c r="F162" s="155" t="s">
        <v>39</v>
      </c>
    </row>
    <row r="163" ht="14.25" customHeight="1" spans="1:6">
      <c r="A163" s="153">
        <v>45139</v>
      </c>
      <c r="B163" s="154">
        <v>45139</v>
      </c>
      <c r="C163" s="155" t="s">
        <v>207</v>
      </c>
      <c r="D163" s="155" t="s">
        <v>33</v>
      </c>
      <c r="E163" s="155" t="s">
        <v>38</v>
      </c>
      <c r="F163" s="155" t="s">
        <v>39</v>
      </c>
    </row>
    <row r="164" ht="14.25" customHeight="1" spans="1:6">
      <c r="A164" s="153">
        <v>45139</v>
      </c>
      <c r="B164" s="154">
        <v>45139</v>
      </c>
      <c r="C164" s="155" t="s">
        <v>208</v>
      </c>
      <c r="D164" s="155" t="s">
        <v>62</v>
      </c>
      <c r="E164" s="155" t="s">
        <v>38</v>
      </c>
      <c r="F164" s="155" t="s">
        <v>39</v>
      </c>
    </row>
    <row r="165" ht="14.25" customHeight="1" spans="1:6">
      <c r="A165" s="153">
        <v>45139</v>
      </c>
      <c r="B165" s="154">
        <v>45139</v>
      </c>
      <c r="C165" s="155" t="s">
        <v>209</v>
      </c>
      <c r="D165" s="156" t="s">
        <v>129</v>
      </c>
      <c r="E165" s="155" t="s">
        <v>38</v>
      </c>
      <c r="F165" s="155" t="s">
        <v>39</v>
      </c>
    </row>
    <row r="166" ht="14.25" customHeight="1" spans="1:6">
      <c r="A166" s="153">
        <v>45139</v>
      </c>
      <c r="B166" s="154">
        <v>45139</v>
      </c>
      <c r="C166" s="155" t="s">
        <v>210</v>
      </c>
      <c r="D166" s="155" t="s">
        <v>62</v>
      </c>
      <c r="E166" s="155" t="s">
        <v>38</v>
      </c>
      <c r="F166" s="155" t="s">
        <v>39</v>
      </c>
    </row>
    <row r="167" ht="14.25" customHeight="1" spans="1:6">
      <c r="A167" s="153">
        <v>45139</v>
      </c>
      <c r="B167" s="154">
        <v>45139</v>
      </c>
      <c r="C167" s="155" t="s">
        <v>211</v>
      </c>
      <c r="D167" s="155" t="s">
        <v>62</v>
      </c>
      <c r="E167" s="155" t="s">
        <v>38</v>
      </c>
      <c r="F167" s="155" t="s">
        <v>39</v>
      </c>
    </row>
    <row r="168" ht="14.25" customHeight="1" spans="1:6">
      <c r="A168" s="153">
        <v>45139</v>
      </c>
      <c r="B168" s="154">
        <v>45139</v>
      </c>
      <c r="C168" s="155" t="s">
        <v>212</v>
      </c>
      <c r="D168" s="156" t="s">
        <v>37</v>
      </c>
      <c r="E168" s="155" t="s">
        <v>50</v>
      </c>
      <c r="F168" s="155" t="s">
        <v>57</v>
      </c>
    </row>
    <row r="169" ht="14.25" customHeight="1" spans="1:6">
      <c r="A169" s="153">
        <v>45139</v>
      </c>
      <c r="B169" s="154">
        <v>45139</v>
      </c>
      <c r="C169" s="155" t="s">
        <v>213</v>
      </c>
      <c r="D169" s="155" t="s">
        <v>33</v>
      </c>
      <c r="E169" s="155" t="s">
        <v>38</v>
      </c>
      <c r="F169" s="155" t="s">
        <v>39</v>
      </c>
    </row>
    <row r="170" ht="14.25" customHeight="1" spans="1:6">
      <c r="A170" s="153">
        <v>45139</v>
      </c>
      <c r="B170" s="154">
        <v>45139</v>
      </c>
      <c r="C170" s="155" t="s">
        <v>214</v>
      </c>
      <c r="D170" s="155" t="s">
        <v>62</v>
      </c>
      <c r="E170" s="155" t="s">
        <v>38</v>
      </c>
      <c r="F170" s="155" t="s">
        <v>57</v>
      </c>
    </row>
    <row r="171" ht="14.25" customHeight="1" spans="1:6">
      <c r="A171" s="153">
        <v>45139</v>
      </c>
      <c r="B171" s="154">
        <v>45139</v>
      </c>
      <c r="C171" s="155" t="s">
        <v>215</v>
      </c>
      <c r="D171" s="156" t="s">
        <v>129</v>
      </c>
      <c r="E171" s="155" t="s">
        <v>38</v>
      </c>
      <c r="F171" s="155" t="s">
        <v>39</v>
      </c>
    </row>
    <row r="172" ht="14.25" customHeight="1" spans="1:6">
      <c r="A172" s="153">
        <v>45139</v>
      </c>
      <c r="B172" s="154">
        <v>45139</v>
      </c>
      <c r="C172" s="155" t="s">
        <v>216</v>
      </c>
      <c r="D172" s="155" t="s">
        <v>33</v>
      </c>
      <c r="E172" s="155" t="s">
        <v>38</v>
      </c>
      <c r="F172" s="155" t="s">
        <v>39</v>
      </c>
    </row>
    <row r="173" ht="14.25" customHeight="1" spans="1:6">
      <c r="A173" s="153">
        <v>45139</v>
      </c>
      <c r="B173" s="154">
        <v>45139</v>
      </c>
      <c r="C173" s="155" t="s">
        <v>217</v>
      </c>
      <c r="D173" s="155" t="s">
        <v>62</v>
      </c>
      <c r="E173" s="155" t="s">
        <v>38</v>
      </c>
      <c r="F173" s="155" t="s">
        <v>39</v>
      </c>
    </row>
    <row r="174" ht="14.25" customHeight="1" spans="1:6">
      <c r="A174" s="153">
        <v>45139</v>
      </c>
      <c r="B174" s="154">
        <v>45139</v>
      </c>
      <c r="C174" s="155" t="s">
        <v>218</v>
      </c>
      <c r="D174" s="155" t="s">
        <v>62</v>
      </c>
      <c r="E174" s="155" t="s">
        <v>38</v>
      </c>
      <c r="F174" s="155" t="s">
        <v>35</v>
      </c>
    </row>
    <row r="175" ht="14.25" customHeight="1" spans="1:6">
      <c r="A175" s="153">
        <v>45139</v>
      </c>
      <c r="B175" s="154">
        <v>45139</v>
      </c>
      <c r="C175" s="155" t="s">
        <v>219</v>
      </c>
      <c r="D175" s="155" t="s">
        <v>62</v>
      </c>
      <c r="E175" s="155" t="s">
        <v>38</v>
      </c>
      <c r="F175" s="155" t="s">
        <v>39</v>
      </c>
    </row>
    <row r="176" ht="14.25" customHeight="1" spans="1:6">
      <c r="A176" s="153">
        <v>45139</v>
      </c>
      <c r="B176" s="154">
        <v>45139</v>
      </c>
      <c r="C176" s="155" t="s">
        <v>220</v>
      </c>
      <c r="D176" s="155" t="s">
        <v>62</v>
      </c>
      <c r="E176" s="155" t="s">
        <v>38</v>
      </c>
      <c r="F176" s="155" t="s">
        <v>39</v>
      </c>
    </row>
    <row r="177" ht="14.25" customHeight="1" spans="1:6">
      <c r="A177" s="153">
        <v>45139</v>
      </c>
      <c r="B177" s="154">
        <v>45139</v>
      </c>
      <c r="C177" s="155" t="s">
        <v>221</v>
      </c>
      <c r="D177" s="155" t="s">
        <v>62</v>
      </c>
      <c r="E177" s="155" t="s">
        <v>38</v>
      </c>
      <c r="F177" s="155" t="s">
        <v>57</v>
      </c>
    </row>
    <row r="178" ht="14.25" customHeight="1" spans="1:6">
      <c r="A178" s="153">
        <v>45139</v>
      </c>
      <c r="B178" s="154">
        <v>45140</v>
      </c>
      <c r="C178" s="155" t="s">
        <v>222</v>
      </c>
      <c r="D178" s="155" t="s">
        <v>62</v>
      </c>
      <c r="E178" s="155" t="s">
        <v>50</v>
      </c>
      <c r="F178" s="155" t="s">
        <v>57</v>
      </c>
    </row>
    <row r="179" ht="14.25" customHeight="1" spans="1:6">
      <c r="A179" s="153">
        <v>45139</v>
      </c>
      <c r="B179" s="154">
        <v>45140</v>
      </c>
      <c r="C179" s="155" t="s">
        <v>223</v>
      </c>
      <c r="D179" s="155" t="s">
        <v>33</v>
      </c>
      <c r="E179" s="155" t="s">
        <v>43</v>
      </c>
      <c r="F179" s="155" t="s">
        <v>57</v>
      </c>
    </row>
    <row r="180" ht="14.25" customHeight="1" spans="1:6">
      <c r="A180" s="153">
        <v>45139</v>
      </c>
      <c r="B180" s="154">
        <v>45140</v>
      </c>
      <c r="C180" s="155" t="s">
        <v>224</v>
      </c>
      <c r="D180" s="155" t="s">
        <v>62</v>
      </c>
      <c r="E180" s="155" t="s">
        <v>43</v>
      </c>
      <c r="F180" s="155" t="s">
        <v>39</v>
      </c>
    </row>
    <row r="181" ht="14.25" customHeight="1" spans="1:6">
      <c r="A181" s="153">
        <v>45139</v>
      </c>
      <c r="B181" s="154">
        <v>45140</v>
      </c>
      <c r="C181" s="155" t="s">
        <v>225</v>
      </c>
      <c r="D181" s="155" t="s">
        <v>62</v>
      </c>
      <c r="E181" s="155" t="s">
        <v>43</v>
      </c>
      <c r="F181" s="155" t="s">
        <v>39</v>
      </c>
    </row>
    <row r="182" ht="14.25" customHeight="1" spans="1:6">
      <c r="A182" s="153">
        <v>45139</v>
      </c>
      <c r="B182" s="154">
        <v>45140</v>
      </c>
      <c r="C182" s="155" t="s">
        <v>226</v>
      </c>
      <c r="D182" s="155" t="s">
        <v>62</v>
      </c>
      <c r="E182" s="155" t="s">
        <v>34</v>
      </c>
      <c r="F182" s="155" t="s">
        <v>57</v>
      </c>
    </row>
    <row r="183" ht="14.25" customHeight="1" spans="1:6">
      <c r="A183" s="153">
        <v>45139</v>
      </c>
      <c r="B183" s="154">
        <v>45140</v>
      </c>
      <c r="C183" s="155" t="s">
        <v>227</v>
      </c>
      <c r="D183" s="155" t="s">
        <v>62</v>
      </c>
      <c r="E183" s="155" t="s">
        <v>43</v>
      </c>
      <c r="F183" s="155" t="s">
        <v>57</v>
      </c>
    </row>
    <row r="184" ht="14.25" customHeight="1" spans="1:6">
      <c r="A184" s="153">
        <v>45139</v>
      </c>
      <c r="B184" s="154">
        <v>45140</v>
      </c>
      <c r="C184" s="155" t="s">
        <v>228</v>
      </c>
      <c r="D184" s="156" t="s">
        <v>37</v>
      </c>
      <c r="E184" s="155" t="s">
        <v>38</v>
      </c>
      <c r="F184" s="155" t="s">
        <v>39</v>
      </c>
    </row>
    <row r="185" ht="14.25" customHeight="1" spans="1:6">
      <c r="A185" s="153">
        <v>45139</v>
      </c>
      <c r="B185" s="154">
        <v>45140</v>
      </c>
      <c r="C185" s="155" t="s">
        <v>229</v>
      </c>
      <c r="D185" s="155" t="s">
        <v>62</v>
      </c>
      <c r="E185" s="155" t="s">
        <v>34</v>
      </c>
      <c r="F185" s="155" t="s">
        <v>39</v>
      </c>
    </row>
    <row r="186" ht="14.25" customHeight="1" spans="1:6">
      <c r="A186" s="153">
        <v>45139</v>
      </c>
      <c r="B186" s="154">
        <v>45140</v>
      </c>
      <c r="C186" s="155" t="s">
        <v>230</v>
      </c>
      <c r="D186" s="155" t="s">
        <v>62</v>
      </c>
      <c r="E186" s="155" t="s">
        <v>34</v>
      </c>
      <c r="F186" s="155" t="s">
        <v>35</v>
      </c>
    </row>
    <row r="187" ht="14.25" customHeight="1" spans="1:6">
      <c r="A187" s="153">
        <v>45139</v>
      </c>
      <c r="B187" s="154">
        <v>45140</v>
      </c>
      <c r="C187" s="155" t="s">
        <v>231</v>
      </c>
      <c r="D187" s="155" t="s">
        <v>62</v>
      </c>
      <c r="E187" s="155" t="s">
        <v>43</v>
      </c>
      <c r="F187" s="155" t="s">
        <v>39</v>
      </c>
    </row>
    <row r="188" ht="14.25" customHeight="1" spans="1:6">
      <c r="A188" s="153">
        <v>45139</v>
      </c>
      <c r="B188" s="154">
        <v>45140</v>
      </c>
      <c r="C188" s="155" t="s">
        <v>232</v>
      </c>
      <c r="D188" s="155" t="s">
        <v>62</v>
      </c>
      <c r="E188" s="155" t="s">
        <v>38</v>
      </c>
      <c r="F188" s="155" t="s">
        <v>35</v>
      </c>
    </row>
    <row r="189" ht="14.25" customHeight="1" spans="1:6">
      <c r="A189" s="153">
        <v>45139</v>
      </c>
      <c r="B189" s="154">
        <v>45140</v>
      </c>
      <c r="C189" s="155" t="s">
        <v>233</v>
      </c>
      <c r="D189" s="155" t="s">
        <v>62</v>
      </c>
      <c r="E189" s="155" t="s">
        <v>43</v>
      </c>
      <c r="F189" s="155" t="s">
        <v>39</v>
      </c>
    </row>
    <row r="190" ht="14.25" customHeight="1" spans="1:6">
      <c r="A190" s="153">
        <v>45139</v>
      </c>
      <c r="B190" s="154">
        <v>45140</v>
      </c>
      <c r="C190" s="155" t="s">
        <v>234</v>
      </c>
      <c r="D190" s="155" t="s">
        <v>33</v>
      </c>
      <c r="E190" s="155" t="s">
        <v>34</v>
      </c>
      <c r="F190" s="155" t="s">
        <v>39</v>
      </c>
    </row>
    <row r="191" ht="14.25" customHeight="1" spans="1:6">
      <c r="A191" s="153">
        <v>45139</v>
      </c>
      <c r="B191" s="154">
        <v>45140</v>
      </c>
      <c r="C191" s="155" t="s">
        <v>235</v>
      </c>
      <c r="D191" s="155" t="s">
        <v>62</v>
      </c>
      <c r="E191" s="155" t="s">
        <v>43</v>
      </c>
      <c r="F191" s="155" t="s">
        <v>39</v>
      </c>
    </row>
    <row r="192" ht="14.25" customHeight="1" spans="1:6">
      <c r="A192" s="153">
        <v>45139</v>
      </c>
      <c r="B192" s="154">
        <v>45140</v>
      </c>
      <c r="C192" s="155" t="s">
        <v>236</v>
      </c>
      <c r="D192" s="155" t="s">
        <v>62</v>
      </c>
      <c r="E192" s="155" t="s">
        <v>43</v>
      </c>
      <c r="F192" s="155" t="s">
        <v>57</v>
      </c>
    </row>
    <row r="193" ht="14.25" customHeight="1" spans="1:6">
      <c r="A193" s="153">
        <v>45139</v>
      </c>
      <c r="B193" s="154">
        <v>45140</v>
      </c>
      <c r="C193" s="155" t="s">
        <v>237</v>
      </c>
      <c r="D193" s="155" t="s">
        <v>62</v>
      </c>
      <c r="E193" s="155" t="s">
        <v>38</v>
      </c>
      <c r="F193" s="155" t="s">
        <v>35</v>
      </c>
    </row>
    <row r="194" ht="14.25" customHeight="1" spans="1:6">
      <c r="A194" s="153">
        <v>45139</v>
      </c>
      <c r="B194" s="154">
        <v>45140</v>
      </c>
      <c r="C194" s="155" t="s">
        <v>238</v>
      </c>
      <c r="D194" s="155" t="s">
        <v>62</v>
      </c>
      <c r="E194" s="155" t="s">
        <v>43</v>
      </c>
      <c r="F194" s="155" t="s">
        <v>39</v>
      </c>
    </row>
    <row r="195" ht="14.25" customHeight="1" spans="1:6">
      <c r="A195" s="153">
        <v>45139</v>
      </c>
      <c r="B195" s="154">
        <v>45140</v>
      </c>
      <c r="C195" s="155" t="s">
        <v>239</v>
      </c>
      <c r="D195" s="155" t="s">
        <v>62</v>
      </c>
      <c r="E195" s="155" t="s">
        <v>38</v>
      </c>
      <c r="F195" s="155" t="s">
        <v>57</v>
      </c>
    </row>
    <row r="196" ht="14.25" customHeight="1" spans="1:6">
      <c r="A196" s="153">
        <v>45139</v>
      </c>
      <c r="B196" s="154">
        <v>45140</v>
      </c>
      <c r="C196" s="155" t="s">
        <v>240</v>
      </c>
      <c r="D196" s="155" t="s">
        <v>62</v>
      </c>
      <c r="E196" s="155" t="s">
        <v>34</v>
      </c>
      <c r="F196" s="155" t="s">
        <v>39</v>
      </c>
    </row>
    <row r="197" ht="14.25" customHeight="1" spans="1:6">
      <c r="A197" s="153">
        <v>45139</v>
      </c>
      <c r="B197" s="154">
        <v>45140</v>
      </c>
      <c r="C197" s="155" t="s">
        <v>241</v>
      </c>
      <c r="D197" s="155" t="s">
        <v>33</v>
      </c>
      <c r="E197" s="155" t="s">
        <v>43</v>
      </c>
      <c r="F197" s="155" t="s">
        <v>57</v>
      </c>
    </row>
    <row r="198" ht="14.25" customHeight="1" spans="1:6">
      <c r="A198" s="153">
        <v>45139</v>
      </c>
      <c r="B198" s="154">
        <v>45140</v>
      </c>
      <c r="C198" s="155" t="s">
        <v>242</v>
      </c>
      <c r="D198" s="155" t="s">
        <v>62</v>
      </c>
      <c r="E198" s="155" t="s">
        <v>43</v>
      </c>
      <c r="F198" s="155" t="s">
        <v>39</v>
      </c>
    </row>
    <row r="199" ht="14.25" customHeight="1" spans="1:6">
      <c r="A199" s="153">
        <v>45139</v>
      </c>
      <c r="B199" s="154">
        <v>45140</v>
      </c>
      <c r="C199" s="155" t="s">
        <v>243</v>
      </c>
      <c r="D199" s="156" t="s">
        <v>129</v>
      </c>
      <c r="E199" s="155" t="s">
        <v>43</v>
      </c>
      <c r="F199" s="155" t="s">
        <v>39</v>
      </c>
    </row>
    <row r="200" ht="14.25" customHeight="1" spans="1:6">
      <c r="A200" s="153">
        <v>45139</v>
      </c>
      <c r="B200" s="154">
        <v>45140</v>
      </c>
      <c r="C200" s="155" t="s">
        <v>244</v>
      </c>
      <c r="D200" s="155" t="s">
        <v>33</v>
      </c>
      <c r="E200" s="155" t="s">
        <v>43</v>
      </c>
      <c r="F200" s="155" t="s">
        <v>39</v>
      </c>
    </row>
    <row r="201" ht="14.25" customHeight="1" spans="1:6">
      <c r="A201" s="153">
        <v>45139</v>
      </c>
      <c r="B201" s="154">
        <v>45140</v>
      </c>
      <c r="C201" s="155" t="s">
        <v>245</v>
      </c>
      <c r="D201" s="155" t="s">
        <v>62</v>
      </c>
      <c r="E201" s="155" t="s">
        <v>34</v>
      </c>
      <c r="F201" s="155" t="s">
        <v>35</v>
      </c>
    </row>
    <row r="202" ht="14.25" customHeight="1" spans="1:6">
      <c r="A202" s="153">
        <v>45139</v>
      </c>
      <c r="B202" s="154">
        <v>45140</v>
      </c>
      <c r="C202" s="155" t="s">
        <v>246</v>
      </c>
      <c r="D202" s="155" t="s">
        <v>62</v>
      </c>
      <c r="E202" s="155" t="s">
        <v>43</v>
      </c>
      <c r="F202" s="155" t="s">
        <v>39</v>
      </c>
    </row>
    <row r="203" ht="14.25" customHeight="1" spans="1:6">
      <c r="A203" s="153">
        <v>45139</v>
      </c>
      <c r="B203" s="154">
        <v>45140</v>
      </c>
      <c r="C203" s="155" t="s">
        <v>247</v>
      </c>
      <c r="D203" s="155" t="s">
        <v>62</v>
      </c>
      <c r="E203" s="155" t="s">
        <v>34</v>
      </c>
      <c r="F203" s="155" t="s">
        <v>35</v>
      </c>
    </row>
    <row r="204" ht="14.25" customHeight="1" spans="1:6">
      <c r="A204" s="153">
        <v>45139</v>
      </c>
      <c r="B204" s="154">
        <v>45140</v>
      </c>
      <c r="C204" s="155" t="s">
        <v>248</v>
      </c>
      <c r="D204" s="155" t="s">
        <v>62</v>
      </c>
      <c r="E204" s="155" t="s">
        <v>34</v>
      </c>
      <c r="F204" s="155" t="s">
        <v>35</v>
      </c>
    </row>
    <row r="205" ht="14.25" customHeight="1" spans="1:6">
      <c r="A205" s="153">
        <v>45139</v>
      </c>
      <c r="B205" s="154">
        <v>45140</v>
      </c>
      <c r="C205" s="155" t="s">
        <v>249</v>
      </c>
      <c r="D205" s="155" t="s">
        <v>62</v>
      </c>
      <c r="E205" s="155" t="s">
        <v>43</v>
      </c>
      <c r="F205" s="155" t="s">
        <v>39</v>
      </c>
    </row>
    <row r="206" ht="14.25" customHeight="1" spans="1:6">
      <c r="A206" s="153">
        <v>45139</v>
      </c>
      <c r="B206" s="154">
        <v>45140</v>
      </c>
      <c r="C206" s="155" t="s">
        <v>250</v>
      </c>
      <c r="D206" s="155" t="s">
        <v>62</v>
      </c>
      <c r="E206" s="155" t="s">
        <v>38</v>
      </c>
      <c r="F206" s="155" t="s">
        <v>35</v>
      </c>
    </row>
    <row r="207" ht="14.25" customHeight="1" spans="1:6">
      <c r="A207" s="153">
        <v>45139</v>
      </c>
      <c r="B207" s="154">
        <v>45140</v>
      </c>
      <c r="C207" s="155" t="s">
        <v>251</v>
      </c>
      <c r="D207" s="156" t="s">
        <v>37</v>
      </c>
      <c r="E207" s="155" t="s">
        <v>38</v>
      </c>
      <c r="F207" s="155" t="s">
        <v>39</v>
      </c>
    </row>
    <row r="208" ht="14.25" customHeight="1" spans="1:6">
      <c r="A208" s="153">
        <v>45139</v>
      </c>
      <c r="B208" s="154">
        <v>45140</v>
      </c>
      <c r="C208" s="155" t="s">
        <v>252</v>
      </c>
      <c r="D208" s="156" t="s">
        <v>37</v>
      </c>
      <c r="E208" s="155" t="s">
        <v>38</v>
      </c>
      <c r="F208" s="155" t="s">
        <v>39</v>
      </c>
    </row>
    <row r="209" ht="14.25" customHeight="1" spans="1:6">
      <c r="A209" s="153">
        <v>45139</v>
      </c>
      <c r="B209" s="154">
        <v>45140</v>
      </c>
      <c r="C209" s="155" t="s">
        <v>253</v>
      </c>
      <c r="D209" s="156" t="s">
        <v>37</v>
      </c>
      <c r="E209" s="155" t="s">
        <v>38</v>
      </c>
      <c r="F209" s="155" t="s">
        <v>39</v>
      </c>
    </row>
    <row r="210" ht="14.25" customHeight="1" spans="1:6">
      <c r="A210" s="153">
        <v>45139</v>
      </c>
      <c r="B210" s="154">
        <v>45140</v>
      </c>
      <c r="C210" s="155" t="s">
        <v>254</v>
      </c>
      <c r="D210" s="155" t="s">
        <v>62</v>
      </c>
      <c r="E210" s="155" t="s">
        <v>50</v>
      </c>
      <c r="F210" s="155" t="s">
        <v>35</v>
      </c>
    </row>
    <row r="211" ht="14.25" customHeight="1" spans="1:6">
      <c r="A211" s="153">
        <v>45139</v>
      </c>
      <c r="B211" s="154">
        <v>45140</v>
      </c>
      <c r="C211" s="155" t="s">
        <v>255</v>
      </c>
      <c r="D211" s="156" t="s">
        <v>37</v>
      </c>
      <c r="E211" s="155" t="s">
        <v>43</v>
      </c>
      <c r="F211" s="155" t="s">
        <v>39</v>
      </c>
    </row>
    <row r="212" ht="14.25" customHeight="1" spans="1:6">
      <c r="A212" s="153">
        <v>45139</v>
      </c>
      <c r="B212" s="154">
        <v>45140</v>
      </c>
      <c r="C212" s="155" t="s">
        <v>256</v>
      </c>
      <c r="D212" s="155" t="s">
        <v>62</v>
      </c>
      <c r="E212" s="155" t="s">
        <v>43</v>
      </c>
      <c r="F212" s="155" t="s">
        <v>39</v>
      </c>
    </row>
    <row r="213" ht="14.25" customHeight="1" spans="1:6">
      <c r="A213" s="153">
        <v>45139</v>
      </c>
      <c r="B213" s="154">
        <v>45140</v>
      </c>
      <c r="C213" s="155" t="s">
        <v>257</v>
      </c>
      <c r="D213" s="156" t="s">
        <v>37</v>
      </c>
      <c r="E213" s="155" t="s">
        <v>38</v>
      </c>
      <c r="F213" s="155" t="s">
        <v>39</v>
      </c>
    </row>
    <row r="214" ht="14.25" customHeight="1" spans="1:6">
      <c r="A214" s="153">
        <v>45139</v>
      </c>
      <c r="B214" s="154">
        <v>45140</v>
      </c>
      <c r="C214" s="155" t="s">
        <v>258</v>
      </c>
      <c r="D214" s="155" t="s">
        <v>62</v>
      </c>
      <c r="E214" s="155" t="s">
        <v>38</v>
      </c>
      <c r="F214" s="155" t="s">
        <v>57</v>
      </c>
    </row>
    <row r="215" ht="14.25" customHeight="1" spans="1:6">
      <c r="A215" s="153">
        <v>45139</v>
      </c>
      <c r="B215" s="154">
        <v>45140</v>
      </c>
      <c r="C215" s="155" t="s">
        <v>259</v>
      </c>
      <c r="D215" s="156" t="s">
        <v>37</v>
      </c>
      <c r="E215" s="155" t="s">
        <v>38</v>
      </c>
      <c r="F215" s="155" t="s">
        <v>39</v>
      </c>
    </row>
    <row r="216" ht="14.25" customHeight="1" spans="1:6">
      <c r="A216" s="153">
        <v>45139</v>
      </c>
      <c r="B216" s="154">
        <v>45140</v>
      </c>
      <c r="C216" s="155" t="s">
        <v>260</v>
      </c>
      <c r="D216" s="155" t="s">
        <v>62</v>
      </c>
      <c r="E216" s="155" t="s">
        <v>43</v>
      </c>
      <c r="F216" s="155" t="s">
        <v>39</v>
      </c>
    </row>
    <row r="217" ht="14.25" customHeight="1" spans="1:6">
      <c r="A217" s="153">
        <v>45139</v>
      </c>
      <c r="B217" s="154">
        <v>45140</v>
      </c>
      <c r="C217" s="155" t="s">
        <v>261</v>
      </c>
      <c r="D217" s="155" t="s">
        <v>62</v>
      </c>
      <c r="E217" s="155" t="s">
        <v>43</v>
      </c>
      <c r="F217" s="155" t="s">
        <v>39</v>
      </c>
    </row>
    <row r="218" ht="14.25" customHeight="1" spans="1:6">
      <c r="A218" s="153">
        <v>45139</v>
      </c>
      <c r="B218" s="154">
        <v>45140</v>
      </c>
      <c r="C218" s="155" t="s">
        <v>262</v>
      </c>
      <c r="D218" s="156" t="s">
        <v>37</v>
      </c>
      <c r="E218" s="155" t="s">
        <v>38</v>
      </c>
      <c r="F218" s="155" t="s">
        <v>39</v>
      </c>
    </row>
    <row r="219" ht="14.25" customHeight="1" spans="1:6">
      <c r="A219" s="153">
        <v>45139</v>
      </c>
      <c r="B219" s="154">
        <v>45140</v>
      </c>
      <c r="C219" s="155" t="s">
        <v>263</v>
      </c>
      <c r="D219" s="156" t="s">
        <v>37</v>
      </c>
      <c r="E219" s="155" t="s">
        <v>38</v>
      </c>
      <c r="F219" s="155" t="s">
        <v>39</v>
      </c>
    </row>
    <row r="220" ht="14.25" customHeight="1" spans="1:6">
      <c r="A220" s="153">
        <v>45139</v>
      </c>
      <c r="B220" s="154">
        <v>45140</v>
      </c>
      <c r="C220" s="155" t="s">
        <v>264</v>
      </c>
      <c r="D220" s="156" t="s">
        <v>129</v>
      </c>
      <c r="E220" s="155" t="s">
        <v>43</v>
      </c>
      <c r="F220" s="155" t="s">
        <v>39</v>
      </c>
    </row>
    <row r="221" ht="14.25" customHeight="1" spans="1:6">
      <c r="A221" s="153">
        <v>45139</v>
      </c>
      <c r="B221" s="154">
        <v>45140</v>
      </c>
      <c r="C221" s="155" t="s">
        <v>265</v>
      </c>
      <c r="D221" s="155" t="s">
        <v>62</v>
      </c>
      <c r="E221" s="155" t="s">
        <v>38</v>
      </c>
      <c r="F221" s="155" t="s">
        <v>57</v>
      </c>
    </row>
    <row r="222" ht="14.25" customHeight="1" spans="1:6">
      <c r="A222" s="153">
        <v>45139</v>
      </c>
      <c r="B222" s="154">
        <v>45140</v>
      </c>
      <c r="C222" s="155" t="s">
        <v>266</v>
      </c>
      <c r="D222" s="155" t="s">
        <v>62</v>
      </c>
      <c r="E222" s="155" t="s">
        <v>38</v>
      </c>
      <c r="F222" s="155" t="s">
        <v>35</v>
      </c>
    </row>
    <row r="223" ht="14.25" customHeight="1" spans="1:6">
      <c r="A223" s="153">
        <v>45139</v>
      </c>
      <c r="B223" s="154">
        <v>45140</v>
      </c>
      <c r="C223" s="155" t="s">
        <v>267</v>
      </c>
      <c r="D223" s="155" t="s">
        <v>62</v>
      </c>
      <c r="E223" s="155" t="s">
        <v>43</v>
      </c>
      <c r="F223" s="155" t="s">
        <v>57</v>
      </c>
    </row>
    <row r="224" ht="14.25" customHeight="1" spans="1:6">
      <c r="A224" s="153">
        <v>45139</v>
      </c>
      <c r="B224" s="154">
        <v>45140</v>
      </c>
      <c r="C224" s="155" t="s">
        <v>268</v>
      </c>
      <c r="D224" s="155" t="s">
        <v>33</v>
      </c>
      <c r="E224" s="155" t="s">
        <v>34</v>
      </c>
      <c r="F224" s="155" t="s">
        <v>57</v>
      </c>
    </row>
    <row r="225" ht="14.25" customHeight="1" spans="1:6">
      <c r="A225" s="153">
        <v>45139</v>
      </c>
      <c r="B225" s="154">
        <v>45140</v>
      </c>
      <c r="C225" s="155" t="s">
        <v>269</v>
      </c>
      <c r="D225" s="156" t="s">
        <v>129</v>
      </c>
      <c r="E225" s="155" t="s">
        <v>43</v>
      </c>
      <c r="F225" s="155" t="s">
        <v>39</v>
      </c>
    </row>
    <row r="226" ht="14.25" customHeight="1" spans="1:6">
      <c r="A226" s="153">
        <v>45139</v>
      </c>
      <c r="B226" s="154">
        <v>45140</v>
      </c>
      <c r="C226" s="155" t="s">
        <v>270</v>
      </c>
      <c r="D226" s="155" t="s">
        <v>62</v>
      </c>
      <c r="E226" s="155" t="s">
        <v>43</v>
      </c>
      <c r="F226" s="155" t="s">
        <v>39</v>
      </c>
    </row>
    <row r="227" ht="14.25" customHeight="1" spans="1:6">
      <c r="A227" s="153">
        <v>45139</v>
      </c>
      <c r="B227" s="154">
        <v>45140</v>
      </c>
      <c r="C227" s="155" t="s">
        <v>271</v>
      </c>
      <c r="D227" s="155" t="s">
        <v>62</v>
      </c>
      <c r="E227" s="155" t="s">
        <v>34</v>
      </c>
      <c r="F227" s="155" t="s">
        <v>57</v>
      </c>
    </row>
    <row r="228" ht="14.25" customHeight="1" spans="1:6">
      <c r="A228" s="153">
        <v>45139</v>
      </c>
      <c r="B228" s="154">
        <v>45140</v>
      </c>
      <c r="C228" s="155" t="s">
        <v>272</v>
      </c>
      <c r="D228" s="155" t="s">
        <v>62</v>
      </c>
      <c r="E228" s="155" t="s">
        <v>43</v>
      </c>
      <c r="F228" s="155" t="s">
        <v>35</v>
      </c>
    </row>
    <row r="229" ht="14.25" customHeight="1" spans="1:6">
      <c r="A229" s="153">
        <v>45139</v>
      </c>
      <c r="B229" s="154">
        <v>45140</v>
      </c>
      <c r="C229" s="155" t="s">
        <v>273</v>
      </c>
      <c r="D229" s="156" t="s">
        <v>37</v>
      </c>
      <c r="E229" s="155" t="s">
        <v>38</v>
      </c>
      <c r="F229" s="155" t="s">
        <v>39</v>
      </c>
    </row>
    <row r="230" ht="14.25" customHeight="1" spans="1:6">
      <c r="A230" s="153">
        <v>45139</v>
      </c>
      <c r="B230" s="154">
        <v>45140</v>
      </c>
      <c r="C230" s="155" t="s">
        <v>274</v>
      </c>
      <c r="D230" s="156" t="s">
        <v>129</v>
      </c>
      <c r="E230" s="155" t="s">
        <v>38</v>
      </c>
      <c r="F230" s="155" t="s">
        <v>39</v>
      </c>
    </row>
    <row r="231" ht="14.25" customHeight="1" spans="1:6">
      <c r="A231" s="153">
        <v>45139</v>
      </c>
      <c r="B231" s="154">
        <v>45140</v>
      </c>
      <c r="C231" s="155" t="s">
        <v>275</v>
      </c>
      <c r="D231" s="156" t="s">
        <v>37</v>
      </c>
      <c r="E231" s="155" t="s">
        <v>38</v>
      </c>
      <c r="F231" s="155" t="s">
        <v>39</v>
      </c>
    </row>
    <row r="232" ht="14.25" customHeight="1" spans="1:6">
      <c r="A232" s="153">
        <v>45139</v>
      </c>
      <c r="B232" s="154">
        <v>45140</v>
      </c>
      <c r="C232" s="155" t="s">
        <v>276</v>
      </c>
      <c r="D232" s="155" t="s">
        <v>62</v>
      </c>
      <c r="E232" s="155" t="s">
        <v>43</v>
      </c>
      <c r="F232" s="155" t="s">
        <v>39</v>
      </c>
    </row>
    <row r="233" ht="14.25" customHeight="1" spans="1:6">
      <c r="A233" s="153">
        <v>45139</v>
      </c>
      <c r="B233" s="154">
        <v>45140</v>
      </c>
      <c r="C233" s="155" t="s">
        <v>277</v>
      </c>
      <c r="D233" s="156" t="s">
        <v>37</v>
      </c>
      <c r="E233" s="155" t="s">
        <v>38</v>
      </c>
      <c r="F233" s="155" t="s">
        <v>39</v>
      </c>
    </row>
    <row r="234" ht="14.25" customHeight="1" spans="1:6">
      <c r="A234" s="153">
        <v>45139</v>
      </c>
      <c r="B234" s="154">
        <v>45140</v>
      </c>
      <c r="C234" s="155" t="s">
        <v>278</v>
      </c>
      <c r="D234" s="155" t="s">
        <v>62</v>
      </c>
      <c r="E234" s="155" t="s">
        <v>43</v>
      </c>
      <c r="F234" s="155" t="s">
        <v>39</v>
      </c>
    </row>
    <row r="235" ht="14.25" customHeight="1" spans="1:6">
      <c r="A235" s="153">
        <v>45139</v>
      </c>
      <c r="B235" s="154">
        <v>45140</v>
      </c>
      <c r="C235" s="155" t="s">
        <v>279</v>
      </c>
      <c r="D235" s="156" t="s">
        <v>129</v>
      </c>
      <c r="E235" s="155" t="s">
        <v>43</v>
      </c>
      <c r="F235" s="155" t="s">
        <v>39</v>
      </c>
    </row>
    <row r="236" ht="14.25" customHeight="1" spans="1:6">
      <c r="A236" s="153">
        <v>45139</v>
      </c>
      <c r="B236" s="154">
        <v>45140</v>
      </c>
      <c r="C236" s="155" t="s">
        <v>280</v>
      </c>
      <c r="D236" s="156" t="s">
        <v>37</v>
      </c>
      <c r="E236" s="155" t="s">
        <v>38</v>
      </c>
      <c r="F236" s="155" t="s">
        <v>39</v>
      </c>
    </row>
    <row r="237" ht="14.25" customHeight="1" spans="1:6">
      <c r="A237" s="153">
        <v>45139</v>
      </c>
      <c r="B237" s="154">
        <v>45140</v>
      </c>
      <c r="C237" s="155" t="s">
        <v>281</v>
      </c>
      <c r="D237" s="156" t="s">
        <v>37</v>
      </c>
      <c r="E237" s="155" t="s">
        <v>38</v>
      </c>
      <c r="F237" s="155" t="s">
        <v>39</v>
      </c>
    </row>
    <row r="238" ht="14.25" customHeight="1" spans="1:6">
      <c r="A238" s="153">
        <v>45139</v>
      </c>
      <c r="B238" s="154">
        <v>45140</v>
      </c>
      <c r="C238" s="155" t="s">
        <v>282</v>
      </c>
      <c r="D238" s="156" t="s">
        <v>37</v>
      </c>
      <c r="E238" s="155" t="s">
        <v>38</v>
      </c>
      <c r="F238" s="155" t="s">
        <v>39</v>
      </c>
    </row>
    <row r="239" ht="14.25" customHeight="1" spans="1:6">
      <c r="A239" s="153">
        <v>45139</v>
      </c>
      <c r="B239" s="154">
        <v>45140</v>
      </c>
      <c r="C239" s="155" t="s">
        <v>283</v>
      </c>
      <c r="D239" s="156" t="s">
        <v>37</v>
      </c>
      <c r="E239" s="155" t="s">
        <v>38</v>
      </c>
      <c r="F239" s="155" t="s">
        <v>39</v>
      </c>
    </row>
    <row r="240" ht="14.25" customHeight="1" spans="1:6">
      <c r="A240" s="153">
        <v>45139</v>
      </c>
      <c r="B240" s="154">
        <v>45140</v>
      </c>
      <c r="C240" s="155" t="s">
        <v>284</v>
      </c>
      <c r="D240" s="155" t="s">
        <v>62</v>
      </c>
      <c r="E240" s="155" t="s">
        <v>43</v>
      </c>
      <c r="F240" s="155" t="s">
        <v>39</v>
      </c>
    </row>
    <row r="241" ht="14.25" customHeight="1" spans="1:6">
      <c r="A241" s="153">
        <v>45139</v>
      </c>
      <c r="B241" s="154">
        <v>45140</v>
      </c>
      <c r="C241" s="155" t="s">
        <v>285</v>
      </c>
      <c r="D241" s="156" t="s">
        <v>37</v>
      </c>
      <c r="E241" s="155" t="s">
        <v>38</v>
      </c>
      <c r="F241" s="155" t="s">
        <v>39</v>
      </c>
    </row>
    <row r="242" ht="14.25" customHeight="1" spans="1:6">
      <c r="A242" s="153">
        <v>45139</v>
      </c>
      <c r="B242" s="154">
        <v>45140</v>
      </c>
      <c r="C242" s="155" t="s">
        <v>286</v>
      </c>
      <c r="D242" s="156" t="s">
        <v>37</v>
      </c>
      <c r="E242" s="155" t="s">
        <v>38</v>
      </c>
      <c r="F242" s="155" t="s">
        <v>39</v>
      </c>
    </row>
    <row r="243" ht="14.25" customHeight="1" spans="1:6">
      <c r="A243" s="153">
        <v>45139</v>
      </c>
      <c r="B243" s="154">
        <v>45140</v>
      </c>
      <c r="C243" s="155" t="s">
        <v>287</v>
      </c>
      <c r="D243" s="155" t="s">
        <v>62</v>
      </c>
      <c r="E243" s="155" t="s">
        <v>43</v>
      </c>
      <c r="F243" s="155" t="s">
        <v>39</v>
      </c>
    </row>
    <row r="244" ht="14.25" customHeight="1" spans="1:6">
      <c r="A244" s="153">
        <v>45139</v>
      </c>
      <c r="B244" s="154">
        <v>45140</v>
      </c>
      <c r="C244" s="155" t="s">
        <v>288</v>
      </c>
      <c r="D244" s="155" t="s">
        <v>62</v>
      </c>
      <c r="E244" s="155" t="s">
        <v>34</v>
      </c>
      <c r="F244" s="155" t="s">
        <v>35</v>
      </c>
    </row>
    <row r="245" ht="14.25" customHeight="1" spans="1:6">
      <c r="A245" s="153">
        <v>45139</v>
      </c>
      <c r="B245" s="154">
        <v>45140</v>
      </c>
      <c r="C245" s="155" t="s">
        <v>289</v>
      </c>
      <c r="D245" s="155" t="s">
        <v>62</v>
      </c>
      <c r="E245" s="155" t="s">
        <v>38</v>
      </c>
      <c r="F245" s="155" t="s">
        <v>39</v>
      </c>
    </row>
    <row r="246" ht="14.25" customHeight="1" spans="1:6">
      <c r="A246" s="153">
        <v>45139</v>
      </c>
      <c r="B246" s="154">
        <v>45140</v>
      </c>
      <c r="C246" s="155" t="s">
        <v>290</v>
      </c>
      <c r="D246" s="156" t="s">
        <v>37</v>
      </c>
      <c r="E246" s="155" t="s">
        <v>38</v>
      </c>
      <c r="F246" s="155" t="s">
        <v>39</v>
      </c>
    </row>
    <row r="247" ht="14.25" customHeight="1" spans="1:6">
      <c r="A247" s="153">
        <v>45139</v>
      </c>
      <c r="B247" s="154">
        <v>45140</v>
      </c>
      <c r="C247" s="155" t="s">
        <v>291</v>
      </c>
      <c r="D247" s="155" t="s">
        <v>62</v>
      </c>
      <c r="E247" s="155" t="s">
        <v>38</v>
      </c>
      <c r="F247" s="155" t="s">
        <v>35</v>
      </c>
    </row>
    <row r="248" ht="14.25" customHeight="1" spans="1:6">
      <c r="A248" s="153">
        <v>45139</v>
      </c>
      <c r="B248" s="154">
        <v>45140</v>
      </c>
      <c r="C248" s="155" t="s">
        <v>292</v>
      </c>
      <c r="D248" s="155" t="s">
        <v>33</v>
      </c>
      <c r="E248" s="155" t="s">
        <v>34</v>
      </c>
      <c r="F248" s="155" t="s">
        <v>39</v>
      </c>
    </row>
    <row r="249" ht="14.25" customHeight="1" spans="1:6">
      <c r="A249" s="153">
        <v>45139</v>
      </c>
      <c r="B249" s="154">
        <v>45140</v>
      </c>
      <c r="C249" s="155" t="s">
        <v>293</v>
      </c>
      <c r="D249" s="155" t="s">
        <v>62</v>
      </c>
      <c r="E249" s="155" t="s">
        <v>34</v>
      </c>
      <c r="F249" s="155" t="s">
        <v>35</v>
      </c>
    </row>
    <row r="250" ht="14.25" customHeight="1" spans="1:6">
      <c r="A250" s="153">
        <v>45139</v>
      </c>
      <c r="B250" s="154">
        <v>45140</v>
      </c>
      <c r="C250" s="155" t="s">
        <v>294</v>
      </c>
      <c r="D250" s="155" t="s">
        <v>62</v>
      </c>
      <c r="E250" s="155" t="s">
        <v>43</v>
      </c>
      <c r="F250" s="155" t="s">
        <v>39</v>
      </c>
    </row>
    <row r="251" ht="14.25" customHeight="1" spans="1:6">
      <c r="A251" s="153">
        <v>45139</v>
      </c>
      <c r="B251" s="154">
        <v>45140</v>
      </c>
      <c r="C251" s="155" t="s">
        <v>295</v>
      </c>
      <c r="D251" s="155" t="s">
        <v>33</v>
      </c>
      <c r="E251" s="155" t="s">
        <v>38</v>
      </c>
      <c r="F251" s="155" t="s">
        <v>57</v>
      </c>
    </row>
    <row r="252" ht="14.25" customHeight="1" spans="1:6">
      <c r="A252" s="153">
        <v>45139</v>
      </c>
      <c r="B252" s="154">
        <v>45140</v>
      </c>
      <c r="C252" s="155" t="s">
        <v>296</v>
      </c>
      <c r="D252" s="156" t="s">
        <v>37</v>
      </c>
      <c r="E252" s="155" t="s">
        <v>38</v>
      </c>
      <c r="F252" s="155" t="s">
        <v>39</v>
      </c>
    </row>
    <row r="253" ht="14.25" customHeight="1" spans="1:6">
      <c r="A253" s="153">
        <v>45139</v>
      </c>
      <c r="B253" s="154">
        <v>45140</v>
      </c>
      <c r="C253" s="155" t="s">
        <v>297</v>
      </c>
      <c r="D253" s="155" t="s">
        <v>62</v>
      </c>
      <c r="E253" s="155" t="s">
        <v>43</v>
      </c>
      <c r="F253" s="155" t="s">
        <v>35</v>
      </c>
    </row>
    <row r="254" ht="14.25" customHeight="1" spans="1:6">
      <c r="A254" s="153">
        <v>45139</v>
      </c>
      <c r="B254" s="154">
        <v>45140</v>
      </c>
      <c r="C254" s="155" t="s">
        <v>298</v>
      </c>
      <c r="D254" s="155" t="s">
        <v>62</v>
      </c>
      <c r="E254" s="155" t="s">
        <v>38</v>
      </c>
      <c r="F254" s="155" t="s">
        <v>35</v>
      </c>
    </row>
    <row r="255" ht="14.25" customHeight="1" spans="1:6">
      <c r="A255" s="153">
        <v>45139</v>
      </c>
      <c r="B255" s="154">
        <v>45140</v>
      </c>
      <c r="C255" s="155" t="s">
        <v>299</v>
      </c>
      <c r="D255" s="155" t="s">
        <v>62</v>
      </c>
      <c r="E255" s="155" t="s">
        <v>34</v>
      </c>
      <c r="F255" s="155" t="s">
        <v>39</v>
      </c>
    </row>
    <row r="256" ht="14.25" customHeight="1" spans="1:6">
      <c r="A256" s="153">
        <v>45139</v>
      </c>
      <c r="B256" s="154">
        <v>45140</v>
      </c>
      <c r="C256" s="155" t="s">
        <v>300</v>
      </c>
      <c r="D256" s="156" t="s">
        <v>37</v>
      </c>
      <c r="E256" s="155" t="s">
        <v>38</v>
      </c>
      <c r="F256" s="155" t="s">
        <v>39</v>
      </c>
    </row>
    <row r="257" ht="14.25" customHeight="1" spans="1:6">
      <c r="A257" s="153">
        <v>45139</v>
      </c>
      <c r="B257" s="154">
        <v>45140</v>
      </c>
      <c r="C257" s="155" t="s">
        <v>301</v>
      </c>
      <c r="D257" s="155" t="s">
        <v>33</v>
      </c>
      <c r="E257" s="155" t="s">
        <v>34</v>
      </c>
      <c r="F257" s="155" t="s">
        <v>39</v>
      </c>
    </row>
    <row r="258" ht="14.25" customHeight="1" spans="1:6">
      <c r="A258" s="153">
        <v>45139</v>
      </c>
      <c r="B258" s="154">
        <v>45140</v>
      </c>
      <c r="C258" s="155" t="s">
        <v>302</v>
      </c>
      <c r="D258" s="155" t="s">
        <v>62</v>
      </c>
      <c r="E258" s="155" t="s">
        <v>38</v>
      </c>
      <c r="F258" s="155" t="s">
        <v>57</v>
      </c>
    </row>
    <row r="259" ht="14.25" customHeight="1" spans="1:6">
      <c r="A259" s="153">
        <v>45139</v>
      </c>
      <c r="B259" s="154">
        <v>45140</v>
      </c>
      <c r="C259" s="155" t="s">
        <v>303</v>
      </c>
      <c r="D259" s="155" t="s">
        <v>62</v>
      </c>
      <c r="E259" s="155" t="s">
        <v>43</v>
      </c>
      <c r="F259" s="155" t="s">
        <v>39</v>
      </c>
    </row>
    <row r="260" ht="14.25" customHeight="1" spans="1:6">
      <c r="A260" s="153">
        <v>45139</v>
      </c>
      <c r="B260" s="154">
        <v>45140</v>
      </c>
      <c r="C260" s="155" t="s">
        <v>304</v>
      </c>
      <c r="D260" s="155" t="s">
        <v>62</v>
      </c>
      <c r="E260" s="155" t="s">
        <v>43</v>
      </c>
      <c r="F260" s="155" t="s">
        <v>39</v>
      </c>
    </row>
    <row r="261" ht="14.25" customHeight="1" spans="1:6">
      <c r="A261" s="153">
        <v>45139</v>
      </c>
      <c r="B261" s="154">
        <v>45140</v>
      </c>
      <c r="C261" s="155" t="s">
        <v>305</v>
      </c>
      <c r="D261" s="156" t="s">
        <v>37</v>
      </c>
      <c r="E261" s="155" t="s">
        <v>38</v>
      </c>
      <c r="F261" s="155" t="s">
        <v>39</v>
      </c>
    </row>
    <row r="262" ht="14.25" customHeight="1" spans="1:6">
      <c r="A262" s="153">
        <v>45139</v>
      </c>
      <c r="B262" s="154">
        <v>45140</v>
      </c>
      <c r="C262" s="155" t="s">
        <v>306</v>
      </c>
      <c r="D262" s="156" t="s">
        <v>37</v>
      </c>
      <c r="E262" s="155" t="s">
        <v>38</v>
      </c>
      <c r="F262" s="155" t="s">
        <v>39</v>
      </c>
    </row>
    <row r="263" ht="14.25" customHeight="1" spans="1:6">
      <c r="A263" s="153">
        <v>45139</v>
      </c>
      <c r="B263" s="154">
        <v>45140</v>
      </c>
      <c r="C263" s="155" t="s">
        <v>307</v>
      </c>
      <c r="D263" s="155" t="s">
        <v>62</v>
      </c>
      <c r="E263" s="155" t="s">
        <v>38</v>
      </c>
      <c r="F263" s="155" t="s">
        <v>57</v>
      </c>
    </row>
    <row r="264" ht="14.25" customHeight="1" spans="1:6">
      <c r="A264" s="153">
        <v>45139</v>
      </c>
      <c r="B264" s="154">
        <v>45140</v>
      </c>
      <c r="C264" s="155" t="s">
        <v>308</v>
      </c>
      <c r="D264" s="156" t="s">
        <v>37</v>
      </c>
      <c r="E264" s="155" t="s">
        <v>38</v>
      </c>
      <c r="F264" s="155" t="s">
        <v>39</v>
      </c>
    </row>
    <row r="265" ht="14.25" customHeight="1" spans="1:6">
      <c r="A265" s="153">
        <v>45139</v>
      </c>
      <c r="B265" s="154">
        <v>45140</v>
      </c>
      <c r="C265" s="155" t="s">
        <v>309</v>
      </c>
      <c r="D265" s="156" t="s">
        <v>37</v>
      </c>
      <c r="E265" s="155" t="s">
        <v>38</v>
      </c>
      <c r="F265" s="155" t="s">
        <v>39</v>
      </c>
    </row>
    <row r="266" ht="14.25" customHeight="1" spans="1:6">
      <c r="A266" s="153">
        <v>45139</v>
      </c>
      <c r="B266" s="154">
        <v>45140</v>
      </c>
      <c r="C266" s="155" t="s">
        <v>310</v>
      </c>
      <c r="D266" s="155" t="s">
        <v>62</v>
      </c>
      <c r="E266" s="155" t="s">
        <v>38</v>
      </c>
      <c r="F266" s="155" t="s">
        <v>39</v>
      </c>
    </row>
    <row r="267" ht="14.25" customHeight="1" spans="1:6">
      <c r="A267" s="153">
        <v>45139</v>
      </c>
      <c r="B267" s="154">
        <v>45140</v>
      </c>
      <c r="C267" s="155" t="s">
        <v>311</v>
      </c>
      <c r="D267" s="155" t="s">
        <v>62</v>
      </c>
      <c r="E267" s="155" t="s">
        <v>34</v>
      </c>
      <c r="F267" s="155" t="s">
        <v>35</v>
      </c>
    </row>
    <row r="268" ht="14.25" customHeight="1" spans="1:6">
      <c r="A268" s="153">
        <v>45139</v>
      </c>
      <c r="B268" s="154">
        <v>45140</v>
      </c>
      <c r="C268" s="155" t="s">
        <v>312</v>
      </c>
      <c r="D268" s="156" t="s">
        <v>37</v>
      </c>
      <c r="E268" s="155" t="s">
        <v>38</v>
      </c>
      <c r="F268" s="155" t="s">
        <v>39</v>
      </c>
    </row>
    <row r="269" ht="14.25" customHeight="1" spans="1:6">
      <c r="A269" s="153">
        <v>45139</v>
      </c>
      <c r="B269" s="154">
        <v>45140</v>
      </c>
      <c r="C269" s="155" t="s">
        <v>313</v>
      </c>
      <c r="D269" s="155" t="s">
        <v>62</v>
      </c>
      <c r="E269" s="155" t="s">
        <v>38</v>
      </c>
      <c r="F269" s="155" t="s">
        <v>57</v>
      </c>
    </row>
    <row r="270" ht="14.25" customHeight="1" spans="1:6">
      <c r="A270" s="153">
        <v>45139</v>
      </c>
      <c r="B270" s="154">
        <v>45140</v>
      </c>
      <c r="C270" s="155" t="s">
        <v>314</v>
      </c>
      <c r="D270" s="155" t="s">
        <v>62</v>
      </c>
      <c r="E270" s="155" t="s">
        <v>43</v>
      </c>
      <c r="F270" s="155" t="s">
        <v>35</v>
      </c>
    </row>
    <row r="271" ht="14.25" customHeight="1" spans="1:6">
      <c r="A271" s="153">
        <v>45139</v>
      </c>
      <c r="B271" s="154">
        <v>45140</v>
      </c>
      <c r="C271" s="155" t="s">
        <v>315</v>
      </c>
      <c r="D271" s="156" t="s">
        <v>37</v>
      </c>
      <c r="E271" s="155" t="s">
        <v>43</v>
      </c>
      <c r="F271" s="155" t="s">
        <v>39</v>
      </c>
    </row>
    <row r="272" ht="14.25" customHeight="1" spans="1:6">
      <c r="A272" s="153">
        <v>45139</v>
      </c>
      <c r="B272" s="154">
        <v>45140</v>
      </c>
      <c r="C272" s="155" t="s">
        <v>316</v>
      </c>
      <c r="D272" s="155" t="s">
        <v>62</v>
      </c>
      <c r="E272" s="155" t="s">
        <v>43</v>
      </c>
      <c r="F272" s="155" t="s">
        <v>39</v>
      </c>
    </row>
    <row r="273" ht="14.25" customHeight="1" spans="1:6">
      <c r="A273" s="153">
        <v>45139</v>
      </c>
      <c r="B273" s="154">
        <v>45140</v>
      </c>
      <c r="C273" s="155" t="s">
        <v>317</v>
      </c>
      <c r="D273" s="155" t="s">
        <v>62</v>
      </c>
      <c r="E273" s="155" t="s">
        <v>43</v>
      </c>
      <c r="F273" s="155" t="s">
        <v>57</v>
      </c>
    </row>
    <row r="274" ht="14.25" customHeight="1" spans="1:6">
      <c r="A274" s="153">
        <v>45139</v>
      </c>
      <c r="B274" s="154">
        <v>45140</v>
      </c>
      <c r="C274" s="155" t="s">
        <v>318</v>
      </c>
      <c r="D274" s="155" t="s">
        <v>33</v>
      </c>
      <c r="E274" s="155" t="s">
        <v>43</v>
      </c>
      <c r="F274" s="155" t="s">
        <v>39</v>
      </c>
    </row>
    <row r="275" ht="14.25" customHeight="1" spans="1:6">
      <c r="A275" s="153">
        <v>45139</v>
      </c>
      <c r="B275" s="154">
        <v>45140</v>
      </c>
      <c r="C275" s="155" t="s">
        <v>319</v>
      </c>
      <c r="D275" s="155" t="s">
        <v>62</v>
      </c>
      <c r="E275" s="155" t="s">
        <v>38</v>
      </c>
      <c r="F275" s="155" t="s">
        <v>35</v>
      </c>
    </row>
    <row r="276" ht="14.25" customHeight="1" spans="1:6">
      <c r="A276" s="153">
        <v>45139</v>
      </c>
      <c r="B276" s="154">
        <v>45140</v>
      </c>
      <c r="C276" s="155" t="s">
        <v>320</v>
      </c>
      <c r="D276" s="155" t="s">
        <v>62</v>
      </c>
      <c r="E276" s="155" t="s">
        <v>38</v>
      </c>
      <c r="F276" s="155" t="s">
        <v>35</v>
      </c>
    </row>
    <row r="277" ht="14.25" customHeight="1" spans="1:6">
      <c r="A277" s="153">
        <v>45139</v>
      </c>
      <c r="B277" s="154">
        <v>45140</v>
      </c>
      <c r="C277" s="155" t="s">
        <v>321</v>
      </c>
      <c r="D277" s="155" t="s">
        <v>62</v>
      </c>
      <c r="E277" s="155" t="s">
        <v>38</v>
      </c>
      <c r="F277" s="155" t="s">
        <v>57</v>
      </c>
    </row>
    <row r="278" ht="14.25" customHeight="1" spans="1:6">
      <c r="A278" s="153">
        <v>45139</v>
      </c>
      <c r="B278" s="154">
        <v>45140</v>
      </c>
      <c r="C278" s="155" t="s">
        <v>322</v>
      </c>
      <c r="D278" s="155" t="s">
        <v>62</v>
      </c>
      <c r="E278" s="155" t="s">
        <v>34</v>
      </c>
      <c r="F278" s="155" t="s">
        <v>35</v>
      </c>
    </row>
    <row r="279" ht="14.25" customHeight="1" spans="1:6">
      <c r="A279" s="153">
        <v>45139</v>
      </c>
      <c r="B279" s="154">
        <v>45140</v>
      </c>
      <c r="C279" s="155" t="s">
        <v>323</v>
      </c>
      <c r="D279" s="155" t="s">
        <v>62</v>
      </c>
      <c r="E279" s="155" t="s">
        <v>43</v>
      </c>
      <c r="F279" s="155" t="s">
        <v>39</v>
      </c>
    </row>
    <row r="280" ht="14.25" customHeight="1" spans="1:6">
      <c r="A280" s="153">
        <v>45139</v>
      </c>
      <c r="B280" s="154">
        <v>45140</v>
      </c>
      <c r="C280" s="155" t="s">
        <v>324</v>
      </c>
      <c r="D280" s="155" t="s">
        <v>62</v>
      </c>
      <c r="E280" s="155" t="s">
        <v>43</v>
      </c>
      <c r="F280" s="155" t="s">
        <v>39</v>
      </c>
    </row>
    <row r="281" ht="14.25" customHeight="1" spans="1:6">
      <c r="A281" s="153">
        <v>45139</v>
      </c>
      <c r="B281" s="154">
        <v>45140</v>
      </c>
      <c r="C281" s="155" t="s">
        <v>325</v>
      </c>
      <c r="D281" s="156" t="s">
        <v>37</v>
      </c>
      <c r="E281" s="155" t="s">
        <v>38</v>
      </c>
      <c r="F281" s="155" t="s">
        <v>39</v>
      </c>
    </row>
    <row r="282" ht="14.25" customHeight="1" spans="1:6">
      <c r="A282" s="153">
        <v>45139</v>
      </c>
      <c r="B282" s="154">
        <v>45140</v>
      </c>
      <c r="C282" s="155" t="s">
        <v>326</v>
      </c>
      <c r="D282" s="155" t="s">
        <v>62</v>
      </c>
      <c r="E282" s="155" t="s">
        <v>43</v>
      </c>
      <c r="F282" s="155" t="s">
        <v>35</v>
      </c>
    </row>
    <row r="283" ht="14.25" customHeight="1" spans="1:6">
      <c r="A283" s="153">
        <v>45139</v>
      </c>
      <c r="B283" s="154">
        <v>45140</v>
      </c>
      <c r="C283" s="155" t="s">
        <v>327</v>
      </c>
      <c r="D283" s="155" t="s">
        <v>62</v>
      </c>
      <c r="E283" s="155" t="s">
        <v>43</v>
      </c>
      <c r="F283" s="155" t="s">
        <v>35</v>
      </c>
    </row>
    <row r="284" ht="14.25" customHeight="1" spans="1:6">
      <c r="A284" s="153">
        <v>45139</v>
      </c>
      <c r="B284" s="154">
        <v>45140</v>
      </c>
      <c r="C284" s="155" t="s">
        <v>328</v>
      </c>
      <c r="D284" s="155" t="s">
        <v>33</v>
      </c>
      <c r="E284" s="155" t="s">
        <v>38</v>
      </c>
      <c r="F284" s="155" t="s">
        <v>57</v>
      </c>
    </row>
    <row r="285" ht="14.25" customHeight="1" spans="1:6">
      <c r="A285" s="153">
        <v>45139</v>
      </c>
      <c r="B285" s="154">
        <v>45140</v>
      </c>
      <c r="C285" s="155" t="s">
        <v>329</v>
      </c>
      <c r="D285" s="156" t="s">
        <v>37</v>
      </c>
      <c r="E285" s="155" t="s">
        <v>38</v>
      </c>
      <c r="F285" s="155" t="s">
        <v>39</v>
      </c>
    </row>
    <row r="286" ht="14.25" customHeight="1" spans="1:6">
      <c r="A286" s="153">
        <v>45139</v>
      </c>
      <c r="B286" s="154">
        <v>45140</v>
      </c>
      <c r="C286" s="155" t="s">
        <v>330</v>
      </c>
      <c r="D286" s="155" t="s">
        <v>45</v>
      </c>
      <c r="E286" s="155" t="s">
        <v>43</v>
      </c>
      <c r="F286" s="155" t="s">
        <v>35</v>
      </c>
    </row>
    <row r="287" ht="14.25" customHeight="1" spans="1:6">
      <c r="A287" s="153">
        <v>45139</v>
      </c>
      <c r="B287" s="154">
        <v>45140</v>
      </c>
      <c r="C287" s="155" t="s">
        <v>331</v>
      </c>
      <c r="D287" s="155" t="s">
        <v>45</v>
      </c>
      <c r="E287" s="155" t="s">
        <v>43</v>
      </c>
      <c r="F287" s="155" t="s">
        <v>39</v>
      </c>
    </row>
    <row r="288" ht="14.25" customHeight="1" spans="1:6">
      <c r="A288" s="153">
        <v>45139</v>
      </c>
      <c r="B288" s="154">
        <v>45140</v>
      </c>
      <c r="C288" s="155" t="s">
        <v>332</v>
      </c>
      <c r="D288" s="156" t="s">
        <v>45</v>
      </c>
      <c r="E288" s="155" t="s">
        <v>38</v>
      </c>
      <c r="F288" s="155" t="s">
        <v>39</v>
      </c>
    </row>
    <row r="289" ht="14.25" customHeight="1" spans="1:6">
      <c r="A289" s="153">
        <v>45139</v>
      </c>
      <c r="B289" s="154">
        <v>45140</v>
      </c>
      <c r="C289" s="155" t="s">
        <v>333</v>
      </c>
      <c r="D289" s="155" t="s">
        <v>33</v>
      </c>
      <c r="E289" s="155" t="s">
        <v>34</v>
      </c>
      <c r="F289" s="155" t="s">
        <v>35</v>
      </c>
    </row>
    <row r="290" ht="14.25" customHeight="1" spans="1:6">
      <c r="A290" s="153">
        <v>45139</v>
      </c>
      <c r="B290" s="154">
        <v>45140</v>
      </c>
      <c r="C290" s="155" t="s">
        <v>334</v>
      </c>
      <c r="D290" s="156" t="s">
        <v>37</v>
      </c>
      <c r="E290" s="155" t="s">
        <v>38</v>
      </c>
      <c r="F290" s="155" t="s">
        <v>39</v>
      </c>
    </row>
    <row r="291" ht="14.25" customHeight="1" spans="1:6">
      <c r="A291" s="153">
        <v>45139</v>
      </c>
      <c r="B291" s="154">
        <v>45140</v>
      </c>
      <c r="C291" s="155" t="s">
        <v>335</v>
      </c>
      <c r="D291" s="156" t="s">
        <v>37</v>
      </c>
      <c r="E291" s="155" t="s">
        <v>38</v>
      </c>
      <c r="F291" s="155" t="s">
        <v>39</v>
      </c>
    </row>
    <row r="292" ht="14.25" customHeight="1" spans="1:6">
      <c r="A292" s="153">
        <v>45139</v>
      </c>
      <c r="B292" s="154">
        <v>45140</v>
      </c>
      <c r="C292" s="155" t="s">
        <v>336</v>
      </c>
      <c r="D292" s="155" t="s">
        <v>45</v>
      </c>
      <c r="E292" s="155" t="s">
        <v>34</v>
      </c>
      <c r="F292" s="155" t="s">
        <v>57</v>
      </c>
    </row>
    <row r="293" ht="14.25" customHeight="1" spans="1:6">
      <c r="A293" s="153">
        <v>45139</v>
      </c>
      <c r="B293" s="154">
        <v>45140</v>
      </c>
      <c r="C293" s="155" t="s">
        <v>337</v>
      </c>
      <c r="D293" s="155" t="s">
        <v>45</v>
      </c>
      <c r="E293" s="155" t="s">
        <v>50</v>
      </c>
      <c r="F293" s="155" t="s">
        <v>39</v>
      </c>
    </row>
    <row r="294" ht="14.25" customHeight="1" spans="1:6">
      <c r="A294" s="153">
        <v>45139</v>
      </c>
      <c r="B294" s="154">
        <v>45140</v>
      </c>
      <c r="C294" s="155" t="s">
        <v>338</v>
      </c>
      <c r="D294" s="156" t="s">
        <v>37</v>
      </c>
      <c r="E294" s="155" t="s">
        <v>38</v>
      </c>
      <c r="F294" s="155" t="s">
        <v>39</v>
      </c>
    </row>
    <row r="295" ht="14.25" customHeight="1" spans="1:6">
      <c r="A295" s="153">
        <v>45139</v>
      </c>
      <c r="B295" s="154">
        <v>45140</v>
      </c>
      <c r="C295" s="155" t="s">
        <v>339</v>
      </c>
      <c r="D295" s="155" t="s">
        <v>33</v>
      </c>
      <c r="E295" s="155" t="s">
        <v>50</v>
      </c>
      <c r="F295" s="155" t="s">
        <v>35</v>
      </c>
    </row>
    <row r="296" ht="14.25" customHeight="1" spans="1:6">
      <c r="A296" s="153">
        <v>45139</v>
      </c>
      <c r="B296" s="154">
        <v>45140</v>
      </c>
      <c r="C296" s="155" t="s">
        <v>340</v>
      </c>
      <c r="D296" s="155" t="s">
        <v>45</v>
      </c>
      <c r="E296" s="155" t="s">
        <v>38</v>
      </c>
      <c r="F296" s="155" t="s">
        <v>35</v>
      </c>
    </row>
    <row r="297" ht="14.25" customHeight="1" spans="1:6">
      <c r="A297" s="153">
        <v>45139</v>
      </c>
      <c r="B297" s="154">
        <v>45140</v>
      </c>
      <c r="C297" s="155" t="s">
        <v>341</v>
      </c>
      <c r="D297" s="155" t="s">
        <v>45</v>
      </c>
      <c r="E297" s="155" t="s">
        <v>43</v>
      </c>
      <c r="F297" s="155" t="s">
        <v>35</v>
      </c>
    </row>
    <row r="298" ht="14.25" customHeight="1" spans="1:6">
      <c r="A298" s="153">
        <v>45139</v>
      </c>
      <c r="B298" s="154">
        <v>45140</v>
      </c>
      <c r="C298" s="155" t="s">
        <v>342</v>
      </c>
      <c r="D298" s="156" t="s">
        <v>37</v>
      </c>
      <c r="E298" s="155" t="s">
        <v>38</v>
      </c>
      <c r="F298" s="155" t="s">
        <v>39</v>
      </c>
    </row>
    <row r="299" ht="14.25" customHeight="1" spans="1:6">
      <c r="A299" s="153">
        <v>45139</v>
      </c>
      <c r="B299" s="154">
        <v>45140</v>
      </c>
      <c r="C299" s="155" t="s">
        <v>343</v>
      </c>
      <c r="D299" s="155" t="s">
        <v>33</v>
      </c>
      <c r="E299" s="155" t="s">
        <v>34</v>
      </c>
      <c r="F299" s="155" t="s">
        <v>39</v>
      </c>
    </row>
    <row r="300" ht="14.25" customHeight="1" spans="1:6">
      <c r="A300" s="153">
        <v>45139</v>
      </c>
      <c r="B300" s="154">
        <v>45140</v>
      </c>
      <c r="C300" s="155" t="s">
        <v>344</v>
      </c>
      <c r="D300" s="155" t="s">
        <v>45</v>
      </c>
      <c r="E300" s="155" t="s">
        <v>43</v>
      </c>
      <c r="F300" s="155" t="s">
        <v>39</v>
      </c>
    </row>
    <row r="301" ht="14.25" customHeight="1" spans="1:6">
      <c r="A301" s="153">
        <v>45139</v>
      </c>
      <c r="B301" s="154">
        <v>45140</v>
      </c>
      <c r="C301" s="155" t="s">
        <v>345</v>
      </c>
      <c r="D301" s="155" t="s">
        <v>45</v>
      </c>
      <c r="E301" s="155" t="s">
        <v>38</v>
      </c>
      <c r="F301" s="155" t="s">
        <v>57</v>
      </c>
    </row>
    <row r="302" ht="14.25" customHeight="1" spans="1:6">
      <c r="A302" s="153">
        <v>45139</v>
      </c>
      <c r="B302" s="154">
        <v>45140</v>
      </c>
      <c r="C302" s="155" t="s">
        <v>346</v>
      </c>
      <c r="D302" s="155" t="s">
        <v>45</v>
      </c>
      <c r="E302" s="155" t="s">
        <v>43</v>
      </c>
      <c r="F302" s="155" t="s">
        <v>39</v>
      </c>
    </row>
    <row r="303" ht="14.25" customHeight="1" spans="1:6">
      <c r="A303" s="153">
        <v>45139</v>
      </c>
      <c r="B303" s="154">
        <v>45140</v>
      </c>
      <c r="C303" s="155" t="s">
        <v>347</v>
      </c>
      <c r="D303" s="156" t="s">
        <v>37</v>
      </c>
      <c r="E303" s="155" t="s">
        <v>38</v>
      </c>
      <c r="F303" s="155" t="s">
        <v>39</v>
      </c>
    </row>
    <row r="304" ht="14.25" customHeight="1" spans="1:6">
      <c r="A304" s="153">
        <v>45139</v>
      </c>
      <c r="B304" s="154">
        <v>45140</v>
      </c>
      <c r="C304" s="155" t="s">
        <v>348</v>
      </c>
      <c r="D304" s="156" t="s">
        <v>37</v>
      </c>
      <c r="E304" s="155" t="s">
        <v>38</v>
      </c>
      <c r="F304" s="155" t="s">
        <v>39</v>
      </c>
    </row>
    <row r="305" ht="14.25" customHeight="1" spans="1:6">
      <c r="A305" s="153">
        <v>45139</v>
      </c>
      <c r="B305" s="154">
        <v>45140</v>
      </c>
      <c r="C305" s="155" t="s">
        <v>349</v>
      </c>
      <c r="D305" s="156" t="s">
        <v>129</v>
      </c>
      <c r="E305" s="155" t="s">
        <v>43</v>
      </c>
      <c r="F305" s="155" t="s">
        <v>57</v>
      </c>
    </row>
    <row r="306" ht="14.25" customHeight="1" spans="1:6">
      <c r="A306" s="153">
        <v>45139</v>
      </c>
      <c r="B306" s="154">
        <v>45140</v>
      </c>
      <c r="C306" s="155" t="s">
        <v>350</v>
      </c>
      <c r="D306" s="155" t="s">
        <v>33</v>
      </c>
      <c r="E306" s="155" t="s">
        <v>38</v>
      </c>
      <c r="F306" s="155" t="s">
        <v>39</v>
      </c>
    </row>
    <row r="307" ht="14.25" customHeight="1" spans="1:6">
      <c r="A307" s="153">
        <v>45139</v>
      </c>
      <c r="B307" s="154">
        <v>45140</v>
      </c>
      <c r="C307" s="155" t="s">
        <v>351</v>
      </c>
      <c r="D307" s="155" t="s">
        <v>45</v>
      </c>
      <c r="E307" s="155" t="s">
        <v>38</v>
      </c>
      <c r="F307" s="155" t="s">
        <v>39</v>
      </c>
    </row>
    <row r="308" ht="14.25" customHeight="1" spans="1:6">
      <c r="A308" s="153">
        <v>45139</v>
      </c>
      <c r="B308" s="154">
        <v>45140</v>
      </c>
      <c r="C308" s="155" t="s">
        <v>352</v>
      </c>
      <c r="D308" s="155" t="s">
        <v>45</v>
      </c>
      <c r="E308" s="155" t="s">
        <v>34</v>
      </c>
      <c r="F308" s="155" t="s">
        <v>39</v>
      </c>
    </row>
    <row r="309" ht="14.25" customHeight="1" spans="1:6">
      <c r="A309" s="153">
        <v>45139</v>
      </c>
      <c r="B309" s="154">
        <v>45140</v>
      </c>
      <c r="C309" s="155" t="s">
        <v>353</v>
      </c>
      <c r="D309" s="155" t="s">
        <v>45</v>
      </c>
      <c r="E309" s="155" t="s">
        <v>50</v>
      </c>
      <c r="F309" s="155" t="s">
        <v>35</v>
      </c>
    </row>
    <row r="310" ht="14.25" customHeight="1" spans="1:6">
      <c r="A310" s="153">
        <v>45139</v>
      </c>
      <c r="B310" s="154">
        <v>45140</v>
      </c>
      <c r="C310" s="155" t="s">
        <v>354</v>
      </c>
      <c r="D310" s="155" t="s">
        <v>45</v>
      </c>
      <c r="E310" s="155" t="s">
        <v>38</v>
      </c>
      <c r="F310" s="155" t="s">
        <v>39</v>
      </c>
    </row>
    <row r="311" ht="14.25" customHeight="1" spans="1:6">
      <c r="A311" s="153">
        <v>45139</v>
      </c>
      <c r="B311" s="154">
        <v>45140</v>
      </c>
      <c r="C311" s="155" t="s">
        <v>355</v>
      </c>
      <c r="D311" s="155" t="s">
        <v>45</v>
      </c>
      <c r="E311" s="155" t="s">
        <v>38</v>
      </c>
      <c r="F311" s="155" t="s">
        <v>39</v>
      </c>
    </row>
    <row r="312" ht="14.25" customHeight="1" spans="1:6">
      <c r="A312" s="153">
        <v>45139</v>
      </c>
      <c r="B312" s="154">
        <v>45140</v>
      </c>
      <c r="C312" s="155" t="s">
        <v>356</v>
      </c>
      <c r="D312" s="155" t="s">
        <v>47</v>
      </c>
      <c r="E312" s="155" t="s">
        <v>43</v>
      </c>
      <c r="F312" s="155" t="s">
        <v>39</v>
      </c>
    </row>
    <row r="313" ht="14.25" customHeight="1" spans="1:6">
      <c r="A313" s="153">
        <v>45139</v>
      </c>
      <c r="B313" s="154">
        <v>45140</v>
      </c>
      <c r="C313" s="155" t="s">
        <v>357</v>
      </c>
      <c r="D313" s="155" t="s">
        <v>45</v>
      </c>
      <c r="E313" s="155" t="s">
        <v>38</v>
      </c>
      <c r="F313" s="155" t="s">
        <v>39</v>
      </c>
    </row>
    <row r="314" ht="14.25" customHeight="1" spans="1:6">
      <c r="A314" s="153">
        <v>45139</v>
      </c>
      <c r="B314" s="154">
        <v>45140</v>
      </c>
      <c r="C314" s="155" t="s">
        <v>358</v>
      </c>
      <c r="D314" s="155" t="s">
        <v>45</v>
      </c>
      <c r="E314" s="155" t="s">
        <v>38</v>
      </c>
      <c r="F314" s="155" t="s">
        <v>39</v>
      </c>
    </row>
    <row r="315" ht="14.25" customHeight="1" spans="1:6">
      <c r="A315" s="153">
        <v>45139</v>
      </c>
      <c r="B315" s="154">
        <v>45140</v>
      </c>
      <c r="C315" s="155" t="s">
        <v>359</v>
      </c>
      <c r="D315" s="155" t="s">
        <v>45</v>
      </c>
      <c r="E315" s="155" t="s">
        <v>43</v>
      </c>
      <c r="F315" s="155" t="s">
        <v>39</v>
      </c>
    </row>
    <row r="316" ht="14.25" customHeight="1" spans="1:6">
      <c r="A316" s="153">
        <v>45139</v>
      </c>
      <c r="B316" s="154">
        <v>45140</v>
      </c>
      <c r="C316" s="155" t="s">
        <v>360</v>
      </c>
      <c r="D316" s="156" t="s">
        <v>37</v>
      </c>
      <c r="E316" s="155" t="s">
        <v>34</v>
      </c>
      <c r="F316" s="155" t="s">
        <v>57</v>
      </c>
    </row>
    <row r="317" ht="14.25" customHeight="1" spans="1:6">
      <c r="A317" s="153">
        <v>45139</v>
      </c>
      <c r="B317" s="154">
        <v>45140</v>
      </c>
      <c r="C317" s="155" t="s">
        <v>361</v>
      </c>
      <c r="D317" s="155" t="s">
        <v>45</v>
      </c>
      <c r="E317" s="155" t="s">
        <v>38</v>
      </c>
      <c r="F317" s="155" t="s">
        <v>39</v>
      </c>
    </row>
    <row r="318" ht="14.25" customHeight="1" spans="1:6">
      <c r="A318" s="153">
        <v>45139</v>
      </c>
      <c r="B318" s="154">
        <v>45140</v>
      </c>
      <c r="C318" s="155" t="s">
        <v>362</v>
      </c>
      <c r="D318" s="155" t="s">
        <v>45</v>
      </c>
      <c r="E318" s="155" t="s">
        <v>38</v>
      </c>
      <c r="F318" s="155" t="s">
        <v>39</v>
      </c>
    </row>
    <row r="319" ht="14.25" customHeight="1" spans="1:6">
      <c r="A319" s="153">
        <v>45139</v>
      </c>
      <c r="B319" s="154">
        <v>45140</v>
      </c>
      <c r="C319" s="155" t="s">
        <v>363</v>
      </c>
      <c r="D319" s="155" t="s">
        <v>45</v>
      </c>
      <c r="E319" s="155" t="s">
        <v>38</v>
      </c>
      <c r="F319" s="155" t="s">
        <v>39</v>
      </c>
    </row>
    <row r="320" ht="14.25" customHeight="1" spans="1:6">
      <c r="A320" s="153">
        <v>45139</v>
      </c>
      <c r="B320" s="154">
        <v>45140</v>
      </c>
      <c r="C320" s="155" t="s">
        <v>364</v>
      </c>
      <c r="D320" s="155" t="s">
        <v>45</v>
      </c>
      <c r="E320" s="155" t="s">
        <v>38</v>
      </c>
      <c r="F320" s="155" t="s">
        <v>39</v>
      </c>
    </row>
    <row r="321" ht="14.25" customHeight="1" spans="1:6">
      <c r="A321" s="153">
        <v>45139</v>
      </c>
      <c r="B321" s="154">
        <v>45140</v>
      </c>
      <c r="C321" s="155" t="s">
        <v>365</v>
      </c>
      <c r="D321" s="155" t="s">
        <v>45</v>
      </c>
      <c r="E321" s="155" t="s">
        <v>38</v>
      </c>
      <c r="F321" s="155" t="s">
        <v>39</v>
      </c>
    </row>
    <row r="322" ht="14.25" customHeight="1" spans="1:6">
      <c r="A322" s="153">
        <v>45139</v>
      </c>
      <c r="B322" s="154">
        <v>45140</v>
      </c>
      <c r="C322" s="155" t="s">
        <v>366</v>
      </c>
      <c r="D322" s="155" t="s">
        <v>45</v>
      </c>
      <c r="E322" s="155" t="s">
        <v>38</v>
      </c>
      <c r="F322" s="155" t="s">
        <v>39</v>
      </c>
    </row>
    <row r="323" ht="14.25" customHeight="1" spans="1:6">
      <c r="A323" s="153">
        <v>45139</v>
      </c>
      <c r="B323" s="154">
        <v>45140</v>
      </c>
      <c r="C323" s="155" t="s">
        <v>367</v>
      </c>
      <c r="D323" s="155" t="s">
        <v>45</v>
      </c>
      <c r="E323" s="155" t="s">
        <v>38</v>
      </c>
      <c r="F323" s="155" t="s">
        <v>39</v>
      </c>
    </row>
    <row r="324" ht="14.25" customHeight="1" spans="1:6">
      <c r="A324" s="153">
        <v>45139</v>
      </c>
      <c r="B324" s="154">
        <v>45140</v>
      </c>
      <c r="C324" s="155" t="s">
        <v>368</v>
      </c>
      <c r="D324" s="155" t="s">
        <v>45</v>
      </c>
      <c r="E324" s="155" t="s">
        <v>38</v>
      </c>
      <c r="F324" s="155" t="s">
        <v>39</v>
      </c>
    </row>
    <row r="325" ht="14.25" customHeight="1" spans="1:6">
      <c r="A325" s="153">
        <v>45139</v>
      </c>
      <c r="B325" s="154">
        <v>45140</v>
      </c>
      <c r="C325" s="155" t="s">
        <v>369</v>
      </c>
      <c r="D325" s="155" t="s">
        <v>45</v>
      </c>
      <c r="E325" s="155" t="s">
        <v>43</v>
      </c>
      <c r="F325" s="155" t="s">
        <v>39</v>
      </c>
    </row>
    <row r="326" ht="14.25" customHeight="1" spans="1:6">
      <c r="A326" s="153">
        <v>45139</v>
      </c>
      <c r="B326" s="154">
        <v>45140</v>
      </c>
      <c r="C326" s="155" t="s">
        <v>370</v>
      </c>
      <c r="D326" s="156" t="s">
        <v>37</v>
      </c>
      <c r="E326" s="155" t="s">
        <v>38</v>
      </c>
      <c r="F326" s="155" t="s">
        <v>39</v>
      </c>
    </row>
    <row r="327" ht="14.25" customHeight="1" spans="1:6">
      <c r="A327" s="153">
        <v>45139</v>
      </c>
      <c r="B327" s="154">
        <v>45140</v>
      </c>
      <c r="C327" s="155" t="s">
        <v>371</v>
      </c>
      <c r="D327" s="156" t="s">
        <v>129</v>
      </c>
      <c r="E327" s="155" t="s">
        <v>43</v>
      </c>
      <c r="F327" s="155" t="s">
        <v>39</v>
      </c>
    </row>
    <row r="328" ht="14.25" customHeight="1" spans="1:6">
      <c r="A328" s="153">
        <v>45139</v>
      </c>
      <c r="B328" s="154">
        <v>45140</v>
      </c>
      <c r="C328" s="155" t="s">
        <v>372</v>
      </c>
      <c r="D328" s="156" t="s">
        <v>45</v>
      </c>
      <c r="E328" s="155" t="s">
        <v>34</v>
      </c>
      <c r="F328" s="155" t="s">
        <v>39</v>
      </c>
    </row>
    <row r="329" ht="14.25" customHeight="1" spans="1:6">
      <c r="A329" s="153">
        <v>45139</v>
      </c>
      <c r="B329" s="154">
        <v>45140</v>
      </c>
      <c r="C329" s="155" t="s">
        <v>373</v>
      </c>
      <c r="D329" s="156" t="s">
        <v>129</v>
      </c>
      <c r="E329" s="155" t="s">
        <v>38</v>
      </c>
      <c r="F329" s="155" t="s">
        <v>39</v>
      </c>
    </row>
    <row r="330" ht="14.25" customHeight="1" spans="1:6">
      <c r="A330" s="153">
        <v>45139</v>
      </c>
      <c r="B330" s="154">
        <v>45140</v>
      </c>
      <c r="C330" s="155" t="s">
        <v>374</v>
      </c>
      <c r="D330" s="155" t="s">
        <v>45</v>
      </c>
      <c r="E330" s="155" t="s">
        <v>38</v>
      </c>
      <c r="F330" s="155" t="s">
        <v>39</v>
      </c>
    </row>
    <row r="331" ht="14.25" customHeight="1" spans="1:6">
      <c r="A331" s="153">
        <v>45139</v>
      </c>
      <c r="B331" s="154">
        <v>45140</v>
      </c>
      <c r="C331" s="155" t="s">
        <v>375</v>
      </c>
      <c r="D331" s="156" t="s">
        <v>45</v>
      </c>
      <c r="E331" s="155" t="s">
        <v>38</v>
      </c>
      <c r="F331" s="155" t="s">
        <v>39</v>
      </c>
    </row>
    <row r="332" ht="14.25" customHeight="1" spans="1:6">
      <c r="A332" s="153">
        <v>45139</v>
      </c>
      <c r="B332" s="154">
        <v>45140</v>
      </c>
      <c r="C332" s="155" t="s">
        <v>376</v>
      </c>
      <c r="D332" s="155" t="s">
        <v>45</v>
      </c>
      <c r="E332" s="155" t="s">
        <v>38</v>
      </c>
      <c r="F332" s="155" t="s">
        <v>39</v>
      </c>
    </row>
    <row r="333" ht="14.25" customHeight="1" spans="1:6">
      <c r="A333" s="153">
        <v>45139</v>
      </c>
      <c r="B333" s="154">
        <v>45140</v>
      </c>
      <c r="C333" s="155" t="s">
        <v>377</v>
      </c>
      <c r="D333" s="156" t="s">
        <v>129</v>
      </c>
      <c r="E333" s="155" t="s">
        <v>38</v>
      </c>
      <c r="F333" s="155" t="s">
        <v>39</v>
      </c>
    </row>
    <row r="334" ht="14.25" customHeight="1" spans="1:6">
      <c r="A334" s="153">
        <v>45139</v>
      </c>
      <c r="B334" s="154">
        <v>45140</v>
      </c>
      <c r="C334" s="155" t="s">
        <v>378</v>
      </c>
      <c r="D334" s="155" t="s">
        <v>45</v>
      </c>
      <c r="E334" s="155" t="s">
        <v>38</v>
      </c>
      <c r="F334" s="155" t="s">
        <v>39</v>
      </c>
    </row>
    <row r="335" ht="14.25" customHeight="1" spans="1:6">
      <c r="A335" s="153">
        <v>45139</v>
      </c>
      <c r="B335" s="154">
        <v>45140</v>
      </c>
      <c r="C335" s="155" t="s">
        <v>379</v>
      </c>
      <c r="D335" s="155" t="s">
        <v>45</v>
      </c>
      <c r="E335" s="155" t="s">
        <v>34</v>
      </c>
      <c r="F335" s="155" t="s">
        <v>39</v>
      </c>
    </row>
    <row r="336" ht="14.25" customHeight="1" spans="1:6">
      <c r="A336" s="153">
        <v>45139</v>
      </c>
      <c r="B336" s="154">
        <v>45140</v>
      </c>
      <c r="C336" s="155" t="s">
        <v>380</v>
      </c>
      <c r="D336" s="155" t="s">
        <v>45</v>
      </c>
      <c r="E336" s="155" t="s">
        <v>43</v>
      </c>
      <c r="F336" s="155" t="s">
        <v>35</v>
      </c>
    </row>
    <row r="337" ht="14.25" customHeight="1" spans="1:6">
      <c r="A337" s="153">
        <v>45139</v>
      </c>
      <c r="B337" s="154">
        <v>45140</v>
      </c>
      <c r="C337" s="155" t="s">
        <v>381</v>
      </c>
      <c r="D337" s="156" t="s">
        <v>129</v>
      </c>
      <c r="E337" s="155" t="s">
        <v>38</v>
      </c>
      <c r="F337" s="155" t="s">
        <v>39</v>
      </c>
    </row>
    <row r="338" ht="14.25" customHeight="1" spans="1:6">
      <c r="A338" s="153">
        <v>45139</v>
      </c>
      <c r="B338" s="154">
        <v>45140</v>
      </c>
      <c r="C338" s="155" t="s">
        <v>382</v>
      </c>
      <c r="D338" s="155" t="s">
        <v>45</v>
      </c>
      <c r="E338" s="155" t="s">
        <v>38</v>
      </c>
      <c r="F338" s="155" t="s">
        <v>39</v>
      </c>
    </row>
    <row r="339" ht="14.25" customHeight="1" spans="1:6">
      <c r="A339" s="153">
        <v>45139</v>
      </c>
      <c r="B339" s="154">
        <v>45140</v>
      </c>
      <c r="C339" s="155" t="s">
        <v>383</v>
      </c>
      <c r="D339" s="156" t="s">
        <v>37</v>
      </c>
      <c r="E339" s="155" t="s">
        <v>34</v>
      </c>
      <c r="F339" s="155" t="s">
        <v>57</v>
      </c>
    </row>
    <row r="340" ht="14.25" customHeight="1" spans="1:6">
      <c r="A340" s="153">
        <v>45139</v>
      </c>
      <c r="B340" s="154">
        <v>45140</v>
      </c>
      <c r="C340" s="155" t="s">
        <v>384</v>
      </c>
      <c r="D340" s="155" t="s">
        <v>45</v>
      </c>
      <c r="E340" s="155" t="s">
        <v>38</v>
      </c>
      <c r="F340" s="155" t="s">
        <v>39</v>
      </c>
    </row>
    <row r="341" ht="14.25" customHeight="1" spans="1:6">
      <c r="A341" s="153">
        <v>45139</v>
      </c>
      <c r="B341" s="154">
        <v>45140</v>
      </c>
      <c r="C341" s="155" t="s">
        <v>385</v>
      </c>
      <c r="D341" s="155" t="s">
        <v>45</v>
      </c>
      <c r="E341" s="155" t="s">
        <v>38</v>
      </c>
      <c r="F341" s="155" t="s">
        <v>39</v>
      </c>
    </row>
    <row r="342" ht="14.25" customHeight="1" spans="1:6">
      <c r="A342" s="153">
        <v>45139</v>
      </c>
      <c r="B342" s="154">
        <v>45140</v>
      </c>
      <c r="C342" s="155" t="s">
        <v>386</v>
      </c>
      <c r="D342" s="155" t="s">
        <v>45</v>
      </c>
      <c r="E342" s="155" t="s">
        <v>38</v>
      </c>
      <c r="F342" s="155" t="s">
        <v>39</v>
      </c>
    </row>
    <row r="343" ht="14.25" customHeight="1" spans="1:6">
      <c r="A343" s="153">
        <v>45139</v>
      </c>
      <c r="B343" s="154">
        <v>45140</v>
      </c>
      <c r="C343" s="155" t="s">
        <v>387</v>
      </c>
      <c r="D343" s="155" t="s">
        <v>45</v>
      </c>
      <c r="E343" s="155" t="s">
        <v>43</v>
      </c>
      <c r="F343" s="155" t="s">
        <v>39</v>
      </c>
    </row>
    <row r="344" ht="14.25" customHeight="1" spans="1:6">
      <c r="A344" s="153">
        <v>45139</v>
      </c>
      <c r="B344" s="154">
        <v>45140</v>
      </c>
      <c r="C344" s="155" t="s">
        <v>388</v>
      </c>
      <c r="D344" s="155" t="s">
        <v>45</v>
      </c>
      <c r="E344" s="155" t="s">
        <v>38</v>
      </c>
      <c r="F344" s="155" t="s">
        <v>39</v>
      </c>
    </row>
    <row r="345" ht="14.25" customHeight="1" spans="1:6">
      <c r="A345" s="153">
        <v>45139</v>
      </c>
      <c r="B345" s="154">
        <v>45140</v>
      </c>
      <c r="C345" s="155" t="s">
        <v>389</v>
      </c>
      <c r="D345" s="155" t="s">
        <v>45</v>
      </c>
      <c r="E345" s="155" t="s">
        <v>38</v>
      </c>
      <c r="F345" s="155" t="s">
        <v>39</v>
      </c>
    </row>
    <row r="346" ht="14.25" customHeight="1" spans="1:6">
      <c r="A346" s="153">
        <v>45139</v>
      </c>
      <c r="B346" s="154">
        <v>45140</v>
      </c>
      <c r="C346" s="155" t="s">
        <v>390</v>
      </c>
      <c r="D346" s="155" t="s">
        <v>45</v>
      </c>
      <c r="E346" s="155" t="s">
        <v>38</v>
      </c>
      <c r="F346" s="155" t="s">
        <v>39</v>
      </c>
    </row>
    <row r="347" ht="14.25" customHeight="1" spans="1:6">
      <c r="A347" s="153">
        <v>45139</v>
      </c>
      <c r="B347" s="154">
        <v>45140</v>
      </c>
      <c r="C347" s="155" t="s">
        <v>391</v>
      </c>
      <c r="D347" s="155" t="s">
        <v>45</v>
      </c>
      <c r="E347" s="155" t="s">
        <v>43</v>
      </c>
      <c r="F347" s="155" t="s">
        <v>39</v>
      </c>
    </row>
    <row r="348" ht="14.25" customHeight="1" spans="1:6">
      <c r="A348" s="153">
        <v>45139</v>
      </c>
      <c r="B348" s="154">
        <v>45140</v>
      </c>
      <c r="C348" s="155" t="s">
        <v>392</v>
      </c>
      <c r="D348" s="155" t="s">
        <v>45</v>
      </c>
      <c r="E348" s="155" t="s">
        <v>38</v>
      </c>
      <c r="F348" s="155" t="s">
        <v>39</v>
      </c>
    </row>
    <row r="349" ht="14.25" customHeight="1" spans="1:6">
      <c r="A349" s="153">
        <v>45139</v>
      </c>
      <c r="B349" s="154">
        <v>45140</v>
      </c>
      <c r="C349" s="155" t="s">
        <v>393</v>
      </c>
      <c r="D349" s="155" t="s">
        <v>45</v>
      </c>
      <c r="E349" s="155" t="s">
        <v>38</v>
      </c>
      <c r="F349" s="155" t="s">
        <v>39</v>
      </c>
    </row>
    <row r="350" ht="14.25" customHeight="1" spans="1:6">
      <c r="A350" s="153">
        <v>45139</v>
      </c>
      <c r="B350" s="154">
        <v>45140</v>
      </c>
      <c r="C350" s="155" t="s">
        <v>394</v>
      </c>
      <c r="D350" s="155" t="s">
        <v>45</v>
      </c>
      <c r="E350" s="155" t="s">
        <v>38</v>
      </c>
      <c r="F350" s="155" t="s">
        <v>39</v>
      </c>
    </row>
    <row r="351" ht="14.25" customHeight="1" spans="1:6">
      <c r="A351" s="153">
        <v>45139</v>
      </c>
      <c r="B351" s="154">
        <v>45140</v>
      </c>
      <c r="C351" s="155" t="s">
        <v>395</v>
      </c>
      <c r="D351" s="156" t="s">
        <v>45</v>
      </c>
      <c r="E351" s="155" t="s">
        <v>34</v>
      </c>
      <c r="F351" s="155" t="s">
        <v>39</v>
      </c>
    </row>
    <row r="352" ht="14.25" customHeight="1" spans="1:6">
      <c r="A352" s="153">
        <v>45139</v>
      </c>
      <c r="B352" s="154">
        <v>45140</v>
      </c>
      <c r="C352" s="155" t="s">
        <v>396</v>
      </c>
      <c r="D352" s="156" t="s">
        <v>45</v>
      </c>
      <c r="E352" s="155" t="s">
        <v>43</v>
      </c>
      <c r="F352" s="155" t="s">
        <v>39</v>
      </c>
    </row>
    <row r="353" ht="14.25" customHeight="1" spans="1:6">
      <c r="A353" s="153">
        <v>45139</v>
      </c>
      <c r="B353" s="154">
        <v>45140</v>
      </c>
      <c r="C353" s="155" t="s">
        <v>397</v>
      </c>
      <c r="D353" s="155" t="s">
        <v>45</v>
      </c>
      <c r="E353" s="155" t="s">
        <v>38</v>
      </c>
      <c r="F353" s="155" t="s">
        <v>39</v>
      </c>
    </row>
    <row r="354" ht="14.25" customHeight="1" spans="1:6">
      <c r="A354" s="153">
        <v>45139</v>
      </c>
      <c r="B354" s="154">
        <v>45140</v>
      </c>
      <c r="C354" s="155" t="s">
        <v>398</v>
      </c>
      <c r="D354" s="155" t="s">
        <v>45</v>
      </c>
      <c r="E354" s="155" t="s">
        <v>43</v>
      </c>
      <c r="F354" s="155" t="s">
        <v>39</v>
      </c>
    </row>
    <row r="355" ht="14.25" customHeight="1" spans="1:6">
      <c r="A355" s="153">
        <v>45139</v>
      </c>
      <c r="B355" s="154">
        <v>45140</v>
      </c>
      <c r="C355" s="155" t="s">
        <v>399</v>
      </c>
      <c r="D355" s="155" t="s">
        <v>45</v>
      </c>
      <c r="E355" s="155" t="s">
        <v>50</v>
      </c>
      <c r="F355" s="155" t="s">
        <v>39</v>
      </c>
    </row>
    <row r="356" ht="14.25" customHeight="1" spans="1:6">
      <c r="A356" s="153">
        <v>45139</v>
      </c>
      <c r="B356" s="154">
        <v>45140</v>
      </c>
      <c r="C356" s="155" t="s">
        <v>400</v>
      </c>
      <c r="D356" s="155" t="s">
        <v>45</v>
      </c>
      <c r="E356" s="155" t="s">
        <v>43</v>
      </c>
      <c r="F356" s="155" t="s">
        <v>39</v>
      </c>
    </row>
    <row r="357" ht="14.25" customHeight="1" spans="1:6">
      <c r="A357" s="153">
        <v>45139</v>
      </c>
      <c r="B357" s="154">
        <v>45140</v>
      </c>
      <c r="C357" s="155" t="s">
        <v>401</v>
      </c>
      <c r="D357" s="155" t="s">
        <v>45</v>
      </c>
      <c r="E357" s="155" t="s">
        <v>43</v>
      </c>
      <c r="F357" s="155" t="s">
        <v>39</v>
      </c>
    </row>
    <row r="358" ht="14.25" customHeight="1" spans="1:6">
      <c r="A358" s="153">
        <v>45139</v>
      </c>
      <c r="B358" s="154">
        <v>45140</v>
      </c>
      <c r="C358" s="155" t="s">
        <v>402</v>
      </c>
      <c r="D358" s="155" t="s">
        <v>45</v>
      </c>
      <c r="E358" s="155" t="s">
        <v>38</v>
      </c>
      <c r="F358" s="155" t="s">
        <v>39</v>
      </c>
    </row>
    <row r="359" ht="14.25" customHeight="1" spans="1:6">
      <c r="A359" s="153">
        <v>45139</v>
      </c>
      <c r="B359" s="154">
        <v>45140</v>
      </c>
      <c r="C359" s="155" t="s">
        <v>403</v>
      </c>
      <c r="D359" s="155" t="s">
        <v>33</v>
      </c>
      <c r="E359" s="155" t="s">
        <v>50</v>
      </c>
      <c r="F359" s="155" t="s">
        <v>39</v>
      </c>
    </row>
    <row r="360" ht="14.25" customHeight="1" spans="1:6">
      <c r="A360" s="153">
        <v>45139</v>
      </c>
      <c r="B360" s="154">
        <v>45140</v>
      </c>
      <c r="C360" s="155" t="s">
        <v>404</v>
      </c>
      <c r="D360" s="155" t="s">
        <v>45</v>
      </c>
      <c r="E360" s="155" t="s">
        <v>43</v>
      </c>
      <c r="F360" s="155" t="s">
        <v>39</v>
      </c>
    </row>
    <row r="361" ht="14.25" customHeight="1" spans="1:6">
      <c r="A361" s="153">
        <v>45139</v>
      </c>
      <c r="B361" s="154">
        <v>45140</v>
      </c>
      <c r="C361" s="155" t="s">
        <v>405</v>
      </c>
      <c r="D361" s="156" t="s">
        <v>45</v>
      </c>
      <c r="E361" s="155" t="s">
        <v>38</v>
      </c>
      <c r="F361" s="155" t="s">
        <v>39</v>
      </c>
    </row>
    <row r="362" ht="14.25" customHeight="1" spans="1:6">
      <c r="A362" s="153">
        <v>45139</v>
      </c>
      <c r="B362" s="154">
        <v>45140</v>
      </c>
      <c r="C362" s="155" t="s">
        <v>406</v>
      </c>
      <c r="D362" s="156" t="s">
        <v>45</v>
      </c>
      <c r="E362" s="155" t="s">
        <v>34</v>
      </c>
      <c r="F362" s="155" t="s">
        <v>57</v>
      </c>
    </row>
    <row r="363" ht="14.25" customHeight="1" spans="1:6">
      <c r="A363" s="153">
        <v>45139</v>
      </c>
      <c r="B363" s="154">
        <v>45140</v>
      </c>
      <c r="C363" s="155" t="s">
        <v>407</v>
      </c>
      <c r="D363" s="155" t="s">
        <v>45</v>
      </c>
      <c r="E363" s="155" t="s">
        <v>43</v>
      </c>
      <c r="F363" s="155" t="s">
        <v>39</v>
      </c>
    </row>
    <row r="364" ht="14.25" customHeight="1" spans="1:6">
      <c r="A364" s="153">
        <v>45139</v>
      </c>
      <c r="B364" s="154">
        <v>45140</v>
      </c>
      <c r="C364" s="155" t="s">
        <v>408</v>
      </c>
      <c r="D364" s="156" t="s">
        <v>45</v>
      </c>
      <c r="E364" s="155" t="s">
        <v>34</v>
      </c>
      <c r="F364" s="155" t="s">
        <v>35</v>
      </c>
    </row>
    <row r="365" ht="14.25" customHeight="1" spans="1:6">
      <c r="A365" s="153">
        <v>45139</v>
      </c>
      <c r="B365" s="154">
        <v>45140</v>
      </c>
      <c r="C365" s="155" t="s">
        <v>409</v>
      </c>
      <c r="D365" s="155" t="s">
        <v>45</v>
      </c>
      <c r="E365" s="155" t="s">
        <v>43</v>
      </c>
      <c r="F365" s="155" t="s">
        <v>39</v>
      </c>
    </row>
    <row r="366" ht="14.25" customHeight="1" spans="1:6">
      <c r="A366" s="153">
        <v>45139</v>
      </c>
      <c r="B366" s="154">
        <v>45140</v>
      </c>
      <c r="C366" s="155" t="s">
        <v>410</v>
      </c>
      <c r="D366" s="155" t="s">
        <v>45</v>
      </c>
      <c r="E366" s="155" t="s">
        <v>38</v>
      </c>
      <c r="F366" s="155" t="s">
        <v>39</v>
      </c>
    </row>
    <row r="367" ht="14.25" customHeight="1" spans="1:6">
      <c r="A367" s="153">
        <v>45139</v>
      </c>
      <c r="B367" s="154">
        <v>45140</v>
      </c>
      <c r="C367" s="155" t="s">
        <v>411</v>
      </c>
      <c r="D367" s="156" t="s">
        <v>45</v>
      </c>
      <c r="E367" s="155" t="s">
        <v>43</v>
      </c>
      <c r="F367" s="155" t="s">
        <v>39</v>
      </c>
    </row>
    <row r="368" ht="14.25" customHeight="1" spans="1:6">
      <c r="A368" s="153">
        <v>45139</v>
      </c>
      <c r="B368" s="154">
        <v>45141</v>
      </c>
      <c r="C368" s="155" t="s">
        <v>412</v>
      </c>
      <c r="D368" s="156" t="s">
        <v>45</v>
      </c>
      <c r="E368" s="155" t="s">
        <v>34</v>
      </c>
      <c r="F368" s="155" t="s">
        <v>39</v>
      </c>
    </row>
    <row r="369" ht="14.25" customHeight="1" spans="1:6">
      <c r="A369" s="153">
        <v>45139</v>
      </c>
      <c r="B369" s="154">
        <v>45141</v>
      </c>
      <c r="C369" s="155" t="s">
        <v>413</v>
      </c>
      <c r="D369" s="155" t="s">
        <v>33</v>
      </c>
      <c r="E369" s="155" t="s">
        <v>34</v>
      </c>
      <c r="F369" s="155" t="s">
        <v>57</v>
      </c>
    </row>
    <row r="370" ht="14.25" customHeight="1" spans="1:6">
      <c r="A370" s="153">
        <v>45139</v>
      </c>
      <c r="B370" s="154">
        <v>45141</v>
      </c>
      <c r="C370" s="155" t="s">
        <v>414</v>
      </c>
      <c r="D370" s="156" t="s">
        <v>45</v>
      </c>
      <c r="E370" s="155" t="s">
        <v>34</v>
      </c>
      <c r="F370" s="155" t="s">
        <v>39</v>
      </c>
    </row>
    <row r="371" ht="14.25" customHeight="1" spans="1:6">
      <c r="A371" s="153">
        <v>45139</v>
      </c>
      <c r="B371" s="154">
        <v>45141</v>
      </c>
      <c r="C371" s="155" t="s">
        <v>415</v>
      </c>
      <c r="D371" s="156" t="s">
        <v>45</v>
      </c>
      <c r="E371" s="155" t="s">
        <v>34</v>
      </c>
      <c r="F371" s="155" t="s">
        <v>35</v>
      </c>
    </row>
    <row r="372" ht="14.25" customHeight="1" spans="1:6">
      <c r="A372" s="153">
        <v>45139</v>
      </c>
      <c r="B372" s="154">
        <v>45141</v>
      </c>
      <c r="C372" s="155" t="s">
        <v>416</v>
      </c>
      <c r="D372" s="155" t="s">
        <v>45</v>
      </c>
      <c r="E372" s="155" t="s">
        <v>38</v>
      </c>
      <c r="F372" s="155" t="s">
        <v>35</v>
      </c>
    </row>
    <row r="373" ht="14.25" customHeight="1" spans="1:6">
      <c r="A373" s="153">
        <v>45139</v>
      </c>
      <c r="B373" s="154">
        <v>45141</v>
      </c>
      <c r="C373" s="155" t="s">
        <v>417</v>
      </c>
      <c r="D373" s="155" t="s">
        <v>47</v>
      </c>
      <c r="E373" s="155" t="s">
        <v>38</v>
      </c>
      <c r="F373" s="155" t="s">
        <v>39</v>
      </c>
    </row>
    <row r="374" ht="14.25" customHeight="1" spans="1:6">
      <c r="A374" s="153">
        <v>45139</v>
      </c>
      <c r="B374" s="154">
        <v>45141</v>
      </c>
      <c r="C374" s="155" t="s">
        <v>418</v>
      </c>
      <c r="D374" s="156" t="s">
        <v>37</v>
      </c>
      <c r="E374" s="155" t="s">
        <v>38</v>
      </c>
      <c r="F374" s="155" t="s">
        <v>39</v>
      </c>
    </row>
    <row r="375" ht="14.25" customHeight="1" spans="1:6">
      <c r="A375" s="153">
        <v>45139</v>
      </c>
      <c r="B375" s="154">
        <v>45141</v>
      </c>
      <c r="C375" s="155" t="s">
        <v>419</v>
      </c>
      <c r="D375" s="156" t="s">
        <v>37</v>
      </c>
      <c r="E375" s="155" t="s">
        <v>38</v>
      </c>
      <c r="F375" s="155" t="s">
        <v>39</v>
      </c>
    </row>
    <row r="376" ht="14.25" customHeight="1" spans="1:6">
      <c r="A376" s="153">
        <v>45139</v>
      </c>
      <c r="B376" s="154">
        <v>45141</v>
      </c>
      <c r="C376" s="155" t="s">
        <v>420</v>
      </c>
      <c r="D376" s="155" t="s">
        <v>45</v>
      </c>
      <c r="E376" s="155" t="s">
        <v>43</v>
      </c>
      <c r="F376" s="155" t="s">
        <v>57</v>
      </c>
    </row>
    <row r="377" ht="14.25" customHeight="1" spans="1:6">
      <c r="A377" s="153">
        <v>45139</v>
      </c>
      <c r="B377" s="154">
        <v>45141</v>
      </c>
      <c r="C377" s="155" t="s">
        <v>421</v>
      </c>
      <c r="D377" s="155" t="s">
        <v>45</v>
      </c>
      <c r="E377" s="155" t="s">
        <v>43</v>
      </c>
      <c r="F377" s="155" t="s">
        <v>39</v>
      </c>
    </row>
    <row r="378" ht="14.25" customHeight="1" spans="1:6">
      <c r="A378" s="153">
        <v>45139</v>
      </c>
      <c r="B378" s="154">
        <v>45141</v>
      </c>
      <c r="C378" s="155" t="s">
        <v>422</v>
      </c>
      <c r="D378" s="156" t="s">
        <v>37</v>
      </c>
      <c r="E378" s="155" t="s">
        <v>38</v>
      </c>
      <c r="F378" s="155" t="s">
        <v>39</v>
      </c>
    </row>
    <row r="379" ht="14.25" customHeight="1" spans="1:6">
      <c r="A379" s="153">
        <v>45139</v>
      </c>
      <c r="B379" s="154">
        <v>45141</v>
      </c>
      <c r="C379" s="155" t="s">
        <v>423</v>
      </c>
      <c r="D379" s="155" t="s">
        <v>45</v>
      </c>
      <c r="E379" s="155" t="s">
        <v>43</v>
      </c>
      <c r="F379" s="155" t="s">
        <v>35</v>
      </c>
    </row>
    <row r="380" ht="14.25" customHeight="1" spans="1:6">
      <c r="A380" s="153">
        <v>45139</v>
      </c>
      <c r="B380" s="154">
        <v>45141</v>
      </c>
      <c r="C380" s="155" t="s">
        <v>424</v>
      </c>
      <c r="D380" s="155" t="s">
        <v>33</v>
      </c>
      <c r="E380" s="155" t="s">
        <v>43</v>
      </c>
      <c r="F380" s="155" t="s">
        <v>39</v>
      </c>
    </row>
    <row r="381" ht="14.25" customHeight="1" spans="1:6">
      <c r="A381" s="153">
        <v>45139</v>
      </c>
      <c r="B381" s="154">
        <v>45141</v>
      </c>
      <c r="C381" s="155" t="s">
        <v>425</v>
      </c>
      <c r="D381" s="155" t="s">
        <v>45</v>
      </c>
      <c r="E381" s="155" t="s">
        <v>43</v>
      </c>
      <c r="F381" s="155" t="s">
        <v>57</v>
      </c>
    </row>
    <row r="382" ht="14.25" customHeight="1" spans="1:6">
      <c r="A382" s="153">
        <v>45139</v>
      </c>
      <c r="B382" s="154">
        <v>45141</v>
      </c>
      <c r="C382" s="155" t="s">
        <v>426</v>
      </c>
      <c r="D382" s="155" t="s">
        <v>33</v>
      </c>
      <c r="E382" s="155" t="s">
        <v>43</v>
      </c>
      <c r="F382" s="155" t="s">
        <v>35</v>
      </c>
    </row>
    <row r="383" ht="14.25" customHeight="1" spans="1:6">
      <c r="A383" s="153">
        <v>45139</v>
      </c>
      <c r="B383" s="154">
        <v>45141</v>
      </c>
      <c r="C383" s="155" t="s">
        <v>427</v>
      </c>
      <c r="D383" s="155" t="s">
        <v>45</v>
      </c>
      <c r="E383" s="155" t="s">
        <v>43</v>
      </c>
      <c r="F383" s="155" t="s">
        <v>39</v>
      </c>
    </row>
    <row r="384" ht="14.25" customHeight="1" spans="1:6">
      <c r="A384" s="153">
        <v>45139</v>
      </c>
      <c r="B384" s="154">
        <v>45141</v>
      </c>
      <c r="C384" s="155" t="s">
        <v>428</v>
      </c>
      <c r="D384" s="156" t="s">
        <v>37</v>
      </c>
      <c r="E384" s="155" t="s">
        <v>38</v>
      </c>
      <c r="F384" s="155" t="s">
        <v>39</v>
      </c>
    </row>
    <row r="385" ht="14.25" customHeight="1" spans="1:6">
      <c r="A385" s="153">
        <v>45139</v>
      </c>
      <c r="B385" s="154">
        <v>45141</v>
      </c>
      <c r="C385" s="155" t="s">
        <v>429</v>
      </c>
      <c r="D385" s="155" t="s">
        <v>45</v>
      </c>
      <c r="E385" s="155" t="s">
        <v>50</v>
      </c>
      <c r="F385" s="155" t="s">
        <v>39</v>
      </c>
    </row>
    <row r="386" ht="14.25" customHeight="1" spans="1:6">
      <c r="A386" s="153">
        <v>45139</v>
      </c>
      <c r="B386" s="154">
        <v>45141</v>
      </c>
      <c r="C386" s="155" t="s">
        <v>430</v>
      </c>
      <c r="D386" s="155" t="s">
        <v>45</v>
      </c>
      <c r="E386" s="155" t="s">
        <v>43</v>
      </c>
      <c r="F386" s="155" t="s">
        <v>35</v>
      </c>
    </row>
    <row r="387" ht="14.25" customHeight="1" spans="1:6">
      <c r="A387" s="153">
        <v>45139</v>
      </c>
      <c r="B387" s="154">
        <v>45141</v>
      </c>
      <c r="C387" s="155" t="s">
        <v>431</v>
      </c>
      <c r="D387" s="156" t="s">
        <v>37</v>
      </c>
      <c r="E387" s="155" t="s">
        <v>38</v>
      </c>
      <c r="F387" s="155" t="s">
        <v>39</v>
      </c>
    </row>
    <row r="388" ht="14.25" customHeight="1" spans="1:6">
      <c r="A388" s="153">
        <v>45139</v>
      </c>
      <c r="B388" s="154">
        <v>45141</v>
      </c>
      <c r="C388" s="155" t="s">
        <v>432</v>
      </c>
      <c r="D388" s="155" t="s">
        <v>45</v>
      </c>
      <c r="E388" s="155" t="s">
        <v>34</v>
      </c>
      <c r="F388" s="155" t="s">
        <v>39</v>
      </c>
    </row>
    <row r="389" ht="14.25" customHeight="1" spans="1:6">
      <c r="A389" s="153">
        <v>45139</v>
      </c>
      <c r="B389" s="154">
        <v>45141</v>
      </c>
      <c r="C389" s="155" t="s">
        <v>433</v>
      </c>
      <c r="D389" s="156" t="s">
        <v>37</v>
      </c>
      <c r="E389" s="155" t="s">
        <v>38</v>
      </c>
      <c r="F389" s="155" t="s">
        <v>39</v>
      </c>
    </row>
    <row r="390" ht="14.25" customHeight="1" spans="1:6">
      <c r="A390" s="153">
        <v>45139</v>
      </c>
      <c r="B390" s="154">
        <v>45141</v>
      </c>
      <c r="C390" s="155" t="s">
        <v>434</v>
      </c>
      <c r="D390" s="155" t="s">
        <v>47</v>
      </c>
      <c r="E390" s="155" t="s">
        <v>34</v>
      </c>
      <c r="F390" s="155" t="s">
        <v>57</v>
      </c>
    </row>
    <row r="391" ht="14.25" customHeight="1" spans="1:6">
      <c r="A391" s="153">
        <v>45139</v>
      </c>
      <c r="B391" s="154">
        <v>45141</v>
      </c>
      <c r="C391" s="155" t="s">
        <v>435</v>
      </c>
      <c r="D391" s="155" t="s">
        <v>45</v>
      </c>
      <c r="E391" s="155" t="s">
        <v>43</v>
      </c>
      <c r="F391" s="155" t="s">
        <v>57</v>
      </c>
    </row>
    <row r="392" ht="14.25" customHeight="1" spans="1:6">
      <c r="A392" s="153">
        <v>45139</v>
      </c>
      <c r="B392" s="154">
        <v>45141</v>
      </c>
      <c r="C392" s="155" t="s">
        <v>436</v>
      </c>
      <c r="D392" s="155" t="s">
        <v>33</v>
      </c>
      <c r="E392" s="155" t="s">
        <v>43</v>
      </c>
      <c r="F392" s="155" t="s">
        <v>39</v>
      </c>
    </row>
    <row r="393" ht="14.25" customHeight="1" spans="1:6">
      <c r="A393" s="153">
        <v>45139</v>
      </c>
      <c r="B393" s="154">
        <v>45141</v>
      </c>
      <c r="C393" s="155" t="s">
        <v>437</v>
      </c>
      <c r="D393" s="155" t="s">
        <v>45</v>
      </c>
      <c r="E393" s="155" t="s">
        <v>38</v>
      </c>
      <c r="F393" s="155" t="s">
        <v>35</v>
      </c>
    </row>
    <row r="394" ht="14.25" customHeight="1" spans="1:6">
      <c r="A394" s="153">
        <v>45139</v>
      </c>
      <c r="B394" s="154">
        <v>45141</v>
      </c>
      <c r="C394" s="155" t="s">
        <v>438</v>
      </c>
      <c r="D394" s="155" t="s">
        <v>45</v>
      </c>
      <c r="E394" s="155" t="s">
        <v>43</v>
      </c>
      <c r="F394" s="155" t="s">
        <v>39</v>
      </c>
    </row>
    <row r="395" ht="14.25" customHeight="1" spans="1:6">
      <c r="A395" s="153">
        <v>45139</v>
      </c>
      <c r="B395" s="154">
        <v>45141</v>
      </c>
      <c r="C395" s="155" t="s">
        <v>439</v>
      </c>
      <c r="D395" s="156" t="s">
        <v>37</v>
      </c>
      <c r="E395" s="155" t="s">
        <v>34</v>
      </c>
      <c r="F395" s="155" t="s">
        <v>39</v>
      </c>
    </row>
    <row r="396" ht="14.25" customHeight="1" spans="1:6">
      <c r="A396" s="153">
        <v>45139</v>
      </c>
      <c r="B396" s="154">
        <v>45141</v>
      </c>
      <c r="C396" s="155" t="s">
        <v>440</v>
      </c>
      <c r="D396" s="156" t="s">
        <v>37</v>
      </c>
      <c r="E396" s="155" t="s">
        <v>38</v>
      </c>
      <c r="F396" s="155" t="s">
        <v>39</v>
      </c>
    </row>
    <row r="397" ht="14.25" customHeight="1" spans="1:6">
      <c r="A397" s="153">
        <v>45139</v>
      </c>
      <c r="B397" s="154">
        <v>45141</v>
      </c>
      <c r="C397" s="155" t="s">
        <v>441</v>
      </c>
      <c r="D397" s="156" t="s">
        <v>129</v>
      </c>
      <c r="E397" s="155" t="s">
        <v>38</v>
      </c>
      <c r="F397" s="155" t="s">
        <v>39</v>
      </c>
    </row>
    <row r="398" ht="14.25" customHeight="1" spans="1:6">
      <c r="A398" s="153">
        <v>45139</v>
      </c>
      <c r="B398" s="154">
        <v>45141</v>
      </c>
      <c r="C398" s="155" t="s">
        <v>442</v>
      </c>
      <c r="D398" s="155" t="s">
        <v>45</v>
      </c>
      <c r="E398" s="155" t="s">
        <v>43</v>
      </c>
      <c r="F398" s="155" t="s">
        <v>39</v>
      </c>
    </row>
    <row r="399" ht="14.25" customHeight="1" spans="1:6">
      <c r="A399" s="153">
        <v>45139</v>
      </c>
      <c r="B399" s="154">
        <v>45141</v>
      </c>
      <c r="C399" s="155" t="s">
        <v>443</v>
      </c>
      <c r="D399" s="155" t="s">
        <v>33</v>
      </c>
      <c r="E399" s="155" t="s">
        <v>38</v>
      </c>
      <c r="F399" s="155" t="s">
        <v>35</v>
      </c>
    </row>
    <row r="400" ht="14.25" customHeight="1" spans="1:6">
      <c r="A400" s="153">
        <v>45139</v>
      </c>
      <c r="B400" s="154">
        <v>45141</v>
      </c>
      <c r="C400" s="155" t="s">
        <v>444</v>
      </c>
      <c r="D400" s="155" t="s">
        <v>45</v>
      </c>
      <c r="E400" s="155" t="s">
        <v>43</v>
      </c>
      <c r="F400" s="155" t="s">
        <v>39</v>
      </c>
    </row>
    <row r="401" ht="14.25" customHeight="1" spans="1:6">
      <c r="A401" s="153">
        <v>45139</v>
      </c>
      <c r="B401" s="154">
        <v>45141</v>
      </c>
      <c r="C401" s="155" t="s">
        <v>445</v>
      </c>
      <c r="D401" s="156" t="s">
        <v>129</v>
      </c>
      <c r="E401" s="155" t="s">
        <v>43</v>
      </c>
      <c r="F401" s="155" t="s">
        <v>39</v>
      </c>
    </row>
    <row r="402" ht="14.25" customHeight="1" spans="1:6">
      <c r="A402" s="153">
        <v>45139</v>
      </c>
      <c r="B402" s="154">
        <v>45141</v>
      </c>
      <c r="C402" s="155" t="s">
        <v>446</v>
      </c>
      <c r="D402" s="155" t="s">
        <v>45</v>
      </c>
      <c r="E402" s="155" t="s">
        <v>43</v>
      </c>
      <c r="F402" s="155" t="s">
        <v>39</v>
      </c>
    </row>
    <row r="403" ht="14.25" customHeight="1" spans="1:6">
      <c r="A403" s="153">
        <v>45139</v>
      </c>
      <c r="B403" s="154">
        <v>45141</v>
      </c>
      <c r="C403" s="155" t="s">
        <v>447</v>
      </c>
      <c r="D403" s="156" t="s">
        <v>37</v>
      </c>
      <c r="E403" s="155" t="s">
        <v>38</v>
      </c>
      <c r="F403" s="155" t="s">
        <v>39</v>
      </c>
    </row>
    <row r="404" ht="14.25" customHeight="1" spans="1:6">
      <c r="A404" s="153">
        <v>45139</v>
      </c>
      <c r="B404" s="154">
        <v>45141</v>
      </c>
      <c r="C404" s="155" t="s">
        <v>448</v>
      </c>
      <c r="D404" s="156" t="s">
        <v>45</v>
      </c>
      <c r="E404" s="155" t="s">
        <v>34</v>
      </c>
      <c r="F404" s="155" t="s">
        <v>57</v>
      </c>
    </row>
    <row r="405" ht="14.25" customHeight="1" spans="1:6">
      <c r="A405" s="153">
        <v>45139</v>
      </c>
      <c r="B405" s="154">
        <v>45141</v>
      </c>
      <c r="C405" s="155" t="s">
        <v>449</v>
      </c>
      <c r="D405" s="155" t="s">
        <v>45</v>
      </c>
      <c r="E405" s="155" t="s">
        <v>38</v>
      </c>
      <c r="F405" s="155" t="s">
        <v>39</v>
      </c>
    </row>
    <row r="406" ht="14.25" customHeight="1" spans="1:6">
      <c r="A406" s="153">
        <v>45139</v>
      </c>
      <c r="B406" s="154">
        <v>45141</v>
      </c>
      <c r="C406" s="155" t="s">
        <v>450</v>
      </c>
      <c r="D406" s="156" t="s">
        <v>37</v>
      </c>
      <c r="E406" s="155" t="s">
        <v>38</v>
      </c>
      <c r="F406" s="155" t="s">
        <v>39</v>
      </c>
    </row>
    <row r="407" ht="14.25" customHeight="1" spans="1:6">
      <c r="A407" s="153">
        <v>45139</v>
      </c>
      <c r="B407" s="154">
        <v>45141</v>
      </c>
      <c r="C407" s="155" t="s">
        <v>451</v>
      </c>
      <c r="D407" s="155" t="s">
        <v>45</v>
      </c>
      <c r="E407" s="155" t="s">
        <v>43</v>
      </c>
      <c r="F407" s="155" t="s">
        <v>39</v>
      </c>
    </row>
    <row r="408" ht="14.25" customHeight="1" spans="1:6">
      <c r="A408" s="153">
        <v>45139</v>
      </c>
      <c r="B408" s="154">
        <v>45141</v>
      </c>
      <c r="C408" s="155" t="s">
        <v>452</v>
      </c>
      <c r="D408" s="156" t="s">
        <v>45</v>
      </c>
      <c r="E408" s="155" t="s">
        <v>38</v>
      </c>
      <c r="F408" s="155" t="s">
        <v>39</v>
      </c>
    </row>
    <row r="409" ht="14.25" customHeight="1" spans="1:6">
      <c r="A409" s="153">
        <v>45139</v>
      </c>
      <c r="B409" s="154">
        <v>45141</v>
      </c>
      <c r="C409" s="155" t="s">
        <v>453</v>
      </c>
      <c r="D409" s="156" t="s">
        <v>45</v>
      </c>
      <c r="E409" s="155" t="s">
        <v>34</v>
      </c>
      <c r="F409" s="155" t="s">
        <v>35</v>
      </c>
    </row>
    <row r="410" ht="14.25" customHeight="1" spans="1:6">
      <c r="A410" s="153">
        <v>45139</v>
      </c>
      <c r="B410" s="154">
        <v>45141</v>
      </c>
      <c r="C410" s="155" t="s">
        <v>454</v>
      </c>
      <c r="D410" s="155" t="s">
        <v>47</v>
      </c>
      <c r="E410" s="155" t="s">
        <v>43</v>
      </c>
      <c r="F410" s="155" t="s">
        <v>57</v>
      </c>
    </row>
    <row r="411" ht="14.25" customHeight="1" spans="1:6">
      <c r="A411" s="153">
        <v>45139</v>
      </c>
      <c r="B411" s="154">
        <v>45141</v>
      </c>
      <c r="C411" s="155" t="s">
        <v>455</v>
      </c>
      <c r="D411" s="155" t="s">
        <v>33</v>
      </c>
      <c r="E411" s="155" t="s">
        <v>38</v>
      </c>
      <c r="F411" s="155" t="s">
        <v>57</v>
      </c>
    </row>
    <row r="412" ht="14.25" customHeight="1" spans="1:6">
      <c r="A412" s="153">
        <v>45139</v>
      </c>
      <c r="B412" s="154">
        <v>45141</v>
      </c>
      <c r="C412" s="155" t="s">
        <v>456</v>
      </c>
      <c r="D412" s="155" t="s">
        <v>45</v>
      </c>
      <c r="E412" s="155" t="s">
        <v>43</v>
      </c>
      <c r="F412" s="155" t="s">
        <v>39</v>
      </c>
    </row>
    <row r="413" ht="14.25" customHeight="1" spans="1:6">
      <c r="A413" s="153">
        <v>45139</v>
      </c>
      <c r="B413" s="154">
        <v>45141</v>
      </c>
      <c r="C413" s="155" t="s">
        <v>457</v>
      </c>
      <c r="D413" s="155" t="s">
        <v>45</v>
      </c>
      <c r="E413" s="155" t="s">
        <v>38</v>
      </c>
      <c r="F413" s="155" t="s">
        <v>39</v>
      </c>
    </row>
    <row r="414" ht="14.25" customHeight="1" spans="1:6">
      <c r="A414" s="153">
        <v>45139</v>
      </c>
      <c r="B414" s="154">
        <v>45141</v>
      </c>
      <c r="C414" s="155" t="s">
        <v>458</v>
      </c>
      <c r="D414" s="156" t="s">
        <v>37</v>
      </c>
      <c r="E414" s="155" t="s">
        <v>38</v>
      </c>
      <c r="F414" s="155" t="s">
        <v>39</v>
      </c>
    </row>
    <row r="415" ht="14.25" customHeight="1" spans="1:6">
      <c r="A415" s="153">
        <v>45139</v>
      </c>
      <c r="B415" s="154">
        <v>45141</v>
      </c>
      <c r="C415" s="155" t="s">
        <v>459</v>
      </c>
      <c r="D415" s="155" t="s">
        <v>45</v>
      </c>
      <c r="E415" s="155" t="s">
        <v>38</v>
      </c>
      <c r="F415" s="155" t="s">
        <v>39</v>
      </c>
    </row>
    <row r="416" ht="14.25" customHeight="1" spans="1:6">
      <c r="A416" s="153">
        <v>45139</v>
      </c>
      <c r="B416" s="154">
        <v>45141</v>
      </c>
      <c r="C416" s="155" t="s">
        <v>460</v>
      </c>
      <c r="D416" s="156" t="s">
        <v>45</v>
      </c>
      <c r="E416" s="155" t="s">
        <v>43</v>
      </c>
      <c r="F416" s="155" t="s">
        <v>39</v>
      </c>
    </row>
    <row r="417" ht="14.25" customHeight="1" spans="1:6">
      <c r="A417" s="153">
        <v>45139</v>
      </c>
      <c r="B417" s="154">
        <v>45141</v>
      </c>
      <c r="C417" s="155" t="s">
        <v>461</v>
      </c>
      <c r="D417" s="155" t="s">
        <v>45</v>
      </c>
      <c r="E417" s="155" t="s">
        <v>34</v>
      </c>
      <c r="F417" s="155" t="s">
        <v>39</v>
      </c>
    </row>
    <row r="418" ht="14.25" customHeight="1" spans="1:6">
      <c r="A418" s="153">
        <v>45139</v>
      </c>
      <c r="B418" s="154">
        <v>45141</v>
      </c>
      <c r="C418" s="155" t="s">
        <v>462</v>
      </c>
      <c r="D418" s="156" t="s">
        <v>45</v>
      </c>
      <c r="E418" s="155" t="s">
        <v>43</v>
      </c>
      <c r="F418" s="155" t="s">
        <v>39</v>
      </c>
    </row>
    <row r="419" ht="14.25" customHeight="1" spans="1:6">
      <c r="A419" s="153">
        <v>45139</v>
      </c>
      <c r="B419" s="154">
        <v>45141</v>
      </c>
      <c r="C419" s="155" t="s">
        <v>463</v>
      </c>
      <c r="D419" s="156" t="s">
        <v>37</v>
      </c>
      <c r="E419" s="155" t="s">
        <v>38</v>
      </c>
      <c r="F419" s="155" t="s">
        <v>39</v>
      </c>
    </row>
    <row r="420" ht="14.25" customHeight="1" spans="1:6">
      <c r="A420" s="153">
        <v>45139</v>
      </c>
      <c r="B420" s="154">
        <v>45141</v>
      </c>
      <c r="C420" s="155" t="s">
        <v>464</v>
      </c>
      <c r="D420" s="156" t="s">
        <v>37</v>
      </c>
      <c r="E420" s="155" t="s">
        <v>38</v>
      </c>
      <c r="F420" s="155" t="s">
        <v>39</v>
      </c>
    </row>
    <row r="421" ht="14.25" customHeight="1" spans="1:6">
      <c r="A421" s="153">
        <v>45139</v>
      </c>
      <c r="B421" s="154">
        <v>45141</v>
      </c>
      <c r="C421" s="155" t="s">
        <v>465</v>
      </c>
      <c r="D421" s="156" t="s">
        <v>37</v>
      </c>
      <c r="E421" s="155" t="s">
        <v>38</v>
      </c>
      <c r="F421" s="155" t="s">
        <v>39</v>
      </c>
    </row>
    <row r="422" ht="14.25" customHeight="1" spans="1:6">
      <c r="A422" s="153">
        <v>45139</v>
      </c>
      <c r="B422" s="154">
        <v>45141</v>
      </c>
      <c r="C422" s="155" t="s">
        <v>466</v>
      </c>
      <c r="D422" s="156" t="s">
        <v>45</v>
      </c>
      <c r="E422" s="155" t="s">
        <v>38</v>
      </c>
      <c r="F422" s="155" t="s">
        <v>39</v>
      </c>
    </row>
    <row r="423" ht="14.25" customHeight="1" spans="1:6">
      <c r="A423" s="153">
        <v>45139</v>
      </c>
      <c r="B423" s="154">
        <v>45141</v>
      </c>
      <c r="C423" s="155" t="s">
        <v>467</v>
      </c>
      <c r="D423" s="155" t="s">
        <v>45</v>
      </c>
      <c r="E423" s="155" t="s">
        <v>38</v>
      </c>
      <c r="F423" s="155" t="s">
        <v>57</v>
      </c>
    </row>
    <row r="424" ht="14.25" customHeight="1" spans="1:6">
      <c r="A424" s="153">
        <v>45139</v>
      </c>
      <c r="B424" s="154">
        <v>45141</v>
      </c>
      <c r="C424" s="155" t="s">
        <v>468</v>
      </c>
      <c r="D424" s="155" t="s">
        <v>45</v>
      </c>
      <c r="E424" s="155" t="s">
        <v>43</v>
      </c>
      <c r="F424" s="155" t="s">
        <v>57</v>
      </c>
    </row>
    <row r="425" ht="14.25" customHeight="1" spans="1:6">
      <c r="A425" s="153">
        <v>45139</v>
      </c>
      <c r="B425" s="154">
        <v>45141</v>
      </c>
      <c r="C425" s="155" t="s">
        <v>469</v>
      </c>
      <c r="D425" s="155" t="s">
        <v>45</v>
      </c>
      <c r="E425" s="155" t="s">
        <v>43</v>
      </c>
      <c r="F425" s="155" t="s">
        <v>39</v>
      </c>
    </row>
    <row r="426" ht="14.25" customHeight="1" spans="1:6">
      <c r="A426" s="153">
        <v>45139</v>
      </c>
      <c r="B426" s="154">
        <v>45141</v>
      </c>
      <c r="C426" s="155" t="s">
        <v>470</v>
      </c>
      <c r="D426" s="155" t="s">
        <v>45</v>
      </c>
      <c r="E426" s="155" t="s">
        <v>43</v>
      </c>
      <c r="F426" s="155" t="s">
        <v>39</v>
      </c>
    </row>
    <row r="427" ht="14.25" customHeight="1" spans="1:6">
      <c r="A427" s="153">
        <v>45139</v>
      </c>
      <c r="B427" s="154">
        <v>45141</v>
      </c>
      <c r="C427" s="155" t="s">
        <v>471</v>
      </c>
      <c r="D427" s="155" t="s">
        <v>45</v>
      </c>
      <c r="E427" s="155" t="s">
        <v>38</v>
      </c>
      <c r="F427" s="155" t="s">
        <v>35</v>
      </c>
    </row>
    <row r="428" ht="14.25" customHeight="1" spans="1:6">
      <c r="A428" s="153">
        <v>45139</v>
      </c>
      <c r="B428" s="154">
        <v>45141</v>
      </c>
      <c r="C428" s="155" t="s">
        <v>472</v>
      </c>
      <c r="D428" s="156" t="s">
        <v>45</v>
      </c>
      <c r="E428" s="155" t="s">
        <v>34</v>
      </c>
      <c r="F428" s="155" t="s">
        <v>35</v>
      </c>
    </row>
    <row r="429" ht="14.25" customHeight="1" spans="1:6">
      <c r="A429" s="153">
        <v>45139</v>
      </c>
      <c r="B429" s="154">
        <v>45141</v>
      </c>
      <c r="C429" s="155" t="s">
        <v>473</v>
      </c>
      <c r="D429" s="155" t="s">
        <v>45</v>
      </c>
      <c r="E429" s="155" t="s">
        <v>43</v>
      </c>
      <c r="F429" s="155" t="s">
        <v>39</v>
      </c>
    </row>
    <row r="430" ht="14.25" customHeight="1" spans="1:6">
      <c r="A430" s="153">
        <v>45139</v>
      </c>
      <c r="B430" s="154">
        <v>45141</v>
      </c>
      <c r="C430" s="155" t="s">
        <v>474</v>
      </c>
      <c r="D430" s="155" t="s">
        <v>45</v>
      </c>
      <c r="E430" s="155" t="s">
        <v>38</v>
      </c>
      <c r="F430" s="155" t="s">
        <v>39</v>
      </c>
    </row>
    <row r="431" ht="14.25" customHeight="1" spans="1:6">
      <c r="A431" s="153">
        <v>45139</v>
      </c>
      <c r="B431" s="154">
        <v>45141</v>
      </c>
      <c r="C431" s="155" t="s">
        <v>475</v>
      </c>
      <c r="D431" s="155" t="s">
        <v>33</v>
      </c>
      <c r="E431" s="155" t="s">
        <v>43</v>
      </c>
      <c r="F431" s="155" t="s">
        <v>39</v>
      </c>
    </row>
    <row r="432" ht="14.25" customHeight="1" spans="1:6">
      <c r="A432" s="153">
        <v>45139</v>
      </c>
      <c r="B432" s="154">
        <v>45141</v>
      </c>
      <c r="C432" s="155" t="s">
        <v>476</v>
      </c>
      <c r="D432" s="155" t="s">
        <v>33</v>
      </c>
      <c r="E432" s="155" t="s">
        <v>43</v>
      </c>
      <c r="F432" s="155" t="s">
        <v>35</v>
      </c>
    </row>
    <row r="433" ht="14.25" customHeight="1" spans="1:6">
      <c r="A433" s="153">
        <v>45139</v>
      </c>
      <c r="B433" s="154">
        <v>45141</v>
      </c>
      <c r="C433" s="155" t="s">
        <v>477</v>
      </c>
      <c r="D433" s="156" t="s">
        <v>37</v>
      </c>
      <c r="E433" s="155" t="s">
        <v>38</v>
      </c>
      <c r="F433" s="155" t="s">
        <v>39</v>
      </c>
    </row>
    <row r="434" ht="14.25" customHeight="1" spans="1:6">
      <c r="A434" s="153">
        <v>45139</v>
      </c>
      <c r="B434" s="154">
        <v>45141</v>
      </c>
      <c r="C434" s="155" t="s">
        <v>478</v>
      </c>
      <c r="D434" s="156" t="s">
        <v>45</v>
      </c>
      <c r="E434" s="155" t="s">
        <v>43</v>
      </c>
      <c r="F434" s="155" t="s">
        <v>39</v>
      </c>
    </row>
    <row r="435" ht="14.25" customHeight="1" spans="1:6">
      <c r="A435" s="153">
        <v>45139</v>
      </c>
      <c r="B435" s="154">
        <v>45141</v>
      </c>
      <c r="C435" s="155" t="s">
        <v>479</v>
      </c>
      <c r="D435" s="155" t="s">
        <v>45</v>
      </c>
      <c r="E435" s="155" t="s">
        <v>38</v>
      </c>
      <c r="F435" s="155" t="s">
        <v>35</v>
      </c>
    </row>
    <row r="436" ht="14.25" customHeight="1" spans="1:6">
      <c r="A436" s="153">
        <v>45139</v>
      </c>
      <c r="B436" s="154">
        <v>45141</v>
      </c>
      <c r="C436" s="155" t="s">
        <v>480</v>
      </c>
      <c r="D436" s="156" t="s">
        <v>37</v>
      </c>
      <c r="E436" s="155" t="s">
        <v>38</v>
      </c>
      <c r="F436" s="155" t="s">
        <v>39</v>
      </c>
    </row>
    <row r="437" ht="14.25" customHeight="1" spans="1:6">
      <c r="A437" s="153">
        <v>45139</v>
      </c>
      <c r="B437" s="154">
        <v>45141</v>
      </c>
      <c r="C437" s="155" t="s">
        <v>481</v>
      </c>
      <c r="D437" s="155" t="s">
        <v>33</v>
      </c>
      <c r="E437" s="155" t="s">
        <v>43</v>
      </c>
      <c r="F437" s="155" t="s">
        <v>39</v>
      </c>
    </row>
    <row r="438" ht="14.25" customHeight="1" spans="1:6">
      <c r="A438" s="153">
        <v>45139</v>
      </c>
      <c r="B438" s="154">
        <v>45141</v>
      </c>
      <c r="C438" s="155" t="s">
        <v>482</v>
      </c>
      <c r="D438" s="156" t="s">
        <v>45</v>
      </c>
      <c r="E438" s="155" t="s">
        <v>34</v>
      </c>
      <c r="F438" s="155" t="s">
        <v>35</v>
      </c>
    </row>
    <row r="439" ht="14.25" customHeight="1" spans="1:6">
      <c r="A439" s="153">
        <v>45139</v>
      </c>
      <c r="B439" s="154">
        <v>45141</v>
      </c>
      <c r="C439" s="155" t="s">
        <v>483</v>
      </c>
      <c r="D439" s="155" t="s">
        <v>62</v>
      </c>
      <c r="E439" s="155" t="s">
        <v>38</v>
      </c>
      <c r="F439" s="155" t="s">
        <v>39</v>
      </c>
    </row>
    <row r="440" ht="14.25" customHeight="1" spans="1:6">
      <c r="A440" s="153">
        <v>45139</v>
      </c>
      <c r="B440" s="154">
        <v>45141</v>
      </c>
      <c r="C440" s="155" t="s">
        <v>484</v>
      </c>
      <c r="D440" s="156" t="s">
        <v>45</v>
      </c>
      <c r="E440" s="155" t="s">
        <v>34</v>
      </c>
      <c r="F440" s="155" t="s">
        <v>57</v>
      </c>
    </row>
    <row r="441" ht="14.25" customHeight="1" spans="1:6">
      <c r="A441" s="153">
        <v>45139</v>
      </c>
      <c r="B441" s="154">
        <v>45141</v>
      </c>
      <c r="C441" s="155" t="s">
        <v>485</v>
      </c>
      <c r="D441" s="156" t="s">
        <v>37</v>
      </c>
      <c r="E441" s="155" t="s">
        <v>38</v>
      </c>
      <c r="F441" s="155" t="s">
        <v>39</v>
      </c>
    </row>
    <row r="442" ht="14.25" customHeight="1" spans="1:6">
      <c r="A442" s="153">
        <v>45139</v>
      </c>
      <c r="B442" s="154">
        <v>45141</v>
      </c>
      <c r="C442" s="155" t="s">
        <v>486</v>
      </c>
      <c r="D442" s="156" t="s">
        <v>37</v>
      </c>
      <c r="E442" s="155" t="s">
        <v>38</v>
      </c>
      <c r="F442" s="155" t="s">
        <v>39</v>
      </c>
    </row>
    <row r="443" ht="14.25" customHeight="1" spans="1:6">
      <c r="A443" s="153">
        <v>45139</v>
      </c>
      <c r="B443" s="154">
        <v>45141</v>
      </c>
      <c r="C443" s="155" t="s">
        <v>487</v>
      </c>
      <c r="D443" s="156" t="s">
        <v>37</v>
      </c>
      <c r="E443" s="155" t="s">
        <v>38</v>
      </c>
      <c r="F443" s="155" t="s">
        <v>39</v>
      </c>
    </row>
    <row r="444" ht="14.25" customHeight="1" spans="1:6">
      <c r="A444" s="153">
        <v>45139</v>
      </c>
      <c r="B444" s="154">
        <v>45141</v>
      </c>
      <c r="C444" s="155" t="s">
        <v>488</v>
      </c>
      <c r="D444" s="156" t="s">
        <v>37</v>
      </c>
      <c r="E444" s="155" t="s">
        <v>38</v>
      </c>
      <c r="F444" s="155" t="s">
        <v>39</v>
      </c>
    </row>
    <row r="445" ht="14.25" customHeight="1" spans="1:6">
      <c r="A445" s="153">
        <v>45139</v>
      </c>
      <c r="B445" s="154">
        <v>45141</v>
      </c>
      <c r="C445" s="155" t="s">
        <v>489</v>
      </c>
      <c r="D445" s="156" t="s">
        <v>37</v>
      </c>
      <c r="E445" s="155" t="s">
        <v>38</v>
      </c>
      <c r="F445" s="155" t="s">
        <v>39</v>
      </c>
    </row>
    <row r="446" ht="14.25" customHeight="1" spans="1:6">
      <c r="A446" s="153">
        <v>45139</v>
      </c>
      <c r="B446" s="154">
        <v>45141</v>
      </c>
      <c r="C446" s="155" t="s">
        <v>490</v>
      </c>
      <c r="D446" s="156" t="s">
        <v>37</v>
      </c>
      <c r="E446" s="155" t="s">
        <v>43</v>
      </c>
      <c r="F446" s="155" t="s">
        <v>39</v>
      </c>
    </row>
    <row r="447" ht="14.25" customHeight="1" spans="1:6">
      <c r="A447" s="153">
        <v>45139</v>
      </c>
      <c r="B447" s="154">
        <v>45141</v>
      </c>
      <c r="C447" s="155" t="s">
        <v>491</v>
      </c>
      <c r="D447" s="156" t="s">
        <v>37</v>
      </c>
      <c r="E447" s="155" t="s">
        <v>38</v>
      </c>
      <c r="F447" s="155" t="s">
        <v>39</v>
      </c>
    </row>
    <row r="448" ht="14.25" customHeight="1" spans="1:6">
      <c r="A448" s="153">
        <v>45139</v>
      </c>
      <c r="B448" s="154">
        <v>45141</v>
      </c>
      <c r="C448" s="155" t="s">
        <v>492</v>
      </c>
      <c r="D448" s="156" t="s">
        <v>45</v>
      </c>
      <c r="E448" s="155" t="s">
        <v>50</v>
      </c>
      <c r="F448" s="155" t="s">
        <v>57</v>
      </c>
    </row>
    <row r="449" ht="14.25" customHeight="1" spans="1:6">
      <c r="A449" s="153">
        <v>45139</v>
      </c>
      <c r="B449" s="154">
        <v>45141</v>
      </c>
      <c r="C449" s="155" t="s">
        <v>493</v>
      </c>
      <c r="D449" s="156" t="s">
        <v>37</v>
      </c>
      <c r="E449" s="155" t="s">
        <v>38</v>
      </c>
      <c r="F449" s="155" t="s">
        <v>39</v>
      </c>
    </row>
    <row r="450" ht="14.25" customHeight="1" spans="1:6">
      <c r="A450" s="153">
        <v>45139</v>
      </c>
      <c r="B450" s="154">
        <v>45141</v>
      </c>
      <c r="C450" s="155" t="s">
        <v>494</v>
      </c>
      <c r="D450" s="155" t="s">
        <v>33</v>
      </c>
      <c r="E450" s="155" t="s">
        <v>34</v>
      </c>
      <c r="F450" s="155" t="s">
        <v>39</v>
      </c>
    </row>
    <row r="451" ht="14.25" customHeight="1" spans="1:6">
      <c r="A451" s="153">
        <v>45139</v>
      </c>
      <c r="B451" s="154">
        <v>45141</v>
      </c>
      <c r="C451" s="155" t="s">
        <v>495</v>
      </c>
      <c r="D451" s="155" t="s">
        <v>45</v>
      </c>
      <c r="E451" s="155" t="s">
        <v>38</v>
      </c>
      <c r="F451" s="155" t="s">
        <v>39</v>
      </c>
    </row>
    <row r="452" ht="14.25" customHeight="1" spans="1:6">
      <c r="A452" s="153">
        <v>45139</v>
      </c>
      <c r="B452" s="154">
        <v>45141</v>
      </c>
      <c r="C452" s="155" t="s">
        <v>496</v>
      </c>
      <c r="D452" s="155" t="s">
        <v>33</v>
      </c>
      <c r="E452" s="155" t="s">
        <v>43</v>
      </c>
      <c r="F452" s="155" t="s">
        <v>57</v>
      </c>
    </row>
    <row r="453" ht="14.25" customHeight="1" spans="1:6">
      <c r="A453" s="153">
        <v>45139</v>
      </c>
      <c r="B453" s="154">
        <v>45141</v>
      </c>
      <c r="C453" s="155" t="s">
        <v>497</v>
      </c>
      <c r="D453" s="155" t="s">
        <v>45</v>
      </c>
      <c r="E453" s="155" t="s">
        <v>43</v>
      </c>
      <c r="F453" s="155" t="s">
        <v>39</v>
      </c>
    </row>
    <row r="454" ht="14.25" customHeight="1" spans="1:6">
      <c r="A454" s="153">
        <v>45139</v>
      </c>
      <c r="B454" s="154">
        <v>45141</v>
      </c>
      <c r="C454" s="155" t="s">
        <v>498</v>
      </c>
      <c r="D454" s="155" t="s">
        <v>45</v>
      </c>
      <c r="E454" s="155" t="s">
        <v>43</v>
      </c>
      <c r="F454" s="155" t="s">
        <v>39</v>
      </c>
    </row>
    <row r="455" ht="14.25" customHeight="1" spans="1:6">
      <c r="A455" s="153">
        <v>45139</v>
      </c>
      <c r="B455" s="154">
        <v>45141</v>
      </c>
      <c r="C455" s="155" t="s">
        <v>499</v>
      </c>
      <c r="D455" s="155" t="s">
        <v>47</v>
      </c>
      <c r="E455" s="155" t="s">
        <v>43</v>
      </c>
      <c r="F455" s="155" t="s">
        <v>39</v>
      </c>
    </row>
    <row r="456" ht="14.25" customHeight="1" spans="1:6">
      <c r="A456" s="153">
        <v>45139</v>
      </c>
      <c r="B456" s="154">
        <v>45141</v>
      </c>
      <c r="C456" s="155" t="s">
        <v>500</v>
      </c>
      <c r="D456" s="156" t="s">
        <v>37</v>
      </c>
      <c r="E456" s="155" t="s">
        <v>38</v>
      </c>
      <c r="F456" s="155" t="s">
        <v>39</v>
      </c>
    </row>
    <row r="457" ht="14.25" customHeight="1" spans="1:6">
      <c r="A457" s="153">
        <v>45139</v>
      </c>
      <c r="B457" s="154">
        <v>45141</v>
      </c>
      <c r="C457" s="155" t="s">
        <v>501</v>
      </c>
      <c r="D457" s="156" t="s">
        <v>37</v>
      </c>
      <c r="E457" s="155" t="s">
        <v>38</v>
      </c>
      <c r="F457" s="155" t="s">
        <v>39</v>
      </c>
    </row>
    <row r="458" ht="14.25" customHeight="1" spans="1:6">
      <c r="A458" s="153">
        <v>45139</v>
      </c>
      <c r="B458" s="154">
        <v>45141</v>
      </c>
      <c r="C458" s="155" t="s">
        <v>502</v>
      </c>
      <c r="D458" s="155" t="s">
        <v>45</v>
      </c>
      <c r="E458" s="155" t="s">
        <v>43</v>
      </c>
      <c r="F458" s="155" t="s">
        <v>39</v>
      </c>
    </row>
    <row r="459" ht="14.25" customHeight="1" spans="1:6">
      <c r="A459" s="153">
        <v>45139</v>
      </c>
      <c r="B459" s="154">
        <v>45141</v>
      </c>
      <c r="C459" s="155" t="s">
        <v>503</v>
      </c>
      <c r="D459" s="156" t="s">
        <v>37</v>
      </c>
      <c r="E459" s="155" t="s">
        <v>38</v>
      </c>
      <c r="F459" s="155" t="s">
        <v>39</v>
      </c>
    </row>
    <row r="460" ht="14.25" customHeight="1" spans="1:6">
      <c r="A460" s="153">
        <v>45139</v>
      </c>
      <c r="B460" s="154">
        <v>45141</v>
      </c>
      <c r="C460" s="155" t="s">
        <v>504</v>
      </c>
      <c r="D460" s="156" t="s">
        <v>45</v>
      </c>
      <c r="E460" s="155" t="s">
        <v>50</v>
      </c>
      <c r="F460" s="155" t="s">
        <v>39</v>
      </c>
    </row>
    <row r="461" ht="14.25" customHeight="1" spans="1:6">
      <c r="A461" s="153">
        <v>45139</v>
      </c>
      <c r="B461" s="154">
        <v>45141</v>
      </c>
      <c r="C461" s="155" t="s">
        <v>505</v>
      </c>
      <c r="D461" s="155" t="s">
        <v>45</v>
      </c>
      <c r="E461" s="155" t="s">
        <v>43</v>
      </c>
      <c r="F461" s="155" t="s">
        <v>39</v>
      </c>
    </row>
    <row r="462" ht="14.25" customHeight="1" spans="1:6">
      <c r="A462" s="153">
        <v>45139</v>
      </c>
      <c r="B462" s="154">
        <v>45141</v>
      </c>
      <c r="C462" s="155" t="s">
        <v>506</v>
      </c>
      <c r="D462" s="155" t="s">
        <v>45</v>
      </c>
      <c r="E462" s="155" t="s">
        <v>38</v>
      </c>
      <c r="F462" s="155" t="s">
        <v>39</v>
      </c>
    </row>
    <row r="463" ht="14.25" customHeight="1" spans="1:6">
      <c r="A463" s="153">
        <v>45139</v>
      </c>
      <c r="B463" s="154">
        <v>45141</v>
      </c>
      <c r="C463" s="155" t="s">
        <v>507</v>
      </c>
      <c r="D463" s="156" t="s">
        <v>37</v>
      </c>
      <c r="E463" s="155" t="s">
        <v>38</v>
      </c>
      <c r="F463" s="155" t="s">
        <v>39</v>
      </c>
    </row>
    <row r="464" ht="14.25" customHeight="1" spans="1:6">
      <c r="A464" s="153">
        <v>45139</v>
      </c>
      <c r="B464" s="154">
        <v>45141</v>
      </c>
      <c r="C464" s="155" t="s">
        <v>508</v>
      </c>
      <c r="D464" s="156" t="s">
        <v>37</v>
      </c>
      <c r="E464" s="155" t="s">
        <v>38</v>
      </c>
      <c r="F464" s="155" t="s">
        <v>39</v>
      </c>
    </row>
    <row r="465" ht="14.25" customHeight="1" spans="1:6">
      <c r="A465" s="153">
        <v>45139</v>
      </c>
      <c r="B465" s="154">
        <v>45141</v>
      </c>
      <c r="C465" s="155" t="s">
        <v>509</v>
      </c>
      <c r="D465" s="156" t="s">
        <v>47</v>
      </c>
      <c r="E465" s="155" t="s">
        <v>34</v>
      </c>
      <c r="F465" s="155" t="s">
        <v>39</v>
      </c>
    </row>
    <row r="466" ht="14.25" customHeight="1" spans="1:6">
      <c r="A466" s="153">
        <v>45139</v>
      </c>
      <c r="B466" s="154">
        <v>45141</v>
      </c>
      <c r="C466" s="155" t="s">
        <v>510</v>
      </c>
      <c r="D466" s="155" t="s">
        <v>45</v>
      </c>
      <c r="E466" s="155" t="s">
        <v>43</v>
      </c>
      <c r="F466" s="155" t="s">
        <v>39</v>
      </c>
    </row>
    <row r="467" ht="14.25" customHeight="1" spans="1:6">
      <c r="A467" s="153">
        <v>45139</v>
      </c>
      <c r="B467" s="154">
        <v>45141</v>
      </c>
      <c r="C467" s="155" t="s">
        <v>511</v>
      </c>
      <c r="D467" s="156" t="s">
        <v>47</v>
      </c>
      <c r="E467" s="155" t="s">
        <v>50</v>
      </c>
      <c r="F467" s="155" t="s">
        <v>39</v>
      </c>
    </row>
    <row r="468" ht="14.25" customHeight="1" spans="1:6">
      <c r="A468" s="153">
        <v>45139</v>
      </c>
      <c r="B468" s="154">
        <v>45141</v>
      </c>
      <c r="C468" s="155" t="s">
        <v>512</v>
      </c>
      <c r="D468" s="155" t="s">
        <v>45</v>
      </c>
      <c r="E468" s="155" t="s">
        <v>43</v>
      </c>
      <c r="F468" s="155" t="s">
        <v>57</v>
      </c>
    </row>
    <row r="469" ht="14.25" customHeight="1" spans="1:6">
      <c r="A469" s="153">
        <v>45139</v>
      </c>
      <c r="B469" s="154">
        <v>45141</v>
      </c>
      <c r="C469" s="155" t="s">
        <v>513</v>
      </c>
      <c r="D469" s="155" t="s">
        <v>45</v>
      </c>
      <c r="E469" s="155" t="s">
        <v>34</v>
      </c>
      <c r="F469" s="155" t="s">
        <v>35</v>
      </c>
    </row>
    <row r="470" ht="14.25" customHeight="1" spans="1:6">
      <c r="A470" s="153">
        <v>45139</v>
      </c>
      <c r="B470" s="154">
        <v>45141</v>
      </c>
      <c r="C470" s="155" t="s">
        <v>514</v>
      </c>
      <c r="D470" s="156" t="s">
        <v>47</v>
      </c>
      <c r="E470" s="155" t="s">
        <v>38</v>
      </c>
      <c r="F470" s="155" t="s">
        <v>39</v>
      </c>
    </row>
    <row r="471" ht="14.25" customHeight="1" spans="1:6">
      <c r="A471" s="153">
        <v>45139</v>
      </c>
      <c r="B471" s="154">
        <v>45141</v>
      </c>
      <c r="C471" s="155" t="s">
        <v>515</v>
      </c>
      <c r="D471" s="156" t="s">
        <v>37</v>
      </c>
      <c r="E471" s="155" t="s">
        <v>38</v>
      </c>
      <c r="F471" s="155" t="s">
        <v>39</v>
      </c>
    </row>
    <row r="472" ht="14.25" customHeight="1" spans="1:6">
      <c r="A472" s="153">
        <v>45139</v>
      </c>
      <c r="B472" s="154">
        <v>45141</v>
      </c>
      <c r="C472" s="155" t="s">
        <v>516</v>
      </c>
      <c r="D472" s="155" t="s">
        <v>45</v>
      </c>
      <c r="E472" s="155" t="s">
        <v>43</v>
      </c>
      <c r="F472" s="155" t="s">
        <v>39</v>
      </c>
    </row>
    <row r="473" ht="14.25" customHeight="1" spans="1:6">
      <c r="A473" s="153">
        <v>45139</v>
      </c>
      <c r="B473" s="154">
        <v>45141</v>
      </c>
      <c r="C473" s="155" t="s">
        <v>517</v>
      </c>
      <c r="D473" s="156" t="s">
        <v>37</v>
      </c>
      <c r="E473" s="155" t="s">
        <v>38</v>
      </c>
      <c r="F473" s="155" t="s">
        <v>39</v>
      </c>
    </row>
    <row r="474" ht="14.25" customHeight="1" spans="1:6">
      <c r="A474" s="153">
        <v>45139</v>
      </c>
      <c r="B474" s="154">
        <v>45141</v>
      </c>
      <c r="C474" s="155" t="s">
        <v>518</v>
      </c>
      <c r="D474" s="156" t="s">
        <v>37</v>
      </c>
      <c r="E474" s="155" t="s">
        <v>38</v>
      </c>
      <c r="F474" s="155" t="s">
        <v>39</v>
      </c>
    </row>
    <row r="475" ht="14.25" customHeight="1" spans="1:6">
      <c r="A475" s="153">
        <v>45139</v>
      </c>
      <c r="B475" s="154">
        <v>45141</v>
      </c>
      <c r="C475" s="155" t="s">
        <v>519</v>
      </c>
      <c r="D475" s="155" t="s">
        <v>45</v>
      </c>
      <c r="E475" s="155" t="s">
        <v>38</v>
      </c>
      <c r="F475" s="155" t="s">
        <v>57</v>
      </c>
    </row>
    <row r="476" ht="14.25" customHeight="1" spans="1:6">
      <c r="A476" s="153">
        <v>45139</v>
      </c>
      <c r="B476" s="154">
        <v>45141</v>
      </c>
      <c r="C476" s="155" t="s">
        <v>520</v>
      </c>
      <c r="D476" s="155" t="s">
        <v>45</v>
      </c>
      <c r="E476" s="155" t="s">
        <v>38</v>
      </c>
      <c r="F476" s="155" t="s">
        <v>39</v>
      </c>
    </row>
    <row r="477" ht="14.25" customHeight="1" spans="1:6">
      <c r="A477" s="153">
        <v>45139</v>
      </c>
      <c r="B477" s="154">
        <v>45141</v>
      </c>
      <c r="C477" s="155" t="s">
        <v>521</v>
      </c>
      <c r="D477" s="156" t="s">
        <v>47</v>
      </c>
      <c r="E477" s="155" t="s">
        <v>43</v>
      </c>
      <c r="F477" s="155" t="s">
        <v>35</v>
      </c>
    </row>
    <row r="478" ht="14.25" customHeight="1" spans="1:6">
      <c r="A478" s="153">
        <v>45139</v>
      </c>
      <c r="B478" s="154">
        <v>45141</v>
      </c>
      <c r="C478" s="155" t="s">
        <v>522</v>
      </c>
      <c r="D478" s="155" t="s">
        <v>45</v>
      </c>
      <c r="E478" s="155" t="s">
        <v>38</v>
      </c>
      <c r="F478" s="155" t="s">
        <v>39</v>
      </c>
    </row>
    <row r="479" ht="14.25" customHeight="1" spans="1:6">
      <c r="A479" s="153">
        <v>45139</v>
      </c>
      <c r="B479" s="154">
        <v>45141</v>
      </c>
      <c r="C479" s="155" t="s">
        <v>523</v>
      </c>
      <c r="D479" s="155" t="s">
        <v>33</v>
      </c>
      <c r="E479" s="155" t="s">
        <v>38</v>
      </c>
      <c r="F479" s="155" t="s">
        <v>57</v>
      </c>
    </row>
    <row r="480" ht="14.25" customHeight="1" spans="1:6">
      <c r="A480" s="153">
        <v>45139</v>
      </c>
      <c r="B480" s="154">
        <v>45141</v>
      </c>
      <c r="C480" s="155" t="s">
        <v>524</v>
      </c>
      <c r="D480" s="155" t="s">
        <v>33</v>
      </c>
      <c r="E480" s="155" t="s">
        <v>43</v>
      </c>
      <c r="F480" s="155" t="s">
        <v>57</v>
      </c>
    </row>
    <row r="481" ht="14.25" customHeight="1" spans="1:6">
      <c r="A481" s="153">
        <v>45139</v>
      </c>
      <c r="B481" s="154">
        <v>45141</v>
      </c>
      <c r="C481" s="155" t="s">
        <v>525</v>
      </c>
      <c r="D481" s="155" t="s">
        <v>45</v>
      </c>
      <c r="E481" s="155" t="s">
        <v>43</v>
      </c>
      <c r="F481" s="155" t="s">
        <v>35</v>
      </c>
    </row>
    <row r="482" ht="14.25" customHeight="1" spans="1:6">
      <c r="A482" s="153">
        <v>45139</v>
      </c>
      <c r="B482" s="154">
        <v>45141</v>
      </c>
      <c r="C482" s="155" t="s">
        <v>526</v>
      </c>
      <c r="D482" s="155" t="s">
        <v>45</v>
      </c>
      <c r="E482" s="155" t="s">
        <v>38</v>
      </c>
      <c r="F482" s="155" t="s">
        <v>57</v>
      </c>
    </row>
    <row r="483" ht="14.25" customHeight="1" spans="1:6">
      <c r="A483" s="153">
        <v>45139</v>
      </c>
      <c r="B483" s="154">
        <v>45141</v>
      </c>
      <c r="C483" s="155" t="s">
        <v>527</v>
      </c>
      <c r="D483" s="155" t="s">
        <v>45</v>
      </c>
      <c r="E483" s="155" t="s">
        <v>38</v>
      </c>
      <c r="F483" s="155" t="s">
        <v>57</v>
      </c>
    </row>
    <row r="484" ht="14.25" customHeight="1" spans="1:6">
      <c r="A484" s="153">
        <v>45139</v>
      </c>
      <c r="B484" s="154">
        <v>45141</v>
      </c>
      <c r="C484" s="155" t="s">
        <v>528</v>
      </c>
      <c r="D484" s="156" t="s">
        <v>47</v>
      </c>
      <c r="E484" s="155" t="s">
        <v>38</v>
      </c>
      <c r="F484" s="155" t="s">
        <v>39</v>
      </c>
    </row>
    <row r="485" ht="14.25" customHeight="1" spans="1:6">
      <c r="A485" s="153">
        <v>45139</v>
      </c>
      <c r="B485" s="154">
        <v>45141</v>
      </c>
      <c r="C485" s="155" t="s">
        <v>529</v>
      </c>
      <c r="D485" s="155" t="s">
        <v>45</v>
      </c>
      <c r="E485" s="155" t="s">
        <v>38</v>
      </c>
      <c r="F485" s="155" t="s">
        <v>39</v>
      </c>
    </row>
    <row r="486" ht="14.25" customHeight="1" spans="1:6">
      <c r="A486" s="153">
        <v>45139</v>
      </c>
      <c r="B486" s="154">
        <v>45141</v>
      </c>
      <c r="C486" s="155" t="s">
        <v>530</v>
      </c>
      <c r="D486" s="156" t="s">
        <v>47</v>
      </c>
      <c r="E486" s="155" t="s">
        <v>38</v>
      </c>
      <c r="F486" s="155" t="s">
        <v>39</v>
      </c>
    </row>
    <row r="487" ht="14.25" customHeight="1" spans="1:6">
      <c r="A487" s="153">
        <v>45139</v>
      </c>
      <c r="B487" s="154">
        <v>45141</v>
      </c>
      <c r="C487" s="155" t="s">
        <v>531</v>
      </c>
      <c r="D487" s="155" t="s">
        <v>33</v>
      </c>
      <c r="E487" s="155" t="s">
        <v>43</v>
      </c>
      <c r="F487" s="155" t="s">
        <v>39</v>
      </c>
    </row>
    <row r="488" ht="14.25" customHeight="1" spans="1:6">
      <c r="A488" s="153">
        <v>45139</v>
      </c>
      <c r="B488" s="154">
        <v>45141</v>
      </c>
      <c r="C488" s="155" t="s">
        <v>532</v>
      </c>
      <c r="D488" s="156" t="s">
        <v>47</v>
      </c>
      <c r="E488" s="155" t="s">
        <v>34</v>
      </c>
      <c r="F488" s="155" t="s">
        <v>39</v>
      </c>
    </row>
    <row r="489" ht="14.25" customHeight="1" spans="1:6">
      <c r="A489" s="153">
        <v>45139</v>
      </c>
      <c r="B489" s="154">
        <v>45141</v>
      </c>
      <c r="C489" s="155" t="s">
        <v>533</v>
      </c>
      <c r="D489" s="155" t="s">
        <v>33</v>
      </c>
      <c r="E489" s="155" t="s">
        <v>43</v>
      </c>
      <c r="F489" s="155" t="s">
        <v>57</v>
      </c>
    </row>
    <row r="490" ht="14.25" customHeight="1" spans="1:6">
      <c r="A490" s="153">
        <v>45139</v>
      </c>
      <c r="B490" s="154">
        <v>45141</v>
      </c>
      <c r="C490" s="155" t="s">
        <v>534</v>
      </c>
      <c r="D490" s="156" t="s">
        <v>47</v>
      </c>
      <c r="E490" s="155" t="s">
        <v>34</v>
      </c>
      <c r="F490" s="155" t="s">
        <v>35</v>
      </c>
    </row>
    <row r="491" ht="14.25" customHeight="1" spans="1:6">
      <c r="A491" s="153">
        <v>45139</v>
      </c>
      <c r="B491" s="154">
        <v>45141</v>
      </c>
      <c r="C491" s="155" t="s">
        <v>535</v>
      </c>
      <c r="D491" s="156" t="s">
        <v>37</v>
      </c>
      <c r="E491" s="155" t="s">
        <v>38</v>
      </c>
      <c r="F491" s="155" t="s">
        <v>39</v>
      </c>
    </row>
    <row r="492" ht="14.25" customHeight="1" spans="1:6">
      <c r="A492" s="153">
        <v>45139</v>
      </c>
      <c r="B492" s="154">
        <v>45141</v>
      </c>
      <c r="C492" s="155" t="s">
        <v>536</v>
      </c>
      <c r="D492" s="156" t="s">
        <v>47</v>
      </c>
      <c r="E492" s="155" t="s">
        <v>34</v>
      </c>
      <c r="F492" s="155" t="s">
        <v>39</v>
      </c>
    </row>
    <row r="493" ht="14.25" customHeight="1" spans="1:6">
      <c r="A493" s="153">
        <v>45139</v>
      </c>
      <c r="B493" s="154">
        <v>45141</v>
      </c>
      <c r="C493" s="155" t="s">
        <v>537</v>
      </c>
      <c r="D493" s="155" t="s">
        <v>45</v>
      </c>
      <c r="E493" s="155" t="s">
        <v>43</v>
      </c>
      <c r="F493" s="155" t="s">
        <v>35</v>
      </c>
    </row>
    <row r="494" ht="14.25" customHeight="1" spans="1:6">
      <c r="A494" s="153">
        <v>45139</v>
      </c>
      <c r="B494" s="154">
        <v>45141</v>
      </c>
      <c r="C494" s="155" t="s">
        <v>538</v>
      </c>
      <c r="D494" s="155" t="s">
        <v>45</v>
      </c>
      <c r="E494" s="155" t="s">
        <v>43</v>
      </c>
      <c r="F494" s="155" t="s">
        <v>39</v>
      </c>
    </row>
    <row r="495" ht="14.25" customHeight="1" spans="1:6">
      <c r="A495" s="153">
        <v>45139</v>
      </c>
      <c r="B495" s="154">
        <v>45141</v>
      </c>
      <c r="C495" s="155" t="s">
        <v>539</v>
      </c>
      <c r="D495" s="156" t="s">
        <v>37</v>
      </c>
      <c r="E495" s="155" t="s">
        <v>38</v>
      </c>
      <c r="F495" s="155" t="s">
        <v>39</v>
      </c>
    </row>
    <row r="496" ht="14.25" customHeight="1" spans="1:6">
      <c r="A496" s="153">
        <v>45139</v>
      </c>
      <c r="B496" s="154">
        <v>45141</v>
      </c>
      <c r="C496" s="155" t="s">
        <v>540</v>
      </c>
      <c r="D496" s="155" t="s">
        <v>45</v>
      </c>
      <c r="E496" s="155" t="s">
        <v>34</v>
      </c>
      <c r="F496" s="155" t="s">
        <v>39</v>
      </c>
    </row>
    <row r="497" ht="14.25" customHeight="1" spans="1:6">
      <c r="A497" s="153">
        <v>45139</v>
      </c>
      <c r="B497" s="154">
        <v>45141</v>
      </c>
      <c r="C497" s="155" t="s">
        <v>541</v>
      </c>
      <c r="D497" s="155" t="s">
        <v>45</v>
      </c>
      <c r="E497" s="155" t="s">
        <v>43</v>
      </c>
      <c r="F497" s="155" t="s">
        <v>39</v>
      </c>
    </row>
    <row r="498" ht="14.25" customHeight="1" spans="1:6">
      <c r="A498" s="153">
        <v>45139</v>
      </c>
      <c r="B498" s="154">
        <v>45141</v>
      </c>
      <c r="C498" s="155" t="s">
        <v>542</v>
      </c>
      <c r="D498" s="156" t="s">
        <v>47</v>
      </c>
      <c r="E498" s="155" t="s">
        <v>38</v>
      </c>
      <c r="F498" s="155" t="s">
        <v>39</v>
      </c>
    </row>
    <row r="499" ht="14.25" customHeight="1" spans="1:6">
      <c r="A499" s="153">
        <v>45139</v>
      </c>
      <c r="B499" s="154">
        <v>45141</v>
      </c>
      <c r="C499" s="155" t="s">
        <v>543</v>
      </c>
      <c r="D499" s="155" t="s">
        <v>45</v>
      </c>
      <c r="E499" s="155" t="s">
        <v>38</v>
      </c>
      <c r="F499" s="155" t="s">
        <v>39</v>
      </c>
    </row>
    <row r="500" ht="14.25" customHeight="1" spans="1:6">
      <c r="A500" s="153">
        <v>45139</v>
      </c>
      <c r="B500" s="154">
        <v>45141</v>
      </c>
      <c r="C500" s="155" t="s">
        <v>544</v>
      </c>
      <c r="D500" s="155" t="s">
        <v>33</v>
      </c>
      <c r="E500" s="155" t="s">
        <v>38</v>
      </c>
      <c r="F500" s="155" t="s">
        <v>35</v>
      </c>
    </row>
    <row r="501" ht="14.25" customHeight="1" spans="1:6">
      <c r="A501" s="153">
        <v>45139</v>
      </c>
      <c r="B501" s="154">
        <v>45141</v>
      </c>
      <c r="C501" s="155" t="s">
        <v>545</v>
      </c>
      <c r="D501" s="155" t="s">
        <v>45</v>
      </c>
      <c r="E501" s="155" t="s">
        <v>38</v>
      </c>
      <c r="F501" s="155" t="s">
        <v>39</v>
      </c>
    </row>
    <row r="502" ht="14.25" customHeight="1" spans="1:6">
      <c r="A502" s="153">
        <v>45139</v>
      </c>
      <c r="B502" s="154">
        <v>45141</v>
      </c>
      <c r="C502" s="155" t="s">
        <v>546</v>
      </c>
      <c r="D502" s="155" t="s">
        <v>45</v>
      </c>
      <c r="E502" s="155" t="s">
        <v>38</v>
      </c>
      <c r="F502" s="155" t="s">
        <v>39</v>
      </c>
    </row>
    <row r="503" ht="14.25" customHeight="1" spans="1:6">
      <c r="A503" s="153">
        <v>45139</v>
      </c>
      <c r="B503" s="154">
        <v>45141</v>
      </c>
      <c r="C503" s="155" t="s">
        <v>547</v>
      </c>
      <c r="D503" s="155" t="s">
        <v>45</v>
      </c>
      <c r="E503" s="155" t="s">
        <v>38</v>
      </c>
      <c r="F503" s="155" t="s">
        <v>39</v>
      </c>
    </row>
    <row r="504" ht="14.25" customHeight="1" spans="1:6">
      <c r="A504" s="153">
        <v>45139</v>
      </c>
      <c r="B504" s="154">
        <v>45141</v>
      </c>
      <c r="C504" s="155" t="s">
        <v>548</v>
      </c>
      <c r="D504" s="156" t="s">
        <v>47</v>
      </c>
      <c r="E504" s="155" t="s">
        <v>34</v>
      </c>
      <c r="F504" s="155" t="s">
        <v>39</v>
      </c>
    </row>
    <row r="505" ht="14.25" customHeight="1" spans="1:6">
      <c r="A505" s="153">
        <v>45139</v>
      </c>
      <c r="B505" s="154">
        <v>45141</v>
      </c>
      <c r="C505" s="155" t="s">
        <v>549</v>
      </c>
      <c r="D505" s="155" t="s">
        <v>62</v>
      </c>
      <c r="E505" s="155" t="s">
        <v>43</v>
      </c>
      <c r="F505" s="155" t="s">
        <v>39</v>
      </c>
    </row>
    <row r="506" ht="14.25" customHeight="1" spans="1:6">
      <c r="A506" s="153">
        <v>45139</v>
      </c>
      <c r="B506" s="154">
        <v>45141</v>
      </c>
      <c r="C506" s="155" t="s">
        <v>550</v>
      </c>
      <c r="D506" s="155" t="s">
        <v>45</v>
      </c>
      <c r="E506" s="155" t="s">
        <v>38</v>
      </c>
      <c r="F506" s="155" t="s">
        <v>39</v>
      </c>
    </row>
    <row r="507" ht="14.25" customHeight="1" spans="1:6">
      <c r="A507" s="153">
        <v>45139</v>
      </c>
      <c r="B507" s="154">
        <v>45141</v>
      </c>
      <c r="C507" s="155" t="s">
        <v>551</v>
      </c>
      <c r="D507" s="155" t="s">
        <v>42</v>
      </c>
      <c r="E507" s="155" t="s">
        <v>38</v>
      </c>
      <c r="F507" s="155" t="s">
        <v>39</v>
      </c>
    </row>
    <row r="508" ht="14.25" customHeight="1" spans="1:6">
      <c r="A508" s="153">
        <v>45139</v>
      </c>
      <c r="B508" s="154">
        <v>45141</v>
      </c>
      <c r="C508" s="155" t="s">
        <v>552</v>
      </c>
      <c r="D508" s="155" t="s">
        <v>45</v>
      </c>
      <c r="E508" s="155" t="s">
        <v>38</v>
      </c>
      <c r="F508" s="155" t="s">
        <v>39</v>
      </c>
    </row>
    <row r="509" ht="14.25" customHeight="1" spans="1:6">
      <c r="A509" s="153">
        <v>45139</v>
      </c>
      <c r="B509" s="154">
        <v>45141</v>
      </c>
      <c r="C509" s="155" t="s">
        <v>553</v>
      </c>
      <c r="D509" s="155" t="s">
        <v>33</v>
      </c>
      <c r="E509" s="155" t="s">
        <v>34</v>
      </c>
      <c r="F509" s="155" t="s">
        <v>57</v>
      </c>
    </row>
    <row r="510" ht="14.25" customHeight="1" spans="1:6">
      <c r="A510" s="153">
        <v>45139</v>
      </c>
      <c r="B510" s="154">
        <v>45141</v>
      </c>
      <c r="C510" s="155" t="s">
        <v>554</v>
      </c>
      <c r="D510" s="155" t="s">
        <v>62</v>
      </c>
      <c r="E510" s="155" t="s">
        <v>38</v>
      </c>
      <c r="F510" s="155" t="s">
        <v>39</v>
      </c>
    </row>
    <row r="511" ht="14.25" customHeight="1" spans="1:6">
      <c r="A511" s="153">
        <v>45139</v>
      </c>
      <c r="B511" s="154">
        <v>45141</v>
      </c>
      <c r="C511" s="155" t="s">
        <v>555</v>
      </c>
      <c r="D511" s="155" t="s">
        <v>33</v>
      </c>
      <c r="E511" s="155" t="s">
        <v>50</v>
      </c>
      <c r="F511" s="155" t="s">
        <v>39</v>
      </c>
    </row>
    <row r="512" ht="14.25" customHeight="1" spans="1:6">
      <c r="A512" s="153">
        <v>45139</v>
      </c>
      <c r="B512" s="154">
        <v>45141</v>
      </c>
      <c r="C512" s="155" t="s">
        <v>556</v>
      </c>
      <c r="D512" s="155" t="s">
        <v>45</v>
      </c>
      <c r="E512" s="155" t="s">
        <v>43</v>
      </c>
      <c r="F512" s="155" t="s">
        <v>39</v>
      </c>
    </row>
    <row r="513" ht="14.25" customHeight="1" spans="1:6">
      <c r="A513" s="153">
        <v>45139</v>
      </c>
      <c r="B513" s="154">
        <v>45141</v>
      </c>
      <c r="C513" s="155" t="s">
        <v>557</v>
      </c>
      <c r="D513" s="155" t="s">
        <v>45</v>
      </c>
      <c r="E513" s="155" t="s">
        <v>38</v>
      </c>
      <c r="F513" s="155" t="s">
        <v>39</v>
      </c>
    </row>
    <row r="514" ht="14.25" customHeight="1" spans="1:6">
      <c r="A514" s="153">
        <v>45139</v>
      </c>
      <c r="B514" s="154">
        <v>45141</v>
      </c>
      <c r="C514" s="155" t="s">
        <v>558</v>
      </c>
      <c r="D514" s="155" t="s">
        <v>45</v>
      </c>
      <c r="E514" s="155" t="s">
        <v>43</v>
      </c>
      <c r="F514" s="155" t="s">
        <v>39</v>
      </c>
    </row>
    <row r="515" ht="14.25" customHeight="1" spans="1:6">
      <c r="A515" s="153">
        <v>45139</v>
      </c>
      <c r="B515" s="154">
        <v>45141</v>
      </c>
      <c r="C515" s="155" t="s">
        <v>559</v>
      </c>
      <c r="D515" s="155" t="s">
        <v>45</v>
      </c>
      <c r="E515" s="155" t="s">
        <v>43</v>
      </c>
      <c r="F515" s="155" t="s">
        <v>39</v>
      </c>
    </row>
    <row r="516" ht="14.25" customHeight="1" spans="1:6">
      <c r="A516" s="153">
        <v>45139</v>
      </c>
      <c r="B516" s="154">
        <v>45141</v>
      </c>
      <c r="C516" s="155" t="s">
        <v>560</v>
      </c>
      <c r="D516" s="155" t="s">
        <v>47</v>
      </c>
      <c r="E516" s="155" t="s">
        <v>34</v>
      </c>
      <c r="F516" s="155" t="s">
        <v>35</v>
      </c>
    </row>
    <row r="517" ht="14.25" customHeight="1" spans="1:6">
      <c r="A517" s="153">
        <v>45139</v>
      </c>
      <c r="B517" s="154">
        <v>45141</v>
      </c>
      <c r="C517" s="155" t="s">
        <v>561</v>
      </c>
      <c r="D517" s="155" t="s">
        <v>33</v>
      </c>
      <c r="E517" s="155" t="s">
        <v>43</v>
      </c>
      <c r="F517" s="155" t="s">
        <v>39</v>
      </c>
    </row>
    <row r="518" ht="14.25" customHeight="1" spans="1:6">
      <c r="A518" s="153">
        <v>45139</v>
      </c>
      <c r="B518" s="154">
        <v>45141</v>
      </c>
      <c r="C518" s="155" t="s">
        <v>562</v>
      </c>
      <c r="D518" s="155" t="s">
        <v>33</v>
      </c>
      <c r="E518" s="155" t="s">
        <v>38</v>
      </c>
      <c r="F518" s="155" t="s">
        <v>39</v>
      </c>
    </row>
    <row r="519" ht="14.25" customHeight="1" spans="1:6">
      <c r="A519" s="153">
        <v>45139</v>
      </c>
      <c r="B519" s="154">
        <v>45141</v>
      </c>
      <c r="C519" s="155" t="s">
        <v>563</v>
      </c>
      <c r="D519" s="155" t="s">
        <v>33</v>
      </c>
      <c r="E519" s="155" t="s">
        <v>43</v>
      </c>
      <c r="F519" s="155" t="s">
        <v>39</v>
      </c>
    </row>
    <row r="520" ht="14.25" customHeight="1" spans="1:6">
      <c r="A520" s="153">
        <v>45139</v>
      </c>
      <c r="B520" s="154">
        <v>45141</v>
      </c>
      <c r="C520" s="155" t="s">
        <v>564</v>
      </c>
      <c r="D520" s="155" t="s">
        <v>42</v>
      </c>
      <c r="E520" s="155" t="s">
        <v>43</v>
      </c>
      <c r="F520" s="155" t="s">
        <v>39</v>
      </c>
    </row>
    <row r="521" ht="14.25" customHeight="1" spans="1:6">
      <c r="A521" s="153">
        <v>45139</v>
      </c>
      <c r="B521" s="154">
        <v>45141</v>
      </c>
      <c r="C521" s="155" t="s">
        <v>565</v>
      </c>
      <c r="D521" s="155" t="s">
        <v>45</v>
      </c>
      <c r="E521" s="155" t="s">
        <v>43</v>
      </c>
      <c r="F521" s="155" t="s">
        <v>39</v>
      </c>
    </row>
    <row r="522" ht="14.25" customHeight="1" spans="1:6">
      <c r="A522" s="153">
        <v>45139</v>
      </c>
      <c r="B522" s="154">
        <v>45141</v>
      </c>
      <c r="C522" s="155" t="s">
        <v>566</v>
      </c>
      <c r="D522" s="155" t="s">
        <v>45</v>
      </c>
      <c r="E522" s="155" t="s">
        <v>38</v>
      </c>
      <c r="F522" s="155" t="s">
        <v>39</v>
      </c>
    </row>
    <row r="523" ht="14.25" customHeight="1" spans="1:6">
      <c r="A523" s="153">
        <v>45139</v>
      </c>
      <c r="B523" s="154">
        <v>45141</v>
      </c>
      <c r="C523" s="155" t="s">
        <v>567</v>
      </c>
      <c r="D523" s="155" t="s">
        <v>45</v>
      </c>
      <c r="E523" s="155" t="s">
        <v>43</v>
      </c>
      <c r="F523" s="155" t="s">
        <v>39</v>
      </c>
    </row>
    <row r="524" ht="14.25" customHeight="1" spans="1:6">
      <c r="A524" s="153">
        <v>45139</v>
      </c>
      <c r="B524" s="154">
        <v>45141</v>
      </c>
      <c r="C524" s="155" t="s">
        <v>568</v>
      </c>
      <c r="D524" s="155" t="s">
        <v>45</v>
      </c>
      <c r="E524" s="155" t="s">
        <v>43</v>
      </c>
      <c r="F524" s="155" t="s">
        <v>35</v>
      </c>
    </row>
    <row r="525" ht="14.25" customHeight="1" spans="1:6">
      <c r="A525" s="153">
        <v>45139</v>
      </c>
      <c r="B525" s="154">
        <v>45141</v>
      </c>
      <c r="C525" s="155" t="s">
        <v>569</v>
      </c>
      <c r="D525" s="155" t="s">
        <v>45</v>
      </c>
      <c r="E525" s="155" t="s">
        <v>43</v>
      </c>
      <c r="F525" s="155" t="s">
        <v>39</v>
      </c>
    </row>
    <row r="526" ht="14.25" customHeight="1" spans="1:6">
      <c r="A526" s="153">
        <v>45139</v>
      </c>
      <c r="B526" s="154">
        <v>45141</v>
      </c>
      <c r="C526" s="155" t="s">
        <v>570</v>
      </c>
      <c r="D526" s="155" t="s">
        <v>45</v>
      </c>
      <c r="E526" s="155" t="s">
        <v>38</v>
      </c>
      <c r="F526" s="155" t="s">
        <v>35</v>
      </c>
    </row>
    <row r="527" ht="14.25" customHeight="1" spans="1:6">
      <c r="A527" s="153">
        <v>45139</v>
      </c>
      <c r="B527" s="154">
        <v>45141</v>
      </c>
      <c r="C527" s="155" t="s">
        <v>571</v>
      </c>
      <c r="D527" s="155" t="s">
        <v>62</v>
      </c>
      <c r="E527" s="155" t="s">
        <v>38</v>
      </c>
      <c r="F527" s="155" t="s">
        <v>39</v>
      </c>
    </row>
    <row r="528" ht="14.25" customHeight="1" spans="1:6">
      <c r="A528" s="153">
        <v>45139</v>
      </c>
      <c r="B528" s="154">
        <v>45141</v>
      </c>
      <c r="C528" s="155" t="s">
        <v>572</v>
      </c>
      <c r="D528" s="155" t="s">
        <v>33</v>
      </c>
      <c r="E528" s="155" t="s">
        <v>50</v>
      </c>
      <c r="F528" s="155" t="s">
        <v>39</v>
      </c>
    </row>
    <row r="529" ht="14.25" customHeight="1" spans="1:6">
      <c r="A529" s="153">
        <v>45139</v>
      </c>
      <c r="B529" s="154">
        <v>45141</v>
      </c>
      <c r="C529" s="155" t="s">
        <v>573</v>
      </c>
      <c r="D529" s="155" t="s">
        <v>45</v>
      </c>
      <c r="E529" s="155" t="s">
        <v>38</v>
      </c>
      <c r="F529" s="155" t="s">
        <v>39</v>
      </c>
    </row>
    <row r="530" ht="14.25" customHeight="1" spans="1:6">
      <c r="A530" s="153">
        <v>45139</v>
      </c>
      <c r="B530" s="154">
        <v>45141</v>
      </c>
      <c r="C530" s="155" t="s">
        <v>574</v>
      </c>
      <c r="D530" s="155" t="s">
        <v>45</v>
      </c>
      <c r="E530" s="155" t="s">
        <v>38</v>
      </c>
      <c r="F530" s="155" t="s">
        <v>39</v>
      </c>
    </row>
    <row r="531" ht="14.25" customHeight="1" spans="1:6">
      <c r="A531" s="153">
        <v>45139</v>
      </c>
      <c r="B531" s="154">
        <v>45141</v>
      </c>
      <c r="C531" s="155" t="s">
        <v>575</v>
      </c>
      <c r="D531" s="156" t="s">
        <v>129</v>
      </c>
      <c r="E531" s="155" t="s">
        <v>38</v>
      </c>
      <c r="F531" s="155" t="s">
        <v>39</v>
      </c>
    </row>
    <row r="532" ht="14.25" customHeight="1" spans="1:6">
      <c r="A532" s="153">
        <v>45139</v>
      </c>
      <c r="B532" s="154">
        <v>45141</v>
      </c>
      <c r="C532" s="155" t="s">
        <v>576</v>
      </c>
      <c r="D532" s="155" t="s">
        <v>33</v>
      </c>
      <c r="E532" s="155" t="s">
        <v>43</v>
      </c>
      <c r="F532" s="155" t="s">
        <v>35</v>
      </c>
    </row>
    <row r="533" ht="14.25" customHeight="1" spans="1:6">
      <c r="A533" s="153">
        <v>45139</v>
      </c>
      <c r="B533" s="154">
        <v>45141</v>
      </c>
      <c r="C533" s="155" t="s">
        <v>577</v>
      </c>
      <c r="D533" s="156" t="s">
        <v>129</v>
      </c>
      <c r="E533" s="155" t="s">
        <v>38</v>
      </c>
      <c r="F533" s="155" t="s">
        <v>39</v>
      </c>
    </row>
    <row r="534" ht="14.25" customHeight="1" spans="1:6">
      <c r="A534" s="153">
        <v>45139</v>
      </c>
      <c r="B534" s="154">
        <v>45141</v>
      </c>
      <c r="C534" s="155" t="s">
        <v>578</v>
      </c>
      <c r="D534" s="155" t="s">
        <v>42</v>
      </c>
      <c r="E534" s="155" t="s">
        <v>38</v>
      </c>
      <c r="F534" s="155" t="s">
        <v>39</v>
      </c>
    </row>
    <row r="535" ht="14.25" customHeight="1" spans="1:6">
      <c r="A535" s="153">
        <v>45139</v>
      </c>
      <c r="B535" s="154">
        <v>45141</v>
      </c>
      <c r="C535" s="155" t="s">
        <v>579</v>
      </c>
      <c r="D535" s="156" t="s">
        <v>129</v>
      </c>
      <c r="E535" s="155" t="s">
        <v>38</v>
      </c>
      <c r="F535" s="155" t="s">
        <v>39</v>
      </c>
    </row>
    <row r="536" ht="14.25" customHeight="1" spans="1:6">
      <c r="A536" s="153">
        <v>45139</v>
      </c>
      <c r="B536" s="154">
        <v>45141</v>
      </c>
      <c r="C536" s="155" t="s">
        <v>580</v>
      </c>
      <c r="D536" s="156" t="s">
        <v>129</v>
      </c>
      <c r="E536" s="155" t="s">
        <v>43</v>
      </c>
      <c r="F536" s="155" t="s">
        <v>39</v>
      </c>
    </row>
    <row r="537" ht="14.25" customHeight="1" spans="1:6">
      <c r="A537" s="153">
        <v>45139</v>
      </c>
      <c r="B537" s="154">
        <v>45141</v>
      </c>
      <c r="C537" s="155" t="s">
        <v>581</v>
      </c>
      <c r="D537" s="156" t="s">
        <v>129</v>
      </c>
      <c r="E537" s="155" t="s">
        <v>38</v>
      </c>
      <c r="F537" s="155" t="s">
        <v>39</v>
      </c>
    </row>
    <row r="538" ht="14.25" customHeight="1" spans="1:6">
      <c r="A538" s="153">
        <v>45139</v>
      </c>
      <c r="B538" s="154">
        <v>45141</v>
      </c>
      <c r="C538" s="155" t="s">
        <v>582</v>
      </c>
      <c r="D538" s="156" t="s">
        <v>129</v>
      </c>
      <c r="E538" s="155" t="s">
        <v>43</v>
      </c>
      <c r="F538" s="155" t="s">
        <v>39</v>
      </c>
    </row>
    <row r="539" ht="14.25" customHeight="1" spans="1:6">
      <c r="A539" s="153">
        <v>45139</v>
      </c>
      <c r="B539" s="154">
        <v>45141</v>
      </c>
      <c r="C539" s="155" t="s">
        <v>583</v>
      </c>
      <c r="D539" s="156" t="s">
        <v>129</v>
      </c>
      <c r="E539" s="155" t="s">
        <v>38</v>
      </c>
      <c r="F539" s="155" t="s">
        <v>39</v>
      </c>
    </row>
    <row r="540" ht="14.25" customHeight="1" spans="1:6">
      <c r="A540" s="153">
        <v>45139</v>
      </c>
      <c r="B540" s="154">
        <v>45141</v>
      </c>
      <c r="C540" s="155" t="s">
        <v>584</v>
      </c>
      <c r="D540" s="155" t="s">
        <v>42</v>
      </c>
      <c r="E540" s="155" t="s">
        <v>34</v>
      </c>
      <c r="F540" s="155" t="s">
        <v>35</v>
      </c>
    </row>
    <row r="541" ht="14.25" customHeight="1" spans="1:6">
      <c r="A541" s="153">
        <v>45139</v>
      </c>
      <c r="B541" s="154">
        <v>45141</v>
      </c>
      <c r="C541" s="155" t="s">
        <v>585</v>
      </c>
      <c r="D541" s="156" t="s">
        <v>129</v>
      </c>
      <c r="E541" s="155" t="s">
        <v>43</v>
      </c>
      <c r="F541" s="155" t="s">
        <v>39</v>
      </c>
    </row>
    <row r="542" ht="14.25" customHeight="1" spans="1:6">
      <c r="A542" s="153">
        <v>45139</v>
      </c>
      <c r="B542" s="154">
        <v>45141</v>
      </c>
      <c r="C542" s="155" t="s">
        <v>586</v>
      </c>
      <c r="D542" s="155" t="s">
        <v>62</v>
      </c>
      <c r="E542" s="155" t="s">
        <v>43</v>
      </c>
      <c r="F542" s="155" t="s">
        <v>39</v>
      </c>
    </row>
    <row r="543" ht="14.25" customHeight="1" spans="1:6">
      <c r="A543" s="153">
        <v>45139</v>
      </c>
      <c r="B543" s="154">
        <v>45141</v>
      </c>
      <c r="C543" s="155" t="s">
        <v>587</v>
      </c>
      <c r="D543" s="155" t="s">
        <v>62</v>
      </c>
      <c r="E543" s="155" t="s">
        <v>38</v>
      </c>
      <c r="F543" s="155" t="s">
        <v>39</v>
      </c>
    </row>
    <row r="544" ht="14.25" customHeight="1" spans="1:6">
      <c r="A544" s="153">
        <v>45139</v>
      </c>
      <c r="B544" s="154">
        <v>45141</v>
      </c>
      <c r="C544" s="155" t="s">
        <v>588</v>
      </c>
      <c r="D544" s="155" t="s">
        <v>47</v>
      </c>
      <c r="E544" s="155" t="s">
        <v>50</v>
      </c>
      <c r="F544" s="155" t="s">
        <v>39</v>
      </c>
    </row>
    <row r="545" ht="14.25" customHeight="1" spans="1:6">
      <c r="A545" s="153">
        <v>45139</v>
      </c>
      <c r="B545" s="154">
        <v>45141</v>
      </c>
      <c r="C545" s="155" t="s">
        <v>589</v>
      </c>
      <c r="D545" s="155" t="s">
        <v>62</v>
      </c>
      <c r="E545" s="155" t="s">
        <v>38</v>
      </c>
      <c r="F545" s="155" t="s">
        <v>39</v>
      </c>
    </row>
    <row r="546" ht="14.25" customHeight="1" spans="1:6">
      <c r="A546" s="153">
        <v>45139</v>
      </c>
      <c r="B546" s="154">
        <v>45141</v>
      </c>
      <c r="C546" s="155" t="s">
        <v>590</v>
      </c>
      <c r="D546" s="155" t="s">
        <v>62</v>
      </c>
      <c r="E546" s="155" t="s">
        <v>38</v>
      </c>
      <c r="F546" s="155" t="s">
        <v>39</v>
      </c>
    </row>
    <row r="547" ht="14.25" customHeight="1" spans="1:6">
      <c r="A547" s="153">
        <v>45139</v>
      </c>
      <c r="B547" s="154">
        <v>45141</v>
      </c>
      <c r="C547" s="155" t="s">
        <v>591</v>
      </c>
      <c r="D547" s="155" t="s">
        <v>62</v>
      </c>
      <c r="E547" s="155" t="s">
        <v>43</v>
      </c>
      <c r="F547" s="155" t="s">
        <v>39</v>
      </c>
    </row>
    <row r="548" ht="14.25" customHeight="1" spans="1:6">
      <c r="A548" s="153">
        <v>45139</v>
      </c>
      <c r="B548" s="154">
        <v>45141</v>
      </c>
      <c r="C548" s="155" t="s">
        <v>592</v>
      </c>
      <c r="D548" s="155" t="s">
        <v>33</v>
      </c>
      <c r="E548" s="155" t="s">
        <v>38</v>
      </c>
      <c r="F548" s="155" t="s">
        <v>39</v>
      </c>
    </row>
    <row r="549" ht="14.25" customHeight="1" spans="1:6">
      <c r="A549" s="153">
        <v>45139</v>
      </c>
      <c r="B549" s="154">
        <v>45141</v>
      </c>
      <c r="C549" s="155" t="s">
        <v>593</v>
      </c>
      <c r="D549" s="155" t="s">
        <v>62</v>
      </c>
      <c r="E549" s="155" t="s">
        <v>43</v>
      </c>
      <c r="F549" s="155" t="s">
        <v>39</v>
      </c>
    </row>
    <row r="550" ht="14.25" customHeight="1" spans="1:6">
      <c r="A550" s="153">
        <v>45139</v>
      </c>
      <c r="B550" s="154">
        <v>45141</v>
      </c>
      <c r="C550" s="155" t="s">
        <v>594</v>
      </c>
      <c r="D550" s="155" t="s">
        <v>62</v>
      </c>
      <c r="E550" s="155" t="s">
        <v>38</v>
      </c>
      <c r="F550" s="155" t="s">
        <v>39</v>
      </c>
    </row>
    <row r="551" ht="14.25" customHeight="1" spans="1:6">
      <c r="A551" s="153">
        <v>45139</v>
      </c>
      <c r="B551" s="154">
        <v>45141</v>
      </c>
      <c r="C551" s="155" t="s">
        <v>595</v>
      </c>
      <c r="D551" s="155" t="s">
        <v>62</v>
      </c>
      <c r="E551" s="155" t="s">
        <v>38</v>
      </c>
      <c r="F551" s="155" t="s">
        <v>39</v>
      </c>
    </row>
    <row r="552" ht="14.25" customHeight="1" spans="1:6">
      <c r="A552" s="153">
        <v>45139</v>
      </c>
      <c r="B552" s="154">
        <v>45141</v>
      </c>
      <c r="C552" s="155" t="s">
        <v>596</v>
      </c>
      <c r="D552" s="155" t="s">
        <v>62</v>
      </c>
      <c r="E552" s="155" t="s">
        <v>38</v>
      </c>
      <c r="F552" s="155" t="s">
        <v>39</v>
      </c>
    </row>
    <row r="553" ht="14.25" customHeight="1" spans="1:6">
      <c r="A553" s="153">
        <v>45139</v>
      </c>
      <c r="B553" s="154">
        <v>45141</v>
      </c>
      <c r="C553" s="155" t="s">
        <v>597</v>
      </c>
      <c r="D553" s="155" t="s">
        <v>62</v>
      </c>
      <c r="E553" s="155" t="s">
        <v>43</v>
      </c>
      <c r="F553" s="155" t="s">
        <v>39</v>
      </c>
    </row>
    <row r="554" ht="14.25" customHeight="1" spans="1:6">
      <c r="A554" s="153">
        <v>45139</v>
      </c>
      <c r="B554" s="154">
        <v>45141</v>
      </c>
      <c r="C554" s="155" t="s">
        <v>598</v>
      </c>
      <c r="D554" s="155" t="s">
        <v>62</v>
      </c>
      <c r="E554" s="155" t="s">
        <v>38</v>
      </c>
      <c r="F554" s="155" t="s">
        <v>39</v>
      </c>
    </row>
    <row r="555" ht="14.25" customHeight="1" spans="1:6">
      <c r="A555" s="153">
        <v>45139</v>
      </c>
      <c r="B555" s="154">
        <v>45141</v>
      </c>
      <c r="C555" s="155" t="s">
        <v>599</v>
      </c>
      <c r="D555" s="155" t="s">
        <v>62</v>
      </c>
      <c r="E555" s="155" t="s">
        <v>38</v>
      </c>
      <c r="F555" s="155" t="s">
        <v>57</v>
      </c>
    </row>
    <row r="556" ht="14.25" customHeight="1" spans="1:6">
      <c r="A556" s="153">
        <v>45139</v>
      </c>
      <c r="B556" s="154">
        <v>45141</v>
      </c>
      <c r="C556" s="155" t="s">
        <v>600</v>
      </c>
      <c r="D556" s="155" t="s">
        <v>62</v>
      </c>
      <c r="E556" s="155" t="s">
        <v>50</v>
      </c>
      <c r="F556" s="155" t="s">
        <v>39</v>
      </c>
    </row>
    <row r="557" ht="14.25" customHeight="1" spans="1:6">
      <c r="A557" s="153">
        <v>45139</v>
      </c>
      <c r="B557" s="154">
        <v>45141</v>
      </c>
      <c r="C557" s="155" t="s">
        <v>601</v>
      </c>
      <c r="D557" s="156" t="s">
        <v>129</v>
      </c>
      <c r="E557" s="155" t="s">
        <v>38</v>
      </c>
      <c r="F557" s="155" t="s">
        <v>39</v>
      </c>
    </row>
    <row r="558" ht="14.25" customHeight="1" spans="1:6">
      <c r="A558" s="153">
        <v>45139</v>
      </c>
      <c r="B558" s="154">
        <v>45141</v>
      </c>
      <c r="C558" s="155" t="s">
        <v>602</v>
      </c>
      <c r="D558" s="156" t="s">
        <v>129</v>
      </c>
      <c r="E558" s="155" t="s">
        <v>38</v>
      </c>
      <c r="F558" s="155" t="s">
        <v>39</v>
      </c>
    </row>
    <row r="559" ht="14.25" customHeight="1" spans="1:6">
      <c r="A559" s="153">
        <v>45139</v>
      </c>
      <c r="B559" s="154">
        <v>45141</v>
      </c>
      <c r="C559" s="155" t="s">
        <v>603</v>
      </c>
      <c r="D559" s="156" t="s">
        <v>129</v>
      </c>
      <c r="E559" s="155" t="s">
        <v>43</v>
      </c>
      <c r="F559" s="155" t="s">
        <v>39</v>
      </c>
    </row>
    <row r="560" ht="14.25" customHeight="1" spans="1:6">
      <c r="A560" s="153">
        <v>45139</v>
      </c>
      <c r="B560" s="154">
        <v>45141</v>
      </c>
      <c r="C560" s="155" t="s">
        <v>604</v>
      </c>
      <c r="D560" s="156" t="s">
        <v>129</v>
      </c>
      <c r="E560" s="155" t="s">
        <v>38</v>
      </c>
      <c r="F560" s="155" t="s">
        <v>39</v>
      </c>
    </row>
    <row r="561" ht="14.25" customHeight="1" spans="1:6">
      <c r="A561" s="153">
        <v>45139</v>
      </c>
      <c r="B561" s="154">
        <v>45142</v>
      </c>
      <c r="C561" s="155" t="s">
        <v>605</v>
      </c>
      <c r="D561" s="155" t="s">
        <v>42</v>
      </c>
      <c r="E561" s="155" t="s">
        <v>34</v>
      </c>
      <c r="F561" s="155" t="s">
        <v>57</v>
      </c>
    </row>
    <row r="562" ht="14.25" customHeight="1" spans="1:6">
      <c r="A562" s="153">
        <v>45139</v>
      </c>
      <c r="B562" s="154">
        <v>45142</v>
      </c>
      <c r="C562" s="155" t="s">
        <v>606</v>
      </c>
      <c r="D562" s="156" t="s">
        <v>129</v>
      </c>
      <c r="E562" s="155" t="s">
        <v>43</v>
      </c>
      <c r="F562" s="155" t="s">
        <v>39</v>
      </c>
    </row>
    <row r="563" ht="14.25" customHeight="1" spans="1:6">
      <c r="A563" s="153">
        <v>45139</v>
      </c>
      <c r="B563" s="154">
        <v>45142</v>
      </c>
      <c r="C563" s="155" t="s">
        <v>607</v>
      </c>
      <c r="D563" s="156" t="s">
        <v>129</v>
      </c>
      <c r="E563" s="155" t="s">
        <v>43</v>
      </c>
      <c r="F563" s="155" t="s">
        <v>39</v>
      </c>
    </row>
    <row r="564" ht="14.25" customHeight="1" spans="1:6">
      <c r="A564" s="153">
        <v>45139</v>
      </c>
      <c r="B564" s="154">
        <v>45142</v>
      </c>
      <c r="C564" s="155" t="s">
        <v>608</v>
      </c>
      <c r="D564" s="156" t="s">
        <v>129</v>
      </c>
      <c r="E564" s="155" t="s">
        <v>38</v>
      </c>
      <c r="F564" s="155" t="s">
        <v>39</v>
      </c>
    </row>
    <row r="565" ht="14.25" customHeight="1" spans="1:6">
      <c r="A565" s="153">
        <v>45139</v>
      </c>
      <c r="B565" s="154">
        <v>45142</v>
      </c>
      <c r="C565" s="155" t="s">
        <v>609</v>
      </c>
      <c r="D565" s="155" t="s">
        <v>42</v>
      </c>
      <c r="E565" s="155" t="s">
        <v>38</v>
      </c>
      <c r="F565" s="155" t="s">
        <v>39</v>
      </c>
    </row>
    <row r="566" ht="14.25" customHeight="1" spans="1:6">
      <c r="A566" s="153">
        <v>45139</v>
      </c>
      <c r="B566" s="154">
        <v>45142</v>
      </c>
      <c r="C566" s="155" t="s">
        <v>610</v>
      </c>
      <c r="D566" s="156" t="s">
        <v>129</v>
      </c>
      <c r="E566" s="155" t="s">
        <v>50</v>
      </c>
      <c r="F566" s="155" t="s">
        <v>35</v>
      </c>
    </row>
    <row r="567" ht="14.25" customHeight="1" spans="1:6">
      <c r="A567" s="153">
        <v>45139</v>
      </c>
      <c r="B567" s="154">
        <v>45142</v>
      </c>
      <c r="C567" s="155" t="s">
        <v>611</v>
      </c>
      <c r="D567" s="156" t="s">
        <v>129</v>
      </c>
      <c r="E567" s="155" t="s">
        <v>43</v>
      </c>
      <c r="F567" s="155" t="s">
        <v>39</v>
      </c>
    </row>
    <row r="568" ht="14.25" customHeight="1" spans="1:6">
      <c r="A568" s="153">
        <v>45139</v>
      </c>
      <c r="B568" s="154">
        <v>45142</v>
      </c>
      <c r="C568" s="155" t="s">
        <v>612</v>
      </c>
      <c r="D568" s="155" t="s">
        <v>33</v>
      </c>
      <c r="E568" s="155" t="s">
        <v>34</v>
      </c>
      <c r="F568" s="155" t="s">
        <v>35</v>
      </c>
    </row>
    <row r="569" ht="14.25" customHeight="1" spans="1:6">
      <c r="A569" s="153">
        <v>45139</v>
      </c>
      <c r="B569" s="154">
        <v>45142</v>
      </c>
      <c r="C569" s="155" t="s">
        <v>613</v>
      </c>
      <c r="D569" s="156" t="s">
        <v>129</v>
      </c>
      <c r="E569" s="155" t="s">
        <v>38</v>
      </c>
      <c r="F569" s="155" t="s">
        <v>39</v>
      </c>
    </row>
    <row r="570" ht="14.25" customHeight="1" spans="1:6">
      <c r="A570" s="153">
        <v>45139</v>
      </c>
      <c r="B570" s="154">
        <v>45142</v>
      </c>
      <c r="C570" s="155" t="s">
        <v>614</v>
      </c>
      <c r="D570" s="156" t="s">
        <v>129</v>
      </c>
      <c r="E570" s="155" t="s">
        <v>43</v>
      </c>
      <c r="F570" s="155" t="s">
        <v>39</v>
      </c>
    </row>
    <row r="571" ht="14.25" customHeight="1" spans="1:6">
      <c r="A571" s="153">
        <v>45139</v>
      </c>
      <c r="B571" s="154">
        <v>45142</v>
      </c>
      <c r="C571" s="155" t="s">
        <v>615</v>
      </c>
      <c r="D571" s="156" t="s">
        <v>45</v>
      </c>
      <c r="E571" s="155" t="s">
        <v>38</v>
      </c>
      <c r="F571" s="155" t="s">
        <v>39</v>
      </c>
    </row>
    <row r="572" ht="14.25" customHeight="1" spans="1:6">
      <c r="A572" s="153">
        <v>45139</v>
      </c>
      <c r="B572" s="154">
        <v>45142</v>
      </c>
      <c r="C572" s="155" t="s">
        <v>616</v>
      </c>
      <c r="D572" s="156" t="s">
        <v>129</v>
      </c>
      <c r="E572" s="155" t="s">
        <v>43</v>
      </c>
      <c r="F572" s="155" t="s">
        <v>39</v>
      </c>
    </row>
    <row r="573" ht="14.25" customHeight="1" spans="1:6">
      <c r="A573" s="153">
        <v>45139</v>
      </c>
      <c r="B573" s="154">
        <v>45142</v>
      </c>
      <c r="C573" s="155" t="s">
        <v>617</v>
      </c>
      <c r="D573" s="156" t="s">
        <v>37</v>
      </c>
      <c r="E573" s="155" t="s">
        <v>38</v>
      </c>
      <c r="F573" s="155" t="s">
        <v>39</v>
      </c>
    </row>
    <row r="574" ht="14.25" customHeight="1" spans="1:6">
      <c r="A574" s="153">
        <v>45139</v>
      </c>
      <c r="B574" s="154">
        <v>45142</v>
      </c>
      <c r="C574" s="155" t="s">
        <v>618</v>
      </c>
      <c r="D574" s="156" t="s">
        <v>37</v>
      </c>
      <c r="E574" s="155" t="s">
        <v>43</v>
      </c>
      <c r="F574" s="155" t="s">
        <v>39</v>
      </c>
    </row>
    <row r="575" ht="14.25" customHeight="1" spans="1:6">
      <c r="A575" s="153">
        <v>45139</v>
      </c>
      <c r="B575" s="154">
        <v>45142</v>
      </c>
      <c r="C575" s="155" t="s">
        <v>619</v>
      </c>
      <c r="D575" s="155" t="s">
        <v>33</v>
      </c>
      <c r="E575" s="155" t="s">
        <v>43</v>
      </c>
      <c r="F575" s="155" t="s">
        <v>39</v>
      </c>
    </row>
    <row r="576" ht="14.25" customHeight="1" spans="1:6">
      <c r="A576" s="153">
        <v>45139</v>
      </c>
      <c r="B576" s="154">
        <v>45142</v>
      </c>
      <c r="C576" s="155" t="s">
        <v>620</v>
      </c>
      <c r="D576" s="156" t="s">
        <v>37</v>
      </c>
      <c r="E576" s="155" t="s">
        <v>38</v>
      </c>
      <c r="F576" s="155" t="s">
        <v>39</v>
      </c>
    </row>
    <row r="577" ht="14.25" customHeight="1" spans="1:6">
      <c r="A577" s="153">
        <v>45139</v>
      </c>
      <c r="B577" s="154">
        <v>45142</v>
      </c>
      <c r="C577" s="155" t="s">
        <v>621</v>
      </c>
      <c r="D577" s="156" t="s">
        <v>129</v>
      </c>
      <c r="E577" s="155" t="s">
        <v>43</v>
      </c>
      <c r="F577" s="155" t="s">
        <v>39</v>
      </c>
    </row>
    <row r="578" ht="14.25" customHeight="1" spans="1:6">
      <c r="A578" s="153">
        <v>45139</v>
      </c>
      <c r="B578" s="154">
        <v>45142</v>
      </c>
      <c r="C578" s="155" t="s">
        <v>622</v>
      </c>
      <c r="D578" s="155" t="s">
        <v>33</v>
      </c>
      <c r="E578" s="155" t="s">
        <v>43</v>
      </c>
      <c r="F578" s="155" t="s">
        <v>39</v>
      </c>
    </row>
    <row r="579" ht="14.25" customHeight="1" spans="1:6">
      <c r="A579" s="153">
        <v>45139</v>
      </c>
      <c r="B579" s="154">
        <v>45142</v>
      </c>
      <c r="C579" s="155" t="s">
        <v>623</v>
      </c>
      <c r="D579" s="156" t="s">
        <v>129</v>
      </c>
      <c r="E579" s="155" t="s">
        <v>43</v>
      </c>
      <c r="F579" s="155" t="s">
        <v>39</v>
      </c>
    </row>
    <row r="580" ht="14.25" customHeight="1" spans="1:6">
      <c r="A580" s="153">
        <v>45139</v>
      </c>
      <c r="B580" s="154">
        <v>45142</v>
      </c>
      <c r="C580" s="155" t="s">
        <v>624</v>
      </c>
      <c r="D580" s="155" t="s">
        <v>33</v>
      </c>
      <c r="E580" s="155" t="s">
        <v>43</v>
      </c>
      <c r="F580" s="155" t="s">
        <v>35</v>
      </c>
    </row>
    <row r="581" ht="14.25" customHeight="1" spans="1:6">
      <c r="A581" s="153">
        <v>45139</v>
      </c>
      <c r="B581" s="154">
        <v>45142</v>
      </c>
      <c r="C581" s="155" t="s">
        <v>625</v>
      </c>
      <c r="D581" s="156" t="s">
        <v>129</v>
      </c>
      <c r="E581" s="155" t="s">
        <v>38</v>
      </c>
      <c r="F581" s="155" t="s">
        <v>39</v>
      </c>
    </row>
    <row r="582" ht="14.25" customHeight="1" spans="1:6">
      <c r="A582" s="153">
        <v>45139</v>
      </c>
      <c r="B582" s="154">
        <v>45142</v>
      </c>
      <c r="C582" s="155" t="s">
        <v>626</v>
      </c>
      <c r="D582" s="156" t="s">
        <v>37</v>
      </c>
      <c r="E582" s="155" t="s">
        <v>34</v>
      </c>
      <c r="F582" s="155" t="s">
        <v>39</v>
      </c>
    </row>
    <row r="583" ht="14.25" customHeight="1" spans="1:6">
      <c r="A583" s="153">
        <v>45139</v>
      </c>
      <c r="B583" s="154">
        <v>45142</v>
      </c>
      <c r="C583" s="155" t="s">
        <v>627</v>
      </c>
      <c r="D583" s="155" t="s">
        <v>33</v>
      </c>
      <c r="E583" s="155" t="s">
        <v>50</v>
      </c>
      <c r="F583" s="155" t="s">
        <v>35</v>
      </c>
    </row>
    <row r="584" ht="14.25" customHeight="1" spans="1:6">
      <c r="A584" s="153">
        <v>45139</v>
      </c>
      <c r="B584" s="154">
        <v>45142</v>
      </c>
      <c r="C584" s="155" t="s">
        <v>628</v>
      </c>
      <c r="D584" s="156" t="s">
        <v>129</v>
      </c>
      <c r="E584" s="155" t="s">
        <v>38</v>
      </c>
      <c r="F584" s="155" t="s">
        <v>39</v>
      </c>
    </row>
    <row r="585" ht="14.25" customHeight="1" spans="1:6">
      <c r="A585" s="153">
        <v>45139</v>
      </c>
      <c r="B585" s="154">
        <v>45142</v>
      </c>
      <c r="C585" s="155" t="s">
        <v>629</v>
      </c>
      <c r="D585" s="156" t="s">
        <v>129</v>
      </c>
      <c r="E585" s="155" t="s">
        <v>43</v>
      </c>
      <c r="F585" s="155" t="s">
        <v>39</v>
      </c>
    </row>
    <row r="586" ht="14.25" customHeight="1" spans="1:6">
      <c r="A586" s="153">
        <v>45139</v>
      </c>
      <c r="B586" s="154">
        <v>45142</v>
      </c>
      <c r="C586" s="155" t="s">
        <v>630</v>
      </c>
      <c r="D586" s="155" t="s">
        <v>45</v>
      </c>
      <c r="E586" s="155" t="s">
        <v>43</v>
      </c>
      <c r="F586" s="155" t="s">
        <v>57</v>
      </c>
    </row>
    <row r="587" ht="14.25" customHeight="1" spans="1:6">
      <c r="A587" s="153">
        <v>45139</v>
      </c>
      <c r="B587" s="154">
        <v>45142</v>
      </c>
      <c r="C587" s="155" t="s">
        <v>631</v>
      </c>
      <c r="D587" s="156" t="s">
        <v>129</v>
      </c>
      <c r="E587" s="155" t="s">
        <v>43</v>
      </c>
      <c r="F587" s="155" t="s">
        <v>39</v>
      </c>
    </row>
    <row r="588" ht="14.25" customHeight="1" spans="1:6">
      <c r="A588" s="153">
        <v>45139</v>
      </c>
      <c r="B588" s="154">
        <v>45142</v>
      </c>
      <c r="C588" s="155" t="s">
        <v>632</v>
      </c>
      <c r="D588" s="156" t="s">
        <v>45</v>
      </c>
      <c r="E588" s="155" t="s">
        <v>38</v>
      </c>
      <c r="F588" s="155" t="s">
        <v>39</v>
      </c>
    </row>
    <row r="589" ht="14.25" customHeight="1" spans="1:6">
      <c r="A589" s="153">
        <v>45139</v>
      </c>
      <c r="B589" s="154">
        <v>45142</v>
      </c>
      <c r="C589" s="155" t="s">
        <v>633</v>
      </c>
      <c r="D589" s="155" t="s">
        <v>33</v>
      </c>
      <c r="E589" s="155" t="s">
        <v>34</v>
      </c>
      <c r="F589" s="155" t="s">
        <v>57</v>
      </c>
    </row>
    <row r="590" ht="14.25" customHeight="1" spans="1:6">
      <c r="A590" s="153">
        <v>45139</v>
      </c>
      <c r="B590" s="154">
        <v>45142</v>
      </c>
      <c r="C590" s="155" t="s">
        <v>634</v>
      </c>
      <c r="D590" s="156" t="s">
        <v>129</v>
      </c>
      <c r="E590" s="155" t="s">
        <v>38</v>
      </c>
      <c r="F590" s="155" t="s">
        <v>39</v>
      </c>
    </row>
    <row r="591" ht="14.25" customHeight="1" spans="1:6">
      <c r="A591" s="153">
        <v>45139</v>
      </c>
      <c r="B591" s="154">
        <v>45142</v>
      </c>
      <c r="C591" s="155" t="s">
        <v>635</v>
      </c>
      <c r="D591" s="155" t="s">
        <v>47</v>
      </c>
      <c r="E591" s="155" t="s">
        <v>43</v>
      </c>
      <c r="F591" s="155" t="s">
        <v>39</v>
      </c>
    </row>
    <row r="592" ht="14.25" customHeight="1" spans="1:6">
      <c r="A592" s="153">
        <v>45139</v>
      </c>
      <c r="B592" s="154">
        <v>45142</v>
      </c>
      <c r="C592" s="155" t="s">
        <v>636</v>
      </c>
      <c r="D592" s="156" t="s">
        <v>129</v>
      </c>
      <c r="E592" s="155" t="s">
        <v>43</v>
      </c>
      <c r="F592" s="155" t="s">
        <v>39</v>
      </c>
    </row>
    <row r="593" ht="14.25" customHeight="1" spans="1:6">
      <c r="A593" s="153">
        <v>45139</v>
      </c>
      <c r="B593" s="154">
        <v>45142</v>
      </c>
      <c r="C593" s="155" t="s">
        <v>637</v>
      </c>
      <c r="D593" s="156" t="s">
        <v>37</v>
      </c>
      <c r="E593" s="155" t="s">
        <v>38</v>
      </c>
      <c r="F593" s="155" t="s">
        <v>35</v>
      </c>
    </row>
    <row r="594" ht="14.25" customHeight="1" spans="1:6">
      <c r="A594" s="153">
        <v>45139</v>
      </c>
      <c r="B594" s="154">
        <v>45142</v>
      </c>
      <c r="C594" s="155" t="s">
        <v>638</v>
      </c>
      <c r="D594" s="156" t="s">
        <v>129</v>
      </c>
      <c r="E594" s="155" t="s">
        <v>38</v>
      </c>
      <c r="F594" s="155" t="s">
        <v>39</v>
      </c>
    </row>
    <row r="595" ht="14.25" customHeight="1" spans="1:6">
      <c r="A595" s="153">
        <v>45139</v>
      </c>
      <c r="B595" s="154">
        <v>45142</v>
      </c>
      <c r="C595" s="155" t="s">
        <v>639</v>
      </c>
      <c r="D595" s="156" t="s">
        <v>45</v>
      </c>
      <c r="E595" s="155" t="s">
        <v>38</v>
      </c>
      <c r="F595" s="155" t="s">
        <v>39</v>
      </c>
    </row>
    <row r="596" ht="14.25" customHeight="1" spans="1:6">
      <c r="A596" s="153">
        <v>45139</v>
      </c>
      <c r="B596" s="154">
        <v>45142</v>
      </c>
      <c r="C596" s="155" t="s">
        <v>640</v>
      </c>
      <c r="D596" s="155" t="s">
        <v>33</v>
      </c>
      <c r="E596" s="155" t="s">
        <v>43</v>
      </c>
      <c r="F596" s="155" t="s">
        <v>39</v>
      </c>
    </row>
    <row r="597" ht="14.25" customHeight="1" spans="1:6">
      <c r="A597" s="153">
        <v>45139</v>
      </c>
      <c r="B597" s="154">
        <v>45142</v>
      </c>
      <c r="C597" s="155" t="s">
        <v>641</v>
      </c>
      <c r="D597" s="156" t="s">
        <v>37</v>
      </c>
      <c r="E597" s="155" t="s">
        <v>38</v>
      </c>
      <c r="F597" s="155" t="s">
        <v>35</v>
      </c>
    </row>
    <row r="598" ht="14.25" customHeight="1" spans="1:6">
      <c r="A598" s="153">
        <v>45139</v>
      </c>
      <c r="B598" s="154">
        <v>45142</v>
      </c>
      <c r="C598" s="155" t="s">
        <v>642</v>
      </c>
      <c r="D598" s="156" t="s">
        <v>37</v>
      </c>
      <c r="E598" s="155" t="s">
        <v>38</v>
      </c>
      <c r="F598" s="155" t="s">
        <v>39</v>
      </c>
    </row>
    <row r="599" ht="14.25" customHeight="1" spans="1:6">
      <c r="A599" s="153">
        <v>45139</v>
      </c>
      <c r="B599" s="154">
        <v>45142</v>
      </c>
      <c r="C599" s="155" t="s">
        <v>643</v>
      </c>
      <c r="D599" s="155" t="s">
        <v>33</v>
      </c>
      <c r="E599" s="155" t="s">
        <v>38</v>
      </c>
      <c r="F599" s="155" t="s">
        <v>57</v>
      </c>
    </row>
    <row r="600" ht="14.25" customHeight="1" spans="1:6">
      <c r="A600" s="153">
        <v>45139</v>
      </c>
      <c r="B600" s="154">
        <v>45142</v>
      </c>
      <c r="C600" s="155" t="s">
        <v>644</v>
      </c>
      <c r="D600" s="156" t="s">
        <v>45</v>
      </c>
      <c r="E600" s="155" t="s">
        <v>38</v>
      </c>
      <c r="F600" s="155" t="s">
        <v>39</v>
      </c>
    </row>
    <row r="601" ht="14.25" customHeight="1" spans="1:6">
      <c r="A601" s="153">
        <v>45139</v>
      </c>
      <c r="B601" s="154">
        <v>45142</v>
      </c>
      <c r="C601" s="155" t="s">
        <v>645</v>
      </c>
      <c r="D601" s="156" t="s">
        <v>129</v>
      </c>
      <c r="E601" s="155" t="s">
        <v>43</v>
      </c>
      <c r="F601" s="155" t="s">
        <v>39</v>
      </c>
    </row>
    <row r="602" ht="14.25" customHeight="1" spans="1:6">
      <c r="A602" s="153">
        <v>45139</v>
      </c>
      <c r="B602" s="154">
        <v>45142</v>
      </c>
      <c r="C602" s="155" t="s">
        <v>646</v>
      </c>
      <c r="D602" s="156" t="s">
        <v>129</v>
      </c>
      <c r="E602" s="155" t="s">
        <v>43</v>
      </c>
      <c r="F602" s="155" t="s">
        <v>39</v>
      </c>
    </row>
    <row r="603" ht="14.25" customHeight="1" spans="1:6">
      <c r="A603" s="153">
        <v>45139</v>
      </c>
      <c r="B603" s="154">
        <v>45142</v>
      </c>
      <c r="C603" s="155" t="s">
        <v>647</v>
      </c>
      <c r="D603" s="156" t="s">
        <v>37</v>
      </c>
      <c r="E603" s="155" t="s">
        <v>38</v>
      </c>
      <c r="F603" s="155" t="s">
        <v>39</v>
      </c>
    </row>
    <row r="604" ht="14.25" customHeight="1" spans="1:6">
      <c r="A604" s="153">
        <v>45139</v>
      </c>
      <c r="B604" s="154">
        <v>45142</v>
      </c>
      <c r="C604" s="155" t="s">
        <v>648</v>
      </c>
      <c r="D604" s="156" t="s">
        <v>45</v>
      </c>
      <c r="E604" s="155" t="s">
        <v>38</v>
      </c>
      <c r="F604" s="155" t="s">
        <v>39</v>
      </c>
    </row>
    <row r="605" ht="14.25" customHeight="1" spans="1:6">
      <c r="A605" s="153">
        <v>45139</v>
      </c>
      <c r="B605" s="154">
        <v>45142</v>
      </c>
      <c r="C605" s="155" t="s">
        <v>649</v>
      </c>
      <c r="D605" s="155" t="s">
        <v>33</v>
      </c>
      <c r="E605" s="155" t="s">
        <v>43</v>
      </c>
      <c r="F605" s="155" t="s">
        <v>39</v>
      </c>
    </row>
    <row r="606" ht="14.25" customHeight="1" spans="1:6">
      <c r="A606" s="153">
        <v>45139</v>
      </c>
      <c r="B606" s="154">
        <v>45142</v>
      </c>
      <c r="C606" s="155" t="s">
        <v>650</v>
      </c>
      <c r="D606" s="156" t="s">
        <v>129</v>
      </c>
      <c r="E606" s="155" t="s">
        <v>43</v>
      </c>
      <c r="F606" s="155" t="s">
        <v>39</v>
      </c>
    </row>
    <row r="607" ht="14.25" customHeight="1" spans="1:6">
      <c r="A607" s="153">
        <v>45139</v>
      </c>
      <c r="B607" s="154">
        <v>45142</v>
      </c>
      <c r="C607" s="155" t="s">
        <v>651</v>
      </c>
      <c r="D607" s="155" t="s">
        <v>33</v>
      </c>
      <c r="E607" s="155" t="s">
        <v>43</v>
      </c>
      <c r="F607" s="155" t="s">
        <v>57</v>
      </c>
    </row>
    <row r="608" ht="14.25" customHeight="1" spans="1:6">
      <c r="A608" s="153">
        <v>45139</v>
      </c>
      <c r="B608" s="154">
        <v>45142</v>
      </c>
      <c r="C608" s="155" t="s">
        <v>652</v>
      </c>
      <c r="D608" s="156" t="s">
        <v>37</v>
      </c>
      <c r="E608" s="155" t="s">
        <v>43</v>
      </c>
      <c r="F608" s="155" t="s">
        <v>57</v>
      </c>
    </row>
    <row r="609" ht="14.25" customHeight="1" spans="1:6">
      <c r="A609" s="153">
        <v>45139</v>
      </c>
      <c r="B609" s="154">
        <v>45142</v>
      </c>
      <c r="C609" s="155" t="s">
        <v>653</v>
      </c>
      <c r="D609" s="155" t="s">
        <v>33</v>
      </c>
      <c r="E609" s="155" t="s">
        <v>38</v>
      </c>
      <c r="F609" s="155" t="s">
        <v>57</v>
      </c>
    </row>
    <row r="610" ht="14.25" customHeight="1" spans="1:6">
      <c r="A610" s="153">
        <v>45139</v>
      </c>
      <c r="B610" s="154">
        <v>45142</v>
      </c>
      <c r="C610" s="155" t="s">
        <v>654</v>
      </c>
      <c r="D610" s="155" t="s">
        <v>33</v>
      </c>
      <c r="E610" s="155" t="s">
        <v>34</v>
      </c>
      <c r="F610" s="155" t="s">
        <v>35</v>
      </c>
    </row>
    <row r="611" ht="14.25" customHeight="1" spans="1:6">
      <c r="A611" s="153">
        <v>45139</v>
      </c>
      <c r="B611" s="154">
        <v>45142</v>
      </c>
      <c r="C611" s="155" t="s">
        <v>655</v>
      </c>
      <c r="D611" s="156" t="s">
        <v>37</v>
      </c>
      <c r="E611" s="155" t="s">
        <v>38</v>
      </c>
      <c r="F611" s="155" t="s">
        <v>39</v>
      </c>
    </row>
    <row r="612" ht="14.25" customHeight="1" spans="1:6">
      <c r="A612" s="153">
        <v>45139</v>
      </c>
      <c r="B612" s="154">
        <v>45142</v>
      </c>
      <c r="C612" s="155" t="s">
        <v>656</v>
      </c>
      <c r="D612" s="156" t="s">
        <v>129</v>
      </c>
      <c r="E612" s="155" t="s">
        <v>38</v>
      </c>
      <c r="F612" s="155" t="s">
        <v>39</v>
      </c>
    </row>
    <row r="613" ht="14.25" customHeight="1" spans="1:6">
      <c r="A613" s="153">
        <v>45139</v>
      </c>
      <c r="B613" s="154">
        <v>45142</v>
      </c>
      <c r="C613" s="155" t="s">
        <v>657</v>
      </c>
      <c r="D613" s="156" t="s">
        <v>129</v>
      </c>
      <c r="E613" s="155" t="s">
        <v>43</v>
      </c>
      <c r="F613" s="155" t="s">
        <v>39</v>
      </c>
    </row>
    <row r="614" ht="14.25" customHeight="1" spans="1:6">
      <c r="A614" s="153">
        <v>45139</v>
      </c>
      <c r="B614" s="154">
        <v>45142</v>
      </c>
      <c r="C614" s="155" t="s">
        <v>658</v>
      </c>
      <c r="D614" s="156" t="s">
        <v>37</v>
      </c>
      <c r="E614" s="155" t="s">
        <v>38</v>
      </c>
      <c r="F614" s="155" t="s">
        <v>39</v>
      </c>
    </row>
    <row r="615" ht="14.25" customHeight="1" spans="1:6">
      <c r="A615" s="153">
        <v>45139</v>
      </c>
      <c r="B615" s="154">
        <v>45142</v>
      </c>
      <c r="C615" s="155" t="s">
        <v>659</v>
      </c>
      <c r="D615" s="156" t="s">
        <v>37</v>
      </c>
      <c r="E615" s="155" t="s">
        <v>38</v>
      </c>
      <c r="F615" s="155" t="s">
        <v>39</v>
      </c>
    </row>
    <row r="616" ht="14.25" customHeight="1" spans="1:6">
      <c r="A616" s="153">
        <v>45139</v>
      </c>
      <c r="B616" s="154">
        <v>45142</v>
      </c>
      <c r="C616" s="155" t="s">
        <v>660</v>
      </c>
      <c r="D616" s="156" t="s">
        <v>129</v>
      </c>
      <c r="E616" s="155" t="s">
        <v>43</v>
      </c>
      <c r="F616" s="155" t="s">
        <v>39</v>
      </c>
    </row>
    <row r="617" ht="14.25" customHeight="1" spans="1:6">
      <c r="A617" s="153">
        <v>45139</v>
      </c>
      <c r="B617" s="154">
        <v>45142</v>
      </c>
      <c r="C617" s="155" t="s">
        <v>661</v>
      </c>
      <c r="D617" s="156" t="s">
        <v>45</v>
      </c>
      <c r="E617" s="155" t="s">
        <v>38</v>
      </c>
      <c r="F617" s="155" t="s">
        <v>39</v>
      </c>
    </row>
    <row r="618" ht="14.25" customHeight="1" spans="1:6">
      <c r="A618" s="153">
        <v>45139</v>
      </c>
      <c r="B618" s="154">
        <v>45142</v>
      </c>
      <c r="C618" s="155" t="s">
        <v>662</v>
      </c>
      <c r="D618" s="156" t="s">
        <v>129</v>
      </c>
      <c r="E618" s="155" t="s">
        <v>43</v>
      </c>
      <c r="F618" s="155" t="s">
        <v>39</v>
      </c>
    </row>
    <row r="619" ht="14.25" customHeight="1" spans="1:6">
      <c r="A619" s="153">
        <v>45139</v>
      </c>
      <c r="B619" s="154">
        <v>45142</v>
      </c>
      <c r="C619" s="155" t="s">
        <v>663</v>
      </c>
      <c r="D619" s="155" t="s">
        <v>33</v>
      </c>
      <c r="E619" s="155" t="s">
        <v>38</v>
      </c>
      <c r="F619" s="155" t="s">
        <v>57</v>
      </c>
    </row>
    <row r="620" ht="14.25" customHeight="1" spans="1:6">
      <c r="A620" s="153">
        <v>45139</v>
      </c>
      <c r="B620" s="154">
        <v>45142</v>
      </c>
      <c r="C620" s="155" t="s">
        <v>664</v>
      </c>
      <c r="D620" s="156" t="s">
        <v>129</v>
      </c>
      <c r="E620" s="155" t="s">
        <v>38</v>
      </c>
      <c r="F620" s="155" t="s">
        <v>39</v>
      </c>
    </row>
    <row r="621" ht="14.25" customHeight="1" spans="1:6">
      <c r="A621" s="153">
        <v>45139</v>
      </c>
      <c r="B621" s="154">
        <v>45142</v>
      </c>
      <c r="C621" s="155" t="s">
        <v>665</v>
      </c>
      <c r="D621" s="156" t="s">
        <v>129</v>
      </c>
      <c r="E621" s="155" t="s">
        <v>38</v>
      </c>
      <c r="F621" s="155" t="s">
        <v>39</v>
      </c>
    </row>
    <row r="622" ht="14.25" customHeight="1" spans="1:6">
      <c r="A622" s="153">
        <v>45139</v>
      </c>
      <c r="B622" s="154">
        <v>45142</v>
      </c>
      <c r="C622" s="155" t="s">
        <v>666</v>
      </c>
      <c r="D622" s="156" t="s">
        <v>37</v>
      </c>
      <c r="E622" s="155" t="s">
        <v>43</v>
      </c>
      <c r="F622" s="155" t="s">
        <v>57</v>
      </c>
    </row>
    <row r="623" ht="14.25" customHeight="1" spans="1:6">
      <c r="A623" s="153">
        <v>45139</v>
      </c>
      <c r="B623" s="154">
        <v>45142</v>
      </c>
      <c r="C623" s="155" t="s">
        <v>667</v>
      </c>
      <c r="D623" s="156" t="s">
        <v>37</v>
      </c>
      <c r="E623" s="155" t="s">
        <v>43</v>
      </c>
      <c r="F623" s="155" t="s">
        <v>57</v>
      </c>
    </row>
    <row r="624" ht="14.25" customHeight="1" spans="1:6">
      <c r="A624" s="153">
        <v>45139</v>
      </c>
      <c r="B624" s="154">
        <v>45142</v>
      </c>
      <c r="C624" s="155" t="s">
        <v>668</v>
      </c>
      <c r="D624" s="155" t="s">
        <v>33</v>
      </c>
      <c r="E624" s="155" t="s">
        <v>50</v>
      </c>
      <c r="F624" s="155" t="s">
        <v>39</v>
      </c>
    </row>
    <row r="625" ht="14.25" customHeight="1" spans="1:6">
      <c r="A625" s="153">
        <v>45139</v>
      </c>
      <c r="B625" s="154">
        <v>45142</v>
      </c>
      <c r="C625" s="155" t="s">
        <v>669</v>
      </c>
      <c r="D625" s="156" t="s">
        <v>129</v>
      </c>
      <c r="E625" s="155" t="s">
        <v>43</v>
      </c>
      <c r="F625" s="155" t="s">
        <v>39</v>
      </c>
    </row>
    <row r="626" ht="14.25" customHeight="1" spans="1:6">
      <c r="A626" s="153">
        <v>45139</v>
      </c>
      <c r="B626" s="154">
        <v>45142</v>
      </c>
      <c r="C626" s="155" t="s">
        <v>670</v>
      </c>
      <c r="D626" s="156" t="s">
        <v>129</v>
      </c>
      <c r="E626" s="155" t="s">
        <v>43</v>
      </c>
      <c r="F626" s="155" t="s">
        <v>39</v>
      </c>
    </row>
    <row r="627" ht="14.25" customHeight="1" spans="1:6">
      <c r="A627" s="153">
        <v>45139</v>
      </c>
      <c r="B627" s="154">
        <v>45142</v>
      </c>
      <c r="C627" s="155" t="s">
        <v>671</v>
      </c>
      <c r="D627" s="155" t="s">
        <v>33</v>
      </c>
      <c r="E627" s="155" t="s">
        <v>38</v>
      </c>
      <c r="F627" s="155" t="s">
        <v>39</v>
      </c>
    </row>
    <row r="628" ht="14.25" customHeight="1" spans="1:6">
      <c r="A628" s="153">
        <v>45139</v>
      </c>
      <c r="B628" s="154">
        <v>45142</v>
      </c>
      <c r="C628" s="155" t="s">
        <v>672</v>
      </c>
      <c r="D628" s="156" t="s">
        <v>37</v>
      </c>
      <c r="E628" s="155" t="s">
        <v>38</v>
      </c>
      <c r="F628" s="155" t="s">
        <v>39</v>
      </c>
    </row>
    <row r="629" ht="14.25" customHeight="1" spans="1:6">
      <c r="A629" s="153">
        <v>45139</v>
      </c>
      <c r="B629" s="154">
        <v>45142</v>
      </c>
      <c r="C629" s="155" t="s">
        <v>673</v>
      </c>
      <c r="D629" s="156" t="s">
        <v>129</v>
      </c>
      <c r="E629" s="155" t="s">
        <v>43</v>
      </c>
      <c r="F629" s="155" t="s">
        <v>39</v>
      </c>
    </row>
    <row r="630" ht="14.25" customHeight="1" spans="1:6">
      <c r="A630" s="153">
        <v>45139</v>
      </c>
      <c r="B630" s="154">
        <v>45142</v>
      </c>
      <c r="C630" s="155" t="s">
        <v>674</v>
      </c>
      <c r="D630" s="156" t="s">
        <v>37</v>
      </c>
      <c r="E630" s="155" t="s">
        <v>43</v>
      </c>
      <c r="F630" s="155" t="s">
        <v>57</v>
      </c>
    </row>
    <row r="631" ht="14.25" customHeight="1" spans="1:6">
      <c r="A631" s="153">
        <v>45139</v>
      </c>
      <c r="B631" s="154">
        <v>45142</v>
      </c>
      <c r="C631" s="155" t="s">
        <v>675</v>
      </c>
      <c r="D631" s="156" t="s">
        <v>37</v>
      </c>
      <c r="E631" s="155" t="s">
        <v>43</v>
      </c>
      <c r="F631" s="155" t="s">
        <v>35</v>
      </c>
    </row>
    <row r="632" ht="14.25" customHeight="1" spans="1:6">
      <c r="A632" s="153">
        <v>45139</v>
      </c>
      <c r="B632" s="154">
        <v>45142</v>
      </c>
      <c r="C632" s="155" t="s">
        <v>676</v>
      </c>
      <c r="D632" s="156" t="s">
        <v>129</v>
      </c>
      <c r="E632" s="155" t="s">
        <v>43</v>
      </c>
      <c r="F632" s="155" t="s">
        <v>39</v>
      </c>
    </row>
    <row r="633" ht="14.25" customHeight="1" spans="1:6">
      <c r="A633" s="153">
        <v>45139</v>
      </c>
      <c r="B633" s="154">
        <v>45142</v>
      </c>
      <c r="C633" s="155" t="s">
        <v>677</v>
      </c>
      <c r="D633" s="156" t="s">
        <v>45</v>
      </c>
      <c r="E633" s="155" t="s">
        <v>43</v>
      </c>
      <c r="F633" s="155" t="s">
        <v>39</v>
      </c>
    </row>
    <row r="634" ht="14.25" customHeight="1" spans="1:6">
      <c r="A634" s="153">
        <v>45139</v>
      </c>
      <c r="B634" s="154">
        <v>45142</v>
      </c>
      <c r="C634" s="155" t="s">
        <v>678</v>
      </c>
      <c r="D634" s="155" t="s">
        <v>33</v>
      </c>
      <c r="E634" s="155" t="s">
        <v>50</v>
      </c>
      <c r="F634" s="155" t="s">
        <v>57</v>
      </c>
    </row>
    <row r="635" ht="14.25" customHeight="1" spans="1:6">
      <c r="A635" s="153">
        <v>45139</v>
      </c>
      <c r="B635" s="154">
        <v>45142</v>
      </c>
      <c r="C635" s="155" t="s">
        <v>679</v>
      </c>
      <c r="D635" s="156" t="s">
        <v>129</v>
      </c>
      <c r="E635" s="155" t="s">
        <v>43</v>
      </c>
      <c r="F635" s="155" t="s">
        <v>39</v>
      </c>
    </row>
    <row r="636" ht="14.25" customHeight="1" spans="1:6">
      <c r="A636" s="153">
        <v>45139</v>
      </c>
      <c r="B636" s="154">
        <v>45142</v>
      </c>
      <c r="C636" s="155" t="s">
        <v>680</v>
      </c>
      <c r="D636" s="156" t="s">
        <v>37</v>
      </c>
      <c r="E636" s="155" t="s">
        <v>38</v>
      </c>
      <c r="F636" s="155" t="s">
        <v>39</v>
      </c>
    </row>
    <row r="637" ht="14.25" customHeight="1" spans="1:6">
      <c r="A637" s="153">
        <v>45139</v>
      </c>
      <c r="B637" s="154">
        <v>45142</v>
      </c>
      <c r="C637" s="155" t="s">
        <v>681</v>
      </c>
      <c r="D637" s="155" t="s">
        <v>33</v>
      </c>
      <c r="E637" s="155" t="s">
        <v>43</v>
      </c>
      <c r="F637" s="155" t="s">
        <v>57</v>
      </c>
    </row>
    <row r="638" ht="14.25" customHeight="1" spans="1:6">
      <c r="A638" s="153">
        <v>45139</v>
      </c>
      <c r="B638" s="154">
        <v>45142</v>
      </c>
      <c r="C638" s="155" t="s">
        <v>682</v>
      </c>
      <c r="D638" s="156" t="s">
        <v>37</v>
      </c>
      <c r="E638" s="155" t="s">
        <v>43</v>
      </c>
      <c r="F638" s="155" t="s">
        <v>35</v>
      </c>
    </row>
    <row r="639" ht="14.25" customHeight="1" spans="1:6">
      <c r="A639" s="153">
        <v>45139</v>
      </c>
      <c r="B639" s="154">
        <v>45142</v>
      </c>
      <c r="C639" s="155" t="s">
        <v>683</v>
      </c>
      <c r="D639" s="156" t="s">
        <v>45</v>
      </c>
      <c r="E639" s="155" t="s">
        <v>38</v>
      </c>
      <c r="F639" s="155" t="s">
        <v>39</v>
      </c>
    </row>
    <row r="640" ht="14.25" customHeight="1" spans="1:6">
      <c r="A640" s="153">
        <v>45139</v>
      </c>
      <c r="B640" s="154">
        <v>45142</v>
      </c>
      <c r="C640" s="155" t="s">
        <v>684</v>
      </c>
      <c r="D640" s="156" t="s">
        <v>129</v>
      </c>
      <c r="E640" s="155" t="s">
        <v>43</v>
      </c>
      <c r="F640" s="155" t="s">
        <v>39</v>
      </c>
    </row>
    <row r="641" ht="14.25" customHeight="1" spans="1:6">
      <c r="A641" s="153">
        <v>45139</v>
      </c>
      <c r="B641" s="154">
        <v>45142</v>
      </c>
      <c r="C641" s="155" t="s">
        <v>685</v>
      </c>
      <c r="D641" s="155" t="s">
        <v>47</v>
      </c>
      <c r="E641" s="155" t="s">
        <v>38</v>
      </c>
      <c r="F641" s="155" t="s">
        <v>57</v>
      </c>
    </row>
    <row r="642" ht="14.25" customHeight="1" spans="1:6">
      <c r="A642" s="153">
        <v>45139</v>
      </c>
      <c r="B642" s="154">
        <v>45142</v>
      </c>
      <c r="C642" s="155" t="s">
        <v>686</v>
      </c>
      <c r="D642" s="156" t="s">
        <v>37</v>
      </c>
      <c r="E642" s="155" t="s">
        <v>38</v>
      </c>
      <c r="F642" s="155" t="s">
        <v>39</v>
      </c>
    </row>
    <row r="643" ht="14.25" customHeight="1" spans="1:6">
      <c r="A643" s="153">
        <v>45139</v>
      </c>
      <c r="B643" s="154">
        <v>45142</v>
      </c>
      <c r="C643" s="155" t="s">
        <v>687</v>
      </c>
      <c r="D643" s="156" t="s">
        <v>37</v>
      </c>
      <c r="E643" s="155" t="s">
        <v>43</v>
      </c>
      <c r="F643" s="155" t="s">
        <v>35</v>
      </c>
    </row>
    <row r="644" ht="14.25" customHeight="1" spans="1:6">
      <c r="A644" s="153">
        <v>45139</v>
      </c>
      <c r="B644" s="154">
        <v>45142</v>
      </c>
      <c r="C644" s="155" t="s">
        <v>688</v>
      </c>
      <c r="D644" s="156" t="s">
        <v>129</v>
      </c>
      <c r="E644" s="155" t="s">
        <v>38</v>
      </c>
      <c r="F644" s="155" t="s">
        <v>39</v>
      </c>
    </row>
    <row r="645" ht="14.25" customHeight="1" spans="1:6">
      <c r="A645" s="153">
        <v>45139</v>
      </c>
      <c r="B645" s="154">
        <v>45142</v>
      </c>
      <c r="C645" s="155" t="s">
        <v>689</v>
      </c>
      <c r="D645" s="156" t="s">
        <v>129</v>
      </c>
      <c r="E645" s="155" t="s">
        <v>43</v>
      </c>
      <c r="F645" s="155" t="s">
        <v>39</v>
      </c>
    </row>
    <row r="646" ht="14.25" customHeight="1" spans="1:6">
      <c r="A646" s="153">
        <v>45139</v>
      </c>
      <c r="B646" s="154">
        <v>45142</v>
      </c>
      <c r="C646" s="155" t="s">
        <v>690</v>
      </c>
      <c r="D646" s="155" t="s">
        <v>33</v>
      </c>
      <c r="E646" s="155" t="s">
        <v>38</v>
      </c>
      <c r="F646" s="155" t="s">
        <v>39</v>
      </c>
    </row>
    <row r="647" ht="14.25" customHeight="1" spans="1:6">
      <c r="A647" s="153">
        <v>45139</v>
      </c>
      <c r="B647" s="154">
        <v>45142</v>
      </c>
      <c r="C647" s="155" t="s">
        <v>691</v>
      </c>
      <c r="D647" s="156" t="s">
        <v>129</v>
      </c>
      <c r="E647" s="155" t="s">
        <v>43</v>
      </c>
      <c r="F647" s="155" t="s">
        <v>39</v>
      </c>
    </row>
    <row r="648" ht="14.25" customHeight="1" spans="1:6">
      <c r="A648" s="153">
        <v>45139</v>
      </c>
      <c r="B648" s="154">
        <v>45142</v>
      </c>
      <c r="C648" s="155" t="s">
        <v>692</v>
      </c>
      <c r="D648" s="156" t="s">
        <v>129</v>
      </c>
      <c r="E648" s="155" t="s">
        <v>43</v>
      </c>
      <c r="F648" s="155" t="s">
        <v>39</v>
      </c>
    </row>
    <row r="649" ht="14.25" customHeight="1" spans="1:6">
      <c r="A649" s="153">
        <v>45139</v>
      </c>
      <c r="B649" s="154">
        <v>45142</v>
      </c>
      <c r="C649" s="155" t="s">
        <v>693</v>
      </c>
      <c r="D649" s="155" t="s">
        <v>33</v>
      </c>
      <c r="E649" s="155" t="s">
        <v>43</v>
      </c>
      <c r="F649" s="155" t="s">
        <v>57</v>
      </c>
    </row>
    <row r="650" ht="14.25" customHeight="1" spans="1:6">
      <c r="A650" s="153">
        <v>45139</v>
      </c>
      <c r="B650" s="154">
        <v>45142</v>
      </c>
      <c r="C650" s="155" t="s">
        <v>694</v>
      </c>
      <c r="D650" s="156" t="s">
        <v>129</v>
      </c>
      <c r="E650" s="155" t="s">
        <v>43</v>
      </c>
      <c r="F650" s="155" t="s">
        <v>39</v>
      </c>
    </row>
    <row r="651" ht="14.25" customHeight="1" spans="1:6">
      <c r="A651" s="153">
        <v>45139</v>
      </c>
      <c r="B651" s="154">
        <v>45142</v>
      </c>
      <c r="C651" s="155" t="s">
        <v>695</v>
      </c>
      <c r="D651" s="156" t="s">
        <v>37</v>
      </c>
      <c r="E651" s="155" t="s">
        <v>50</v>
      </c>
      <c r="F651" s="155" t="s">
        <v>35</v>
      </c>
    </row>
    <row r="652" ht="14.25" customHeight="1" spans="1:6">
      <c r="A652" s="153">
        <v>45139</v>
      </c>
      <c r="B652" s="154">
        <v>45142</v>
      </c>
      <c r="C652" s="155" t="s">
        <v>696</v>
      </c>
      <c r="D652" s="156" t="s">
        <v>37</v>
      </c>
      <c r="E652" s="155" t="s">
        <v>43</v>
      </c>
      <c r="F652" s="155" t="s">
        <v>35</v>
      </c>
    </row>
    <row r="653" ht="14.25" customHeight="1" spans="1:6">
      <c r="A653" s="153">
        <v>45139</v>
      </c>
      <c r="B653" s="154">
        <v>45142</v>
      </c>
      <c r="C653" s="155" t="s">
        <v>697</v>
      </c>
      <c r="D653" s="156" t="s">
        <v>37</v>
      </c>
      <c r="E653" s="155" t="s">
        <v>38</v>
      </c>
      <c r="F653" s="155" t="s">
        <v>39</v>
      </c>
    </row>
    <row r="654" ht="14.25" customHeight="1" spans="1:6">
      <c r="A654" s="153">
        <v>45139</v>
      </c>
      <c r="B654" s="154">
        <v>45142</v>
      </c>
      <c r="C654" s="155" t="s">
        <v>698</v>
      </c>
      <c r="D654" s="156" t="s">
        <v>45</v>
      </c>
      <c r="E654" s="155" t="s">
        <v>43</v>
      </c>
      <c r="F654" s="155" t="s">
        <v>39</v>
      </c>
    </row>
    <row r="655" ht="14.25" customHeight="1" spans="1:6">
      <c r="A655" s="153">
        <v>45139</v>
      </c>
      <c r="B655" s="154">
        <v>45142</v>
      </c>
      <c r="C655" s="155" t="s">
        <v>699</v>
      </c>
      <c r="D655" s="156" t="s">
        <v>129</v>
      </c>
      <c r="E655" s="155" t="s">
        <v>43</v>
      </c>
      <c r="F655" s="155" t="s">
        <v>39</v>
      </c>
    </row>
    <row r="656" ht="14.25" customHeight="1" spans="1:6">
      <c r="A656" s="153">
        <v>45139</v>
      </c>
      <c r="B656" s="154">
        <v>45142</v>
      </c>
      <c r="C656" s="155" t="s">
        <v>700</v>
      </c>
      <c r="D656" s="155" t="s">
        <v>47</v>
      </c>
      <c r="E656" s="155" t="s">
        <v>43</v>
      </c>
      <c r="F656" s="155" t="s">
        <v>39</v>
      </c>
    </row>
    <row r="657" ht="14.25" customHeight="1" spans="1:6">
      <c r="A657" s="153">
        <v>45139</v>
      </c>
      <c r="B657" s="154">
        <v>45142</v>
      </c>
      <c r="C657" s="155" t="s">
        <v>701</v>
      </c>
      <c r="D657" s="156" t="s">
        <v>37</v>
      </c>
      <c r="E657" s="155" t="s">
        <v>34</v>
      </c>
      <c r="F657" s="155" t="s">
        <v>57</v>
      </c>
    </row>
    <row r="658" ht="14.25" customHeight="1" spans="1:6">
      <c r="A658" s="153">
        <v>45139</v>
      </c>
      <c r="B658" s="154">
        <v>45142</v>
      </c>
      <c r="C658" s="155" t="s">
        <v>702</v>
      </c>
      <c r="D658" s="156" t="s">
        <v>129</v>
      </c>
      <c r="E658" s="155" t="s">
        <v>38</v>
      </c>
      <c r="F658" s="155" t="s">
        <v>39</v>
      </c>
    </row>
    <row r="659" ht="14.25" customHeight="1" spans="1:6">
      <c r="A659" s="153">
        <v>45139</v>
      </c>
      <c r="B659" s="154">
        <v>45142</v>
      </c>
      <c r="C659" s="155" t="s">
        <v>703</v>
      </c>
      <c r="D659" s="156" t="s">
        <v>129</v>
      </c>
      <c r="E659" s="155" t="s">
        <v>43</v>
      </c>
      <c r="F659" s="155" t="s">
        <v>39</v>
      </c>
    </row>
    <row r="660" ht="14.25" customHeight="1" spans="1:6">
      <c r="A660" s="153">
        <v>45139</v>
      </c>
      <c r="B660" s="154">
        <v>45142</v>
      </c>
      <c r="C660" s="155" t="s">
        <v>704</v>
      </c>
      <c r="D660" s="155" t="s">
        <v>33</v>
      </c>
      <c r="E660" s="155" t="s">
        <v>43</v>
      </c>
      <c r="F660" s="155" t="s">
        <v>57</v>
      </c>
    </row>
    <row r="661" ht="14.25" customHeight="1" spans="1:6">
      <c r="A661" s="153">
        <v>45139</v>
      </c>
      <c r="B661" s="154">
        <v>45142</v>
      </c>
      <c r="C661" s="155" t="s">
        <v>705</v>
      </c>
      <c r="D661" s="156" t="s">
        <v>37</v>
      </c>
      <c r="E661" s="155" t="s">
        <v>38</v>
      </c>
      <c r="F661" s="155" t="s">
        <v>39</v>
      </c>
    </row>
    <row r="662" ht="14.25" customHeight="1" spans="1:6">
      <c r="A662" s="153">
        <v>45139</v>
      </c>
      <c r="B662" s="154">
        <v>45142</v>
      </c>
      <c r="C662" s="155" t="s">
        <v>706</v>
      </c>
      <c r="D662" s="156" t="s">
        <v>129</v>
      </c>
      <c r="E662" s="155" t="s">
        <v>38</v>
      </c>
      <c r="F662" s="155" t="s">
        <v>39</v>
      </c>
    </row>
    <row r="663" ht="14.25" customHeight="1" spans="1:6">
      <c r="A663" s="153">
        <v>45139</v>
      </c>
      <c r="B663" s="154">
        <v>45142</v>
      </c>
      <c r="C663" s="155" t="s">
        <v>707</v>
      </c>
      <c r="D663" s="156" t="s">
        <v>37</v>
      </c>
      <c r="E663" s="155" t="s">
        <v>38</v>
      </c>
      <c r="F663" s="155" t="s">
        <v>35</v>
      </c>
    </row>
    <row r="664" ht="14.25" customHeight="1" spans="1:6">
      <c r="A664" s="153">
        <v>45139</v>
      </c>
      <c r="B664" s="154">
        <v>45142</v>
      </c>
      <c r="C664" s="155" t="s">
        <v>708</v>
      </c>
      <c r="D664" s="156" t="s">
        <v>37</v>
      </c>
      <c r="E664" s="155" t="s">
        <v>38</v>
      </c>
      <c r="F664" s="155" t="s">
        <v>35</v>
      </c>
    </row>
    <row r="665" ht="14.25" customHeight="1" spans="1:6">
      <c r="A665" s="153">
        <v>45139</v>
      </c>
      <c r="B665" s="154">
        <v>45142</v>
      </c>
      <c r="C665" s="155" t="s">
        <v>709</v>
      </c>
      <c r="D665" s="156" t="s">
        <v>129</v>
      </c>
      <c r="E665" s="155" t="s">
        <v>50</v>
      </c>
      <c r="F665" s="155" t="s">
        <v>39</v>
      </c>
    </row>
    <row r="666" ht="14.25" customHeight="1" spans="1:6">
      <c r="A666" s="153">
        <v>45139</v>
      </c>
      <c r="B666" s="154">
        <v>45142</v>
      </c>
      <c r="C666" s="155" t="s">
        <v>710</v>
      </c>
      <c r="D666" s="156" t="s">
        <v>37</v>
      </c>
      <c r="E666" s="155" t="s">
        <v>38</v>
      </c>
      <c r="F666" s="155" t="s">
        <v>39</v>
      </c>
    </row>
    <row r="667" ht="14.25" customHeight="1" spans="1:6">
      <c r="A667" s="153">
        <v>45139</v>
      </c>
      <c r="B667" s="154">
        <v>45142</v>
      </c>
      <c r="C667" s="155" t="s">
        <v>711</v>
      </c>
      <c r="D667" s="156" t="s">
        <v>129</v>
      </c>
      <c r="E667" s="155" t="s">
        <v>43</v>
      </c>
      <c r="F667" s="155" t="s">
        <v>39</v>
      </c>
    </row>
    <row r="668" ht="14.25" customHeight="1" spans="1:6">
      <c r="A668" s="153">
        <v>45139</v>
      </c>
      <c r="B668" s="154">
        <v>45142</v>
      </c>
      <c r="C668" s="155" t="s">
        <v>712</v>
      </c>
      <c r="D668" s="156" t="s">
        <v>37</v>
      </c>
      <c r="E668" s="155" t="s">
        <v>34</v>
      </c>
      <c r="F668" s="155" t="s">
        <v>57</v>
      </c>
    </row>
    <row r="669" ht="14.25" customHeight="1" spans="1:6">
      <c r="A669" s="153">
        <v>45139</v>
      </c>
      <c r="B669" s="154">
        <v>45142</v>
      </c>
      <c r="C669" s="155" t="s">
        <v>713</v>
      </c>
      <c r="D669" s="156" t="s">
        <v>129</v>
      </c>
      <c r="E669" s="155" t="s">
        <v>43</v>
      </c>
      <c r="F669" s="155" t="s">
        <v>39</v>
      </c>
    </row>
    <row r="670" ht="14.25" customHeight="1" spans="1:6">
      <c r="A670" s="153">
        <v>45139</v>
      </c>
      <c r="B670" s="154">
        <v>45142</v>
      </c>
      <c r="C670" s="155" t="s">
        <v>714</v>
      </c>
      <c r="D670" s="156" t="s">
        <v>37</v>
      </c>
      <c r="E670" s="155" t="s">
        <v>43</v>
      </c>
      <c r="F670" s="155" t="s">
        <v>57</v>
      </c>
    </row>
    <row r="671" ht="14.25" customHeight="1" spans="1:6">
      <c r="A671" s="153">
        <v>45139</v>
      </c>
      <c r="B671" s="154">
        <v>45142</v>
      </c>
      <c r="C671" s="155" t="s">
        <v>715</v>
      </c>
      <c r="D671" s="155" t="s">
        <v>47</v>
      </c>
      <c r="E671" s="155" t="s">
        <v>34</v>
      </c>
      <c r="F671" s="155" t="s">
        <v>39</v>
      </c>
    </row>
    <row r="672" ht="14.25" customHeight="1" spans="1:6">
      <c r="A672" s="153">
        <v>45139</v>
      </c>
      <c r="B672" s="154">
        <v>45142</v>
      </c>
      <c r="C672" s="155" t="s">
        <v>716</v>
      </c>
      <c r="D672" s="156" t="s">
        <v>129</v>
      </c>
      <c r="E672" s="155" t="s">
        <v>43</v>
      </c>
      <c r="F672" s="155" t="s">
        <v>39</v>
      </c>
    </row>
    <row r="673" ht="14.25" customHeight="1" spans="1:6">
      <c r="A673" s="153">
        <v>45139</v>
      </c>
      <c r="B673" s="154">
        <v>45142</v>
      </c>
      <c r="C673" s="155" t="s">
        <v>717</v>
      </c>
      <c r="D673" s="156" t="s">
        <v>37</v>
      </c>
      <c r="E673" s="155" t="s">
        <v>43</v>
      </c>
      <c r="F673" s="155" t="s">
        <v>35</v>
      </c>
    </row>
    <row r="674" ht="14.25" customHeight="1" spans="1:6">
      <c r="A674" s="153">
        <v>45139</v>
      </c>
      <c r="B674" s="154">
        <v>45142</v>
      </c>
      <c r="C674" s="155" t="s">
        <v>718</v>
      </c>
      <c r="D674" s="156" t="s">
        <v>129</v>
      </c>
      <c r="E674" s="155" t="s">
        <v>38</v>
      </c>
      <c r="F674" s="155" t="s">
        <v>39</v>
      </c>
    </row>
    <row r="675" ht="14.25" customHeight="1" spans="1:6">
      <c r="A675" s="153">
        <v>45139</v>
      </c>
      <c r="B675" s="154">
        <v>45142</v>
      </c>
      <c r="C675" s="155" t="s">
        <v>719</v>
      </c>
      <c r="D675" s="156" t="s">
        <v>129</v>
      </c>
      <c r="E675" s="155" t="s">
        <v>34</v>
      </c>
      <c r="F675" s="155" t="s">
        <v>39</v>
      </c>
    </row>
    <row r="676" ht="14.25" customHeight="1" spans="1:6">
      <c r="A676" s="153">
        <v>45139</v>
      </c>
      <c r="B676" s="154">
        <v>45142</v>
      </c>
      <c r="C676" s="155" t="s">
        <v>720</v>
      </c>
      <c r="D676" s="156" t="s">
        <v>129</v>
      </c>
      <c r="E676" s="155" t="s">
        <v>38</v>
      </c>
      <c r="F676" s="155" t="s">
        <v>39</v>
      </c>
    </row>
    <row r="677" ht="14.25" customHeight="1" spans="1:6">
      <c r="A677" s="153">
        <v>45139</v>
      </c>
      <c r="B677" s="154">
        <v>45142</v>
      </c>
      <c r="C677" s="155" t="s">
        <v>721</v>
      </c>
      <c r="D677" s="156" t="s">
        <v>129</v>
      </c>
      <c r="E677" s="155" t="s">
        <v>43</v>
      </c>
      <c r="F677" s="155" t="s">
        <v>39</v>
      </c>
    </row>
    <row r="678" ht="14.25" customHeight="1" spans="1:6">
      <c r="A678" s="153">
        <v>45139</v>
      </c>
      <c r="B678" s="154">
        <v>45142</v>
      </c>
      <c r="C678" s="155" t="s">
        <v>722</v>
      </c>
      <c r="D678" s="156" t="s">
        <v>129</v>
      </c>
      <c r="E678" s="155" t="s">
        <v>38</v>
      </c>
      <c r="F678" s="155" t="s">
        <v>39</v>
      </c>
    </row>
    <row r="679" ht="14.25" customHeight="1" spans="1:6">
      <c r="A679" s="153">
        <v>45139</v>
      </c>
      <c r="B679" s="154">
        <v>45142</v>
      </c>
      <c r="C679" s="155" t="s">
        <v>723</v>
      </c>
      <c r="D679" s="155" t="s">
        <v>47</v>
      </c>
      <c r="E679" s="155" t="s">
        <v>43</v>
      </c>
      <c r="F679" s="155" t="s">
        <v>39</v>
      </c>
    </row>
    <row r="680" ht="14.25" customHeight="1" spans="1:6">
      <c r="A680" s="153">
        <v>45139</v>
      </c>
      <c r="B680" s="154">
        <v>45142</v>
      </c>
      <c r="C680" s="155" t="s">
        <v>724</v>
      </c>
      <c r="D680" s="156" t="s">
        <v>45</v>
      </c>
      <c r="E680" s="155" t="s">
        <v>38</v>
      </c>
      <c r="F680" s="155" t="s">
        <v>39</v>
      </c>
    </row>
    <row r="681" ht="14.25" customHeight="1" spans="1:6">
      <c r="A681" s="153">
        <v>45139</v>
      </c>
      <c r="B681" s="154">
        <v>45142</v>
      </c>
      <c r="C681" s="155" t="s">
        <v>725</v>
      </c>
      <c r="D681" s="156" t="s">
        <v>37</v>
      </c>
      <c r="E681" s="155" t="s">
        <v>38</v>
      </c>
      <c r="F681" s="155" t="s">
        <v>57</v>
      </c>
    </row>
    <row r="682" ht="14.25" customHeight="1" spans="1:6">
      <c r="A682" s="153">
        <v>45139</v>
      </c>
      <c r="B682" s="154">
        <v>45142</v>
      </c>
      <c r="C682" s="155" t="s">
        <v>726</v>
      </c>
      <c r="D682" s="155" t="s">
        <v>33</v>
      </c>
      <c r="E682" s="155" t="s">
        <v>38</v>
      </c>
      <c r="F682" s="155" t="s">
        <v>57</v>
      </c>
    </row>
    <row r="683" ht="14.25" customHeight="1" spans="1:6">
      <c r="A683" s="153">
        <v>45139</v>
      </c>
      <c r="B683" s="154">
        <v>45142</v>
      </c>
      <c r="C683" s="155" t="s">
        <v>727</v>
      </c>
      <c r="D683" s="156" t="s">
        <v>129</v>
      </c>
      <c r="E683" s="155" t="s">
        <v>43</v>
      </c>
      <c r="F683" s="155" t="s">
        <v>39</v>
      </c>
    </row>
    <row r="684" ht="14.25" customHeight="1" spans="1:6">
      <c r="A684" s="153">
        <v>45139</v>
      </c>
      <c r="B684" s="154">
        <v>45142</v>
      </c>
      <c r="C684" s="155" t="s">
        <v>728</v>
      </c>
      <c r="D684" s="155" t="s">
        <v>33</v>
      </c>
      <c r="E684" s="155" t="s">
        <v>38</v>
      </c>
      <c r="F684" s="155" t="s">
        <v>57</v>
      </c>
    </row>
    <row r="685" ht="14.25" customHeight="1" spans="1:6">
      <c r="A685" s="153">
        <v>45139</v>
      </c>
      <c r="B685" s="154">
        <v>45142</v>
      </c>
      <c r="C685" s="155" t="s">
        <v>729</v>
      </c>
      <c r="D685" s="156" t="s">
        <v>129</v>
      </c>
      <c r="E685" s="155" t="s">
        <v>34</v>
      </c>
      <c r="F685" s="155" t="s">
        <v>39</v>
      </c>
    </row>
    <row r="686" ht="14.25" customHeight="1" spans="1:6">
      <c r="A686" s="153">
        <v>45139</v>
      </c>
      <c r="B686" s="154">
        <v>45142</v>
      </c>
      <c r="C686" s="155" t="s">
        <v>730</v>
      </c>
      <c r="D686" s="156" t="s">
        <v>129</v>
      </c>
      <c r="E686" s="155" t="s">
        <v>38</v>
      </c>
      <c r="F686" s="155" t="s">
        <v>39</v>
      </c>
    </row>
    <row r="687" ht="14.25" customHeight="1" spans="1:6">
      <c r="A687" s="153">
        <v>45139</v>
      </c>
      <c r="B687" s="154">
        <v>45142</v>
      </c>
      <c r="C687" s="155" t="s">
        <v>731</v>
      </c>
      <c r="D687" s="156" t="s">
        <v>45</v>
      </c>
      <c r="E687" s="155" t="s">
        <v>34</v>
      </c>
      <c r="F687" s="155" t="s">
        <v>35</v>
      </c>
    </row>
    <row r="688" ht="14.25" customHeight="1" spans="1:6">
      <c r="A688" s="153">
        <v>45139</v>
      </c>
      <c r="B688" s="154">
        <v>45142</v>
      </c>
      <c r="C688" s="155" t="s">
        <v>732</v>
      </c>
      <c r="D688" s="156" t="s">
        <v>129</v>
      </c>
      <c r="E688" s="155" t="s">
        <v>43</v>
      </c>
      <c r="F688" s="155" t="s">
        <v>39</v>
      </c>
    </row>
    <row r="689" ht="14.25" customHeight="1" spans="1:6">
      <c r="A689" s="153">
        <v>45139</v>
      </c>
      <c r="B689" s="154">
        <v>45142</v>
      </c>
      <c r="C689" s="155" t="s">
        <v>733</v>
      </c>
      <c r="D689" s="155" t="s">
        <v>33</v>
      </c>
      <c r="E689" s="155" t="s">
        <v>38</v>
      </c>
      <c r="F689" s="155" t="s">
        <v>57</v>
      </c>
    </row>
    <row r="690" ht="14.25" customHeight="1" spans="1:6">
      <c r="A690" s="153">
        <v>45139</v>
      </c>
      <c r="B690" s="154">
        <v>45142</v>
      </c>
      <c r="C690" s="155" t="s">
        <v>734</v>
      </c>
      <c r="D690" s="156" t="s">
        <v>129</v>
      </c>
      <c r="E690" s="155" t="s">
        <v>43</v>
      </c>
      <c r="F690" s="155" t="s">
        <v>39</v>
      </c>
    </row>
    <row r="691" ht="14.25" customHeight="1" spans="1:6">
      <c r="A691" s="153">
        <v>45139</v>
      </c>
      <c r="B691" s="154">
        <v>45142</v>
      </c>
      <c r="C691" s="155" t="s">
        <v>735</v>
      </c>
      <c r="D691" s="156" t="s">
        <v>129</v>
      </c>
      <c r="E691" s="155" t="s">
        <v>38</v>
      </c>
      <c r="F691" s="155" t="s">
        <v>39</v>
      </c>
    </row>
    <row r="692" ht="14.25" customHeight="1" spans="1:6">
      <c r="A692" s="153">
        <v>45139</v>
      </c>
      <c r="B692" s="154">
        <v>45142</v>
      </c>
      <c r="C692" s="155" t="s">
        <v>736</v>
      </c>
      <c r="D692" s="156" t="s">
        <v>37</v>
      </c>
      <c r="E692" s="155" t="s">
        <v>38</v>
      </c>
      <c r="F692" s="155" t="s">
        <v>35</v>
      </c>
    </row>
    <row r="693" ht="14.25" customHeight="1" spans="1:6">
      <c r="A693" s="153">
        <v>45139</v>
      </c>
      <c r="B693" s="154">
        <v>45142</v>
      </c>
      <c r="C693" s="155" t="s">
        <v>737</v>
      </c>
      <c r="D693" s="156" t="s">
        <v>37</v>
      </c>
      <c r="E693" s="155" t="s">
        <v>38</v>
      </c>
      <c r="F693" s="155" t="s">
        <v>39</v>
      </c>
    </row>
    <row r="694" ht="14.25" customHeight="1" spans="1:6">
      <c r="A694" s="153">
        <v>45139</v>
      </c>
      <c r="B694" s="154">
        <v>45142</v>
      </c>
      <c r="C694" s="155" t="s">
        <v>738</v>
      </c>
      <c r="D694" s="156" t="s">
        <v>37</v>
      </c>
      <c r="E694" s="155" t="s">
        <v>43</v>
      </c>
      <c r="F694" s="155" t="s">
        <v>35</v>
      </c>
    </row>
    <row r="695" ht="14.25" customHeight="1" spans="1:6">
      <c r="A695" s="153">
        <v>45139</v>
      </c>
      <c r="B695" s="154">
        <v>45142</v>
      </c>
      <c r="C695" s="155" t="s">
        <v>739</v>
      </c>
      <c r="D695" s="156" t="s">
        <v>129</v>
      </c>
      <c r="E695" s="155" t="s">
        <v>43</v>
      </c>
      <c r="F695" s="155" t="s">
        <v>39</v>
      </c>
    </row>
    <row r="696" ht="14.25" customHeight="1" spans="1:6">
      <c r="A696" s="153">
        <v>45139</v>
      </c>
      <c r="B696" s="154">
        <v>45142</v>
      </c>
      <c r="C696" s="155" t="s">
        <v>740</v>
      </c>
      <c r="D696" s="155" t="s">
        <v>33</v>
      </c>
      <c r="E696" s="155" t="s">
        <v>38</v>
      </c>
      <c r="F696" s="155" t="s">
        <v>39</v>
      </c>
    </row>
    <row r="697" ht="14.25" customHeight="1" spans="1:6">
      <c r="A697" s="153">
        <v>45139</v>
      </c>
      <c r="B697" s="154">
        <v>45142</v>
      </c>
      <c r="C697" s="155" t="s">
        <v>741</v>
      </c>
      <c r="D697" s="155" t="s">
        <v>33</v>
      </c>
      <c r="E697" s="155" t="s">
        <v>43</v>
      </c>
      <c r="F697" s="155" t="s">
        <v>39</v>
      </c>
    </row>
    <row r="698" ht="14.25" customHeight="1" spans="1:6">
      <c r="A698" s="153">
        <v>45139</v>
      </c>
      <c r="B698" s="154">
        <v>45142</v>
      </c>
      <c r="C698" s="155" t="s">
        <v>742</v>
      </c>
      <c r="D698" s="155" t="s">
        <v>33</v>
      </c>
      <c r="E698" s="155" t="s">
        <v>43</v>
      </c>
      <c r="F698" s="155" t="s">
        <v>39</v>
      </c>
    </row>
    <row r="699" ht="14.25" customHeight="1" spans="1:6">
      <c r="A699" s="153">
        <v>45139</v>
      </c>
      <c r="B699" s="154">
        <v>45142</v>
      </c>
      <c r="C699" s="155" t="s">
        <v>743</v>
      </c>
      <c r="D699" s="156" t="s">
        <v>129</v>
      </c>
      <c r="E699" s="155" t="s">
        <v>38</v>
      </c>
      <c r="F699" s="155" t="s">
        <v>39</v>
      </c>
    </row>
    <row r="700" ht="14.25" customHeight="1" spans="1:6">
      <c r="A700" s="153">
        <v>45139</v>
      </c>
      <c r="B700" s="154">
        <v>45142</v>
      </c>
      <c r="C700" s="155" t="s">
        <v>744</v>
      </c>
      <c r="D700" s="155" t="s">
        <v>33</v>
      </c>
      <c r="E700" s="155" t="s">
        <v>34</v>
      </c>
      <c r="F700" s="155" t="s">
        <v>39</v>
      </c>
    </row>
    <row r="701" ht="14.25" customHeight="1" spans="1:6">
      <c r="A701" s="153">
        <v>45139</v>
      </c>
      <c r="B701" s="154">
        <v>45142</v>
      </c>
      <c r="C701" s="155" t="s">
        <v>745</v>
      </c>
      <c r="D701" s="156" t="s">
        <v>129</v>
      </c>
      <c r="E701" s="155" t="s">
        <v>43</v>
      </c>
      <c r="F701" s="155" t="s">
        <v>39</v>
      </c>
    </row>
    <row r="702" ht="14.25" customHeight="1" spans="1:6">
      <c r="A702" s="153">
        <v>45139</v>
      </c>
      <c r="B702" s="154">
        <v>45142</v>
      </c>
      <c r="C702" s="155" t="s">
        <v>746</v>
      </c>
      <c r="D702" s="156" t="s">
        <v>129</v>
      </c>
      <c r="E702" s="155" t="s">
        <v>43</v>
      </c>
      <c r="F702" s="155" t="s">
        <v>39</v>
      </c>
    </row>
    <row r="703" ht="14.25" customHeight="1" spans="1:6">
      <c r="A703" s="153">
        <v>45139</v>
      </c>
      <c r="B703" s="154">
        <v>45142</v>
      </c>
      <c r="C703" s="155" t="s">
        <v>747</v>
      </c>
      <c r="D703" s="156" t="s">
        <v>129</v>
      </c>
      <c r="E703" s="155" t="s">
        <v>34</v>
      </c>
      <c r="F703" s="155" t="s">
        <v>39</v>
      </c>
    </row>
    <row r="704" ht="14.25" customHeight="1" spans="1:6">
      <c r="A704" s="153">
        <v>45139</v>
      </c>
      <c r="B704" s="154">
        <v>45142</v>
      </c>
      <c r="C704" s="155" t="s">
        <v>748</v>
      </c>
      <c r="D704" s="155" t="s">
        <v>33</v>
      </c>
      <c r="E704" s="155" t="s">
        <v>38</v>
      </c>
      <c r="F704" s="155" t="s">
        <v>57</v>
      </c>
    </row>
    <row r="705" ht="14.25" customHeight="1" spans="1:6">
      <c r="A705" s="153">
        <v>45139</v>
      </c>
      <c r="B705" s="154">
        <v>45142</v>
      </c>
      <c r="C705" s="155" t="s">
        <v>749</v>
      </c>
      <c r="D705" s="156" t="s">
        <v>47</v>
      </c>
      <c r="E705" s="155" t="s">
        <v>34</v>
      </c>
      <c r="F705" s="155" t="s">
        <v>35</v>
      </c>
    </row>
    <row r="706" ht="14.25" customHeight="1" spans="1:6">
      <c r="A706" s="153">
        <v>45139</v>
      </c>
      <c r="B706" s="154">
        <v>45142</v>
      </c>
      <c r="C706" s="155" t="s">
        <v>750</v>
      </c>
      <c r="D706" s="156" t="s">
        <v>129</v>
      </c>
      <c r="E706" s="155" t="s">
        <v>43</v>
      </c>
      <c r="F706" s="155" t="s">
        <v>39</v>
      </c>
    </row>
    <row r="707" ht="14.25" customHeight="1" spans="1:6">
      <c r="A707" s="153">
        <v>45139</v>
      </c>
      <c r="B707" s="154">
        <v>45142</v>
      </c>
      <c r="C707" s="155" t="s">
        <v>751</v>
      </c>
      <c r="D707" s="156" t="s">
        <v>129</v>
      </c>
      <c r="E707" s="155" t="s">
        <v>38</v>
      </c>
      <c r="F707" s="155" t="s">
        <v>39</v>
      </c>
    </row>
    <row r="708" ht="14.25" customHeight="1" spans="1:6">
      <c r="A708" s="153">
        <v>45139</v>
      </c>
      <c r="B708" s="154">
        <v>45142</v>
      </c>
      <c r="C708" s="155" t="s">
        <v>752</v>
      </c>
      <c r="D708" s="156" t="s">
        <v>129</v>
      </c>
      <c r="E708" s="155" t="s">
        <v>38</v>
      </c>
      <c r="F708" s="155" t="s">
        <v>39</v>
      </c>
    </row>
    <row r="709" ht="14.25" customHeight="1" spans="1:6">
      <c r="A709" s="153">
        <v>45139</v>
      </c>
      <c r="B709" s="154">
        <v>45142</v>
      </c>
      <c r="C709" s="155" t="s">
        <v>753</v>
      </c>
      <c r="D709" s="156" t="s">
        <v>129</v>
      </c>
      <c r="E709" s="155" t="s">
        <v>38</v>
      </c>
      <c r="F709" s="155" t="s">
        <v>39</v>
      </c>
    </row>
    <row r="710" ht="14.25" customHeight="1" spans="1:6">
      <c r="A710" s="153">
        <v>45139</v>
      </c>
      <c r="B710" s="154">
        <v>45142</v>
      </c>
      <c r="C710" s="155" t="s">
        <v>754</v>
      </c>
      <c r="D710" s="156" t="s">
        <v>129</v>
      </c>
      <c r="E710" s="155" t="s">
        <v>43</v>
      </c>
      <c r="F710" s="155" t="s">
        <v>39</v>
      </c>
    </row>
    <row r="711" ht="14.25" customHeight="1" spans="1:6">
      <c r="A711" s="153">
        <v>45139</v>
      </c>
      <c r="B711" s="154">
        <v>45142</v>
      </c>
      <c r="C711" s="155" t="s">
        <v>755</v>
      </c>
      <c r="D711" s="155" t="s">
        <v>33</v>
      </c>
      <c r="E711" s="155" t="s">
        <v>38</v>
      </c>
      <c r="F711" s="155" t="s">
        <v>39</v>
      </c>
    </row>
    <row r="712" ht="14.25" customHeight="1" spans="1:6">
      <c r="A712" s="153">
        <v>45139</v>
      </c>
      <c r="B712" s="154">
        <v>45142</v>
      </c>
      <c r="C712" s="155" t="s">
        <v>756</v>
      </c>
      <c r="D712" s="156" t="s">
        <v>129</v>
      </c>
      <c r="E712" s="155" t="s">
        <v>50</v>
      </c>
      <c r="F712" s="155" t="s">
        <v>39</v>
      </c>
    </row>
    <row r="713" ht="14.25" customHeight="1" spans="1:6">
      <c r="A713" s="153">
        <v>45139</v>
      </c>
      <c r="B713" s="154">
        <v>45142</v>
      </c>
      <c r="C713" s="155" t="s">
        <v>757</v>
      </c>
      <c r="D713" s="155" t="s">
        <v>33</v>
      </c>
      <c r="E713" s="155" t="s">
        <v>38</v>
      </c>
      <c r="F713" s="155" t="s">
        <v>39</v>
      </c>
    </row>
    <row r="714" ht="14.25" customHeight="1" spans="1:6">
      <c r="A714" s="153">
        <v>45139</v>
      </c>
      <c r="B714" s="154">
        <v>45142</v>
      </c>
      <c r="C714" s="155" t="s">
        <v>758</v>
      </c>
      <c r="D714" s="156" t="s">
        <v>129</v>
      </c>
      <c r="E714" s="155" t="s">
        <v>43</v>
      </c>
      <c r="F714" s="155" t="s">
        <v>39</v>
      </c>
    </row>
    <row r="715" ht="14.25" customHeight="1" spans="1:6">
      <c r="A715" s="153">
        <v>45139</v>
      </c>
      <c r="B715" s="154">
        <v>45142</v>
      </c>
      <c r="C715" s="155" t="s">
        <v>759</v>
      </c>
      <c r="D715" s="156" t="s">
        <v>129</v>
      </c>
      <c r="E715" s="155" t="s">
        <v>43</v>
      </c>
      <c r="F715" s="155" t="s">
        <v>39</v>
      </c>
    </row>
    <row r="716" ht="14.25" customHeight="1" spans="1:6">
      <c r="A716" s="153">
        <v>45139</v>
      </c>
      <c r="B716" s="154">
        <v>45142</v>
      </c>
      <c r="C716" s="155" t="s">
        <v>760</v>
      </c>
      <c r="D716" s="156" t="s">
        <v>129</v>
      </c>
      <c r="E716" s="155" t="s">
        <v>38</v>
      </c>
      <c r="F716" s="155" t="s">
        <v>39</v>
      </c>
    </row>
    <row r="717" ht="14.25" customHeight="1" spans="1:6">
      <c r="A717" s="153">
        <v>45139</v>
      </c>
      <c r="B717" s="154">
        <v>45142</v>
      </c>
      <c r="C717" s="155" t="s">
        <v>761</v>
      </c>
      <c r="D717" s="156" t="s">
        <v>129</v>
      </c>
      <c r="E717" s="155" t="s">
        <v>38</v>
      </c>
      <c r="F717" s="155" t="s">
        <v>39</v>
      </c>
    </row>
    <row r="718" ht="14.25" customHeight="1" spans="1:6">
      <c r="A718" s="153">
        <v>45139</v>
      </c>
      <c r="B718" s="154">
        <v>45142</v>
      </c>
      <c r="C718" s="155" t="s">
        <v>762</v>
      </c>
      <c r="D718" s="156" t="s">
        <v>129</v>
      </c>
      <c r="E718" s="155" t="s">
        <v>50</v>
      </c>
      <c r="F718" s="155" t="s">
        <v>39</v>
      </c>
    </row>
    <row r="719" ht="14.25" customHeight="1" spans="1:6">
      <c r="A719" s="153">
        <v>45139</v>
      </c>
      <c r="B719" s="154">
        <v>45142</v>
      </c>
      <c r="C719" s="155" t="s">
        <v>763</v>
      </c>
      <c r="D719" s="156" t="s">
        <v>129</v>
      </c>
      <c r="E719" s="155" t="s">
        <v>38</v>
      </c>
      <c r="F719" s="155" t="s">
        <v>39</v>
      </c>
    </row>
    <row r="720" ht="14.25" customHeight="1" spans="1:6">
      <c r="A720" s="153">
        <v>45139</v>
      </c>
      <c r="B720" s="154">
        <v>45142</v>
      </c>
      <c r="C720" s="155" t="s">
        <v>764</v>
      </c>
      <c r="D720" s="156" t="s">
        <v>129</v>
      </c>
      <c r="E720" s="155" t="s">
        <v>38</v>
      </c>
      <c r="F720" s="155" t="s">
        <v>39</v>
      </c>
    </row>
    <row r="721" ht="14.25" customHeight="1" spans="1:6">
      <c r="A721" s="153">
        <v>45139</v>
      </c>
      <c r="B721" s="154">
        <v>45142</v>
      </c>
      <c r="C721" s="155" t="s">
        <v>765</v>
      </c>
      <c r="D721" s="156" t="s">
        <v>129</v>
      </c>
      <c r="E721" s="155" t="s">
        <v>50</v>
      </c>
      <c r="F721" s="155" t="s">
        <v>39</v>
      </c>
    </row>
    <row r="722" ht="14.25" customHeight="1" spans="1:6">
      <c r="A722" s="153">
        <v>45139</v>
      </c>
      <c r="B722" s="154">
        <v>45142</v>
      </c>
      <c r="C722" s="155" t="s">
        <v>766</v>
      </c>
      <c r="D722" s="155" t="s">
        <v>33</v>
      </c>
      <c r="E722" s="155" t="s">
        <v>43</v>
      </c>
      <c r="F722" s="155" t="s">
        <v>39</v>
      </c>
    </row>
    <row r="723" ht="14.25" customHeight="1" spans="1:6">
      <c r="A723" s="153">
        <v>45139</v>
      </c>
      <c r="B723" s="154">
        <v>45142</v>
      </c>
      <c r="C723" s="155" t="s">
        <v>767</v>
      </c>
      <c r="D723" s="156" t="s">
        <v>129</v>
      </c>
      <c r="E723" s="155" t="s">
        <v>43</v>
      </c>
      <c r="F723" s="155" t="s">
        <v>39</v>
      </c>
    </row>
    <row r="724" ht="14.25" customHeight="1" spans="1:6">
      <c r="A724" s="153">
        <v>45139</v>
      </c>
      <c r="B724" s="154">
        <v>45142</v>
      </c>
      <c r="C724" s="155" t="s">
        <v>768</v>
      </c>
      <c r="D724" s="156" t="s">
        <v>129</v>
      </c>
      <c r="E724" s="155" t="s">
        <v>43</v>
      </c>
      <c r="F724" s="155" t="s">
        <v>39</v>
      </c>
    </row>
    <row r="725" ht="14.25" customHeight="1" spans="1:6">
      <c r="A725" s="153">
        <v>45139</v>
      </c>
      <c r="B725" s="154">
        <v>45142</v>
      </c>
      <c r="C725" s="155" t="s">
        <v>769</v>
      </c>
      <c r="D725" s="156" t="s">
        <v>129</v>
      </c>
      <c r="E725" s="155" t="s">
        <v>43</v>
      </c>
      <c r="F725" s="155" t="s">
        <v>39</v>
      </c>
    </row>
    <row r="726" ht="14.25" customHeight="1" spans="1:6">
      <c r="A726" s="153">
        <v>45139</v>
      </c>
      <c r="B726" s="154">
        <v>45142</v>
      </c>
      <c r="C726" s="155" t="s">
        <v>770</v>
      </c>
      <c r="D726" s="156" t="s">
        <v>129</v>
      </c>
      <c r="E726" s="155" t="s">
        <v>43</v>
      </c>
      <c r="F726" s="155" t="s">
        <v>39</v>
      </c>
    </row>
    <row r="727" ht="14.25" customHeight="1" spans="1:6">
      <c r="A727" s="153">
        <v>45139</v>
      </c>
      <c r="B727" s="154">
        <v>45142</v>
      </c>
      <c r="C727" s="155" t="s">
        <v>771</v>
      </c>
      <c r="D727" s="156" t="s">
        <v>129</v>
      </c>
      <c r="E727" s="155" t="s">
        <v>50</v>
      </c>
      <c r="F727" s="155" t="s">
        <v>39</v>
      </c>
    </row>
    <row r="728" ht="14.25" customHeight="1" spans="1:6">
      <c r="A728" s="153">
        <v>45139</v>
      </c>
      <c r="B728" s="154">
        <v>45143</v>
      </c>
      <c r="C728" s="155" t="s">
        <v>772</v>
      </c>
      <c r="D728" s="156" t="s">
        <v>47</v>
      </c>
      <c r="E728" s="155" t="s">
        <v>38</v>
      </c>
      <c r="F728" s="155" t="s">
        <v>39</v>
      </c>
    </row>
    <row r="729" ht="14.25" customHeight="1" spans="1:6">
      <c r="A729" s="153">
        <v>45139</v>
      </c>
      <c r="B729" s="154">
        <v>45143</v>
      </c>
      <c r="C729" s="155" t="s">
        <v>773</v>
      </c>
      <c r="D729" s="156" t="s">
        <v>37</v>
      </c>
      <c r="E729" s="155" t="s">
        <v>34</v>
      </c>
      <c r="F729" s="155" t="s">
        <v>35</v>
      </c>
    </row>
    <row r="730" ht="14.25" customHeight="1" spans="1:6">
      <c r="A730" s="153">
        <v>45139</v>
      </c>
      <c r="B730" s="154">
        <v>45143</v>
      </c>
      <c r="C730" s="155" t="s">
        <v>774</v>
      </c>
      <c r="D730" s="156" t="s">
        <v>37</v>
      </c>
      <c r="E730" s="155" t="s">
        <v>38</v>
      </c>
      <c r="F730" s="155" t="s">
        <v>57</v>
      </c>
    </row>
    <row r="731" ht="14.25" customHeight="1" spans="1:6">
      <c r="A731" s="153">
        <v>45139</v>
      </c>
      <c r="B731" s="154">
        <v>45143</v>
      </c>
      <c r="C731" s="155" t="s">
        <v>775</v>
      </c>
      <c r="D731" s="156" t="s">
        <v>129</v>
      </c>
      <c r="E731" s="155" t="s">
        <v>38</v>
      </c>
      <c r="F731" s="155" t="s">
        <v>39</v>
      </c>
    </row>
    <row r="732" ht="14.25" customHeight="1" spans="1:6">
      <c r="A732" s="153">
        <v>45139</v>
      </c>
      <c r="B732" s="154">
        <v>45143</v>
      </c>
      <c r="C732" s="155" t="s">
        <v>776</v>
      </c>
      <c r="D732" s="156" t="s">
        <v>37</v>
      </c>
      <c r="E732" s="155" t="s">
        <v>38</v>
      </c>
      <c r="F732" s="155" t="s">
        <v>39</v>
      </c>
    </row>
    <row r="733" ht="14.25" customHeight="1" spans="1:6">
      <c r="A733" s="153">
        <v>45139</v>
      </c>
      <c r="B733" s="154">
        <v>45143</v>
      </c>
      <c r="C733" s="155" t="s">
        <v>777</v>
      </c>
      <c r="D733" s="156" t="s">
        <v>37</v>
      </c>
      <c r="E733" s="155" t="s">
        <v>34</v>
      </c>
      <c r="F733" s="155" t="s">
        <v>35</v>
      </c>
    </row>
    <row r="734" ht="14.25" customHeight="1" spans="1:6">
      <c r="A734" s="153">
        <v>45139</v>
      </c>
      <c r="B734" s="154">
        <v>45143</v>
      </c>
      <c r="C734" s="155" t="s">
        <v>778</v>
      </c>
      <c r="D734" s="156" t="s">
        <v>129</v>
      </c>
      <c r="E734" s="155" t="s">
        <v>43</v>
      </c>
      <c r="F734" s="155" t="s">
        <v>39</v>
      </c>
    </row>
    <row r="735" ht="14.25" customHeight="1" spans="1:6">
      <c r="A735" s="153">
        <v>45139</v>
      </c>
      <c r="B735" s="154">
        <v>45143</v>
      </c>
      <c r="C735" s="155" t="s">
        <v>779</v>
      </c>
      <c r="D735" s="156" t="s">
        <v>129</v>
      </c>
      <c r="E735" s="155" t="s">
        <v>38</v>
      </c>
      <c r="F735" s="155" t="s">
        <v>39</v>
      </c>
    </row>
    <row r="736" ht="14.25" customHeight="1" spans="1:6">
      <c r="A736" s="153">
        <v>45139</v>
      </c>
      <c r="B736" s="154">
        <v>45143</v>
      </c>
      <c r="C736" s="155" t="s">
        <v>780</v>
      </c>
      <c r="D736" s="156" t="s">
        <v>37</v>
      </c>
      <c r="E736" s="155" t="s">
        <v>38</v>
      </c>
      <c r="F736" s="155" t="s">
        <v>39</v>
      </c>
    </row>
    <row r="737" ht="14.25" customHeight="1" spans="1:6">
      <c r="A737" s="153">
        <v>45139</v>
      </c>
      <c r="B737" s="154">
        <v>45143</v>
      </c>
      <c r="C737" s="155" t="s">
        <v>781</v>
      </c>
      <c r="D737" s="156" t="s">
        <v>37</v>
      </c>
      <c r="E737" s="155" t="s">
        <v>43</v>
      </c>
      <c r="F737" s="155" t="s">
        <v>57</v>
      </c>
    </row>
    <row r="738" ht="14.25" customHeight="1" spans="1:6">
      <c r="A738" s="153">
        <v>45139</v>
      </c>
      <c r="B738" s="154">
        <v>45143</v>
      </c>
      <c r="C738" s="155" t="s">
        <v>782</v>
      </c>
      <c r="D738" s="156" t="s">
        <v>129</v>
      </c>
      <c r="E738" s="155" t="s">
        <v>43</v>
      </c>
      <c r="F738" s="155" t="s">
        <v>39</v>
      </c>
    </row>
    <row r="739" ht="14.25" customHeight="1" spans="1:6">
      <c r="A739" s="153">
        <v>45139</v>
      </c>
      <c r="B739" s="154">
        <v>45143</v>
      </c>
      <c r="C739" s="155" t="s">
        <v>783</v>
      </c>
      <c r="D739" s="156" t="s">
        <v>129</v>
      </c>
      <c r="E739" s="155" t="s">
        <v>38</v>
      </c>
      <c r="F739" s="155" t="s">
        <v>39</v>
      </c>
    </row>
    <row r="740" ht="14.25" customHeight="1" spans="1:6">
      <c r="A740" s="153">
        <v>45139</v>
      </c>
      <c r="B740" s="154">
        <v>45143</v>
      </c>
      <c r="C740" s="155" t="s">
        <v>784</v>
      </c>
      <c r="D740" s="156" t="s">
        <v>129</v>
      </c>
      <c r="E740" s="155" t="s">
        <v>38</v>
      </c>
      <c r="F740" s="155" t="s">
        <v>39</v>
      </c>
    </row>
    <row r="741" ht="14.25" customHeight="1" spans="1:6">
      <c r="A741" s="153">
        <v>45139</v>
      </c>
      <c r="B741" s="154">
        <v>45143</v>
      </c>
      <c r="C741" s="155" t="s">
        <v>785</v>
      </c>
      <c r="D741" s="155" t="s">
        <v>47</v>
      </c>
      <c r="E741" s="155" t="s">
        <v>43</v>
      </c>
      <c r="F741" s="155" t="s">
        <v>39</v>
      </c>
    </row>
    <row r="742" ht="14.25" customHeight="1" spans="1:6">
      <c r="A742" s="153">
        <v>45139</v>
      </c>
      <c r="B742" s="154">
        <v>45143</v>
      </c>
      <c r="C742" s="155" t="s">
        <v>786</v>
      </c>
      <c r="D742" s="156" t="s">
        <v>129</v>
      </c>
      <c r="E742" s="155" t="s">
        <v>38</v>
      </c>
      <c r="F742" s="155" t="s">
        <v>39</v>
      </c>
    </row>
    <row r="743" ht="14.25" customHeight="1" spans="1:6">
      <c r="A743" s="153">
        <v>45139</v>
      </c>
      <c r="B743" s="154">
        <v>45143</v>
      </c>
      <c r="C743" s="155" t="s">
        <v>787</v>
      </c>
      <c r="D743" s="156" t="s">
        <v>129</v>
      </c>
      <c r="E743" s="155" t="s">
        <v>43</v>
      </c>
      <c r="F743" s="155" t="s">
        <v>39</v>
      </c>
    </row>
    <row r="744" ht="14.25" customHeight="1" spans="1:6">
      <c r="A744" s="153">
        <v>45139</v>
      </c>
      <c r="B744" s="154">
        <v>45143</v>
      </c>
      <c r="C744" s="155" t="s">
        <v>788</v>
      </c>
      <c r="D744" s="156" t="s">
        <v>37</v>
      </c>
      <c r="E744" s="155" t="s">
        <v>38</v>
      </c>
      <c r="F744" s="155" t="s">
        <v>39</v>
      </c>
    </row>
    <row r="745" ht="14.25" customHeight="1" spans="1:6">
      <c r="A745" s="153">
        <v>45139</v>
      </c>
      <c r="B745" s="154">
        <v>45143</v>
      </c>
      <c r="C745" s="155" t="s">
        <v>789</v>
      </c>
      <c r="D745" s="156" t="s">
        <v>129</v>
      </c>
      <c r="E745" s="155" t="s">
        <v>38</v>
      </c>
      <c r="F745" s="155" t="s">
        <v>39</v>
      </c>
    </row>
    <row r="746" ht="14.25" customHeight="1" spans="1:6">
      <c r="A746" s="153">
        <v>45139</v>
      </c>
      <c r="B746" s="154">
        <v>45143</v>
      </c>
      <c r="C746" s="155" t="s">
        <v>790</v>
      </c>
      <c r="D746" s="156" t="s">
        <v>129</v>
      </c>
      <c r="E746" s="155" t="s">
        <v>38</v>
      </c>
      <c r="F746" s="155" t="s">
        <v>39</v>
      </c>
    </row>
    <row r="747" ht="14.25" customHeight="1" spans="1:6">
      <c r="A747" s="153">
        <v>45139</v>
      </c>
      <c r="B747" s="154">
        <v>45143</v>
      </c>
      <c r="C747" s="155" t="s">
        <v>791</v>
      </c>
      <c r="D747" s="156" t="s">
        <v>129</v>
      </c>
      <c r="E747" s="155" t="s">
        <v>43</v>
      </c>
      <c r="F747" s="155" t="s">
        <v>39</v>
      </c>
    </row>
    <row r="748" ht="14.25" customHeight="1" spans="1:6">
      <c r="A748" s="153">
        <v>45139</v>
      </c>
      <c r="B748" s="154">
        <v>45143</v>
      </c>
      <c r="C748" s="155" t="s">
        <v>792</v>
      </c>
      <c r="D748" s="156" t="s">
        <v>129</v>
      </c>
      <c r="E748" s="155" t="s">
        <v>38</v>
      </c>
      <c r="F748" s="155" t="s">
        <v>39</v>
      </c>
    </row>
    <row r="749" ht="14.25" customHeight="1" spans="1:6">
      <c r="A749" s="153">
        <v>45139</v>
      </c>
      <c r="B749" s="154">
        <v>45143</v>
      </c>
      <c r="C749" s="155" t="s">
        <v>793</v>
      </c>
      <c r="D749" s="155" t="s">
        <v>33</v>
      </c>
      <c r="E749" s="155" t="s">
        <v>38</v>
      </c>
      <c r="F749" s="155" t="s">
        <v>57</v>
      </c>
    </row>
    <row r="750" ht="14.25" customHeight="1" spans="1:6">
      <c r="A750" s="153">
        <v>45139</v>
      </c>
      <c r="B750" s="154">
        <v>45143</v>
      </c>
      <c r="C750" s="155" t="s">
        <v>794</v>
      </c>
      <c r="D750" s="155" t="s">
        <v>33</v>
      </c>
      <c r="E750" s="155" t="s">
        <v>43</v>
      </c>
      <c r="F750" s="155" t="s">
        <v>35</v>
      </c>
    </row>
    <row r="751" ht="14.25" customHeight="1" spans="1:6">
      <c r="A751" s="153">
        <v>45139</v>
      </c>
      <c r="B751" s="154">
        <v>45143</v>
      </c>
      <c r="C751" s="155" t="s">
        <v>795</v>
      </c>
      <c r="D751" s="156" t="s">
        <v>129</v>
      </c>
      <c r="E751" s="155" t="s">
        <v>43</v>
      </c>
      <c r="F751" s="155" t="s">
        <v>39</v>
      </c>
    </row>
    <row r="752" ht="14.25" customHeight="1" spans="1:6">
      <c r="A752" s="153">
        <v>45139</v>
      </c>
      <c r="B752" s="154">
        <v>45143</v>
      </c>
      <c r="C752" s="155" t="s">
        <v>796</v>
      </c>
      <c r="D752" s="156" t="s">
        <v>47</v>
      </c>
      <c r="E752" s="155" t="s">
        <v>38</v>
      </c>
      <c r="F752" s="155" t="s">
        <v>35</v>
      </c>
    </row>
    <row r="753" ht="14.25" customHeight="1" spans="1:6">
      <c r="A753" s="153">
        <v>45139</v>
      </c>
      <c r="B753" s="154">
        <v>45143</v>
      </c>
      <c r="C753" s="155" t="s">
        <v>797</v>
      </c>
      <c r="D753" s="156" t="s">
        <v>129</v>
      </c>
      <c r="E753" s="155" t="s">
        <v>38</v>
      </c>
      <c r="F753" s="155" t="s">
        <v>39</v>
      </c>
    </row>
    <row r="754" ht="14.25" customHeight="1" spans="1:6">
      <c r="A754" s="153">
        <v>45139</v>
      </c>
      <c r="B754" s="154">
        <v>45143</v>
      </c>
      <c r="C754" s="155" t="s">
        <v>798</v>
      </c>
      <c r="D754" s="156" t="s">
        <v>37</v>
      </c>
      <c r="E754" s="155" t="s">
        <v>43</v>
      </c>
      <c r="F754" s="155" t="s">
        <v>57</v>
      </c>
    </row>
    <row r="755" ht="14.25" customHeight="1" spans="1:6">
      <c r="A755" s="153">
        <v>45139</v>
      </c>
      <c r="B755" s="154">
        <v>45143</v>
      </c>
      <c r="C755" s="155" t="s">
        <v>799</v>
      </c>
      <c r="D755" s="156" t="s">
        <v>129</v>
      </c>
      <c r="E755" s="155" t="s">
        <v>43</v>
      </c>
      <c r="F755" s="155" t="s">
        <v>39</v>
      </c>
    </row>
    <row r="756" ht="14.25" customHeight="1" spans="1:6">
      <c r="A756" s="153">
        <v>45139</v>
      </c>
      <c r="B756" s="154">
        <v>45143</v>
      </c>
      <c r="C756" s="155" t="s">
        <v>800</v>
      </c>
      <c r="D756" s="156" t="s">
        <v>37</v>
      </c>
      <c r="E756" s="155" t="s">
        <v>43</v>
      </c>
      <c r="F756" s="155" t="s">
        <v>35</v>
      </c>
    </row>
    <row r="757" ht="14.25" customHeight="1" spans="1:6">
      <c r="A757" s="153">
        <v>45139</v>
      </c>
      <c r="B757" s="154">
        <v>45143</v>
      </c>
      <c r="C757" s="155" t="s">
        <v>801</v>
      </c>
      <c r="D757" s="156" t="s">
        <v>129</v>
      </c>
      <c r="E757" s="155" t="s">
        <v>38</v>
      </c>
      <c r="F757" s="155" t="s">
        <v>39</v>
      </c>
    </row>
    <row r="758" ht="14.25" customHeight="1" spans="1:6">
      <c r="A758" s="153">
        <v>45139</v>
      </c>
      <c r="B758" s="154">
        <v>45143</v>
      </c>
      <c r="C758" s="155" t="s">
        <v>802</v>
      </c>
      <c r="D758" s="155" t="s">
        <v>33</v>
      </c>
      <c r="E758" s="155" t="s">
        <v>43</v>
      </c>
      <c r="F758" s="155" t="s">
        <v>35</v>
      </c>
    </row>
    <row r="759" ht="14.25" customHeight="1" spans="1:6">
      <c r="A759" s="153">
        <v>45139</v>
      </c>
      <c r="B759" s="154">
        <v>45143</v>
      </c>
      <c r="C759" s="155" t="s">
        <v>803</v>
      </c>
      <c r="D759" s="156" t="s">
        <v>129</v>
      </c>
      <c r="E759" s="155" t="s">
        <v>43</v>
      </c>
      <c r="F759" s="155" t="s">
        <v>39</v>
      </c>
    </row>
    <row r="760" ht="14.25" customHeight="1" spans="1:6">
      <c r="A760" s="153">
        <v>45139</v>
      </c>
      <c r="B760" s="154">
        <v>45143</v>
      </c>
      <c r="C760" s="155" t="s">
        <v>804</v>
      </c>
      <c r="D760" s="156" t="s">
        <v>37</v>
      </c>
      <c r="E760" s="155" t="s">
        <v>34</v>
      </c>
      <c r="F760" s="155" t="s">
        <v>57</v>
      </c>
    </row>
    <row r="761" ht="14.25" customHeight="1" spans="1:6">
      <c r="A761" s="153">
        <v>45139</v>
      </c>
      <c r="B761" s="154">
        <v>45143</v>
      </c>
      <c r="C761" s="155" t="s">
        <v>805</v>
      </c>
      <c r="D761" s="156" t="s">
        <v>129</v>
      </c>
      <c r="E761" s="155" t="s">
        <v>38</v>
      </c>
      <c r="F761" s="155" t="s">
        <v>39</v>
      </c>
    </row>
    <row r="762" ht="14.25" customHeight="1" spans="1:6">
      <c r="A762" s="153">
        <v>45139</v>
      </c>
      <c r="B762" s="154">
        <v>45143</v>
      </c>
      <c r="C762" s="155" t="s">
        <v>806</v>
      </c>
      <c r="D762" s="156" t="s">
        <v>47</v>
      </c>
      <c r="E762" s="155" t="s">
        <v>38</v>
      </c>
      <c r="F762" s="155" t="s">
        <v>57</v>
      </c>
    </row>
    <row r="763" ht="14.25" customHeight="1" spans="1:6">
      <c r="A763" s="153">
        <v>45139</v>
      </c>
      <c r="B763" s="154">
        <v>45143</v>
      </c>
      <c r="C763" s="155" t="s">
        <v>807</v>
      </c>
      <c r="D763" s="155" t="s">
        <v>33</v>
      </c>
      <c r="E763" s="155" t="s">
        <v>43</v>
      </c>
      <c r="F763" s="155" t="s">
        <v>57</v>
      </c>
    </row>
    <row r="764" ht="14.25" customHeight="1" spans="1:6">
      <c r="A764" s="153">
        <v>45139</v>
      </c>
      <c r="B764" s="154">
        <v>45143</v>
      </c>
      <c r="C764" s="155" t="s">
        <v>808</v>
      </c>
      <c r="D764" s="155" t="s">
        <v>47</v>
      </c>
      <c r="E764" s="155" t="s">
        <v>43</v>
      </c>
      <c r="F764" s="155" t="s">
        <v>57</v>
      </c>
    </row>
    <row r="765" ht="14.25" customHeight="1" spans="1:6">
      <c r="A765" s="153">
        <v>45139</v>
      </c>
      <c r="B765" s="154">
        <v>45143</v>
      </c>
      <c r="C765" s="155" t="s">
        <v>809</v>
      </c>
      <c r="D765" s="156" t="s">
        <v>129</v>
      </c>
      <c r="E765" s="155" t="s">
        <v>50</v>
      </c>
      <c r="F765" s="155" t="s">
        <v>39</v>
      </c>
    </row>
    <row r="766" ht="14.25" customHeight="1" spans="1:6">
      <c r="A766" s="153">
        <v>45139</v>
      </c>
      <c r="B766" s="154">
        <v>45143</v>
      </c>
      <c r="C766" s="155" t="s">
        <v>810</v>
      </c>
      <c r="D766" s="156" t="s">
        <v>37</v>
      </c>
      <c r="E766" s="155" t="s">
        <v>38</v>
      </c>
      <c r="F766" s="155" t="s">
        <v>57</v>
      </c>
    </row>
    <row r="767" ht="14.25" customHeight="1" spans="1:6">
      <c r="A767" s="153">
        <v>45139</v>
      </c>
      <c r="B767" s="154">
        <v>45143</v>
      </c>
      <c r="C767" s="155" t="s">
        <v>811</v>
      </c>
      <c r="D767" s="156" t="s">
        <v>37</v>
      </c>
      <c r="E767" s="155" t="s">
        <v>38</v>
      </c>
      <c r="F767" s="155" t="s">
        <v>39</v>
      </c>
    </row>
    <row r="768" ht="14.25" customHeight="1" spans="1:6">
      <c r="A768" s="153">
        <v>45139</v>
      </c>
      <c r="B768" s="154">
        <v>45143</v>
      </c>
      <c r="C768" s="155" t="s">
        <v>812</v>
      </c>
      <c r="D768" s="155" t="s">
        <v>33</v>
      </c>
      <c r="E768" s="155" t="s">
        <v>43</v>
      </c>
      <c r="F768" s="155" t="s">
        <v>39</v>
      </c>
    </row>
    <row r="769" ht="14.25" customHeight="1" spans="1:6">
      <c r="A769" s="153">
        <v>45139</v>
      </c>
      <c r="B769" s="154">
        <v>45143</v>
      </c>
      <c r="C769" s="155" t="s">
        <v>813</v>
      </c>
      <c r="D769" s="156" t="s">
        <v>37</v>
      </c>
      <c r="E769" s="155" t="s">
        <v>38</v>
      </c>
      <c r="F769" s="155" t="s">
        <v>39</v>
      </c>
    </row>
    <row r="770" ht="14.25" customHeight="1" spans="1:6">
      <c r="A770" s="153">
        <v>45139</v>
      </c>
      <c r="B770" s="154">
        <v>45143</v>
      </c>
      <c r="C770" s="155" t="s">
        <v>814</v>
      </c>
      <c r="D770" s="155" t="s">
        <v>47</v>
      </c>
      <c r="E770" s="155" t="s">
        <v>43</v>
      </c>
      <c r="F770" s="155" t="s">
        <v>39</v>
      </c>
    </row>
    <row r="771" ht="14.25" customHeight="1" spans="1:6">
      <c r="A771" s="153">
        <v>45139</v>
      </c>
      <c r="B771" s="154">
        <v>45143</v>
      </c>
      <c r="C771" s="155" t="s">
        <v>815</v>
      </c>
      <c r="D771" s="156" t="s">
        <v>37</v>
      </c>
      <c r="E771" s="155" t="s">
        <v>38</v>
      </c>
      <c r="F771" s="155" t="s">
        <v>39</v>
      </c>
    </row>
    <row r="772" ht="14.25" customHeight="1" spans="1:6">
      <c r="A772" s="153">
        <v>45139</v>
      </c>
      <c r="B772" s="154">
        <v>45143</v>
      </c>
      <c r="C772" s="155" t="s">
        <v>816</v>
      </c>
      <c r="D772" s="156" t="s">
        <v>37</v>
      </c>
      <c r="E772" s="155" t="s">
        <v>38</v>
      </c>
      <c r="F772" s="155" t="s">
        <v>39</v>
      </c>
    </row>
    <row r="773" ht="14.25" customHeight="1" spans="1:6">
      <c r="A773" s="153">
        <v>45139</v>
      </c>
      <c r="B773" s="154">
        <v>45143</v>
      </c>
      <c r="C773" s="155" t="s">
        <v>817</v>
      </c>
      <c r="D773" s="155" t="s">
        <v>33</v>
      </c>
      <c r="E773" s="155" t="s">
        <v>43</v>
      </c>
      <c r="F773" s="155" t="s">
        <v>57</v>
      </c>
    </row>
    <row r="774" ht="14.25" customHeight="1" spans="1:6">
      <c r="A774" s="153">
        <v>45139</v>
      </c>
      <c r="B774" s="154">
        <v>45143</v>
      </c>
      <c r="C774" s="155" t="s">
        <v>818</v>
      </c>
      <c r="D774" s="156" t="s">
        <v>47</v>
      </c>
      <c r="E774" s="155" t="s">
        <v>34</v>
      </c>
      <c r="F774" s="155" t="s">
        <v>57</v>
      </c>
    </row>
    <row r="775" ht="14.25" customHeight="1" spans="1:6">
      <c r="A775" s="153">
        <v>45139</v>
      </c>
      <c r="B775" s="154">
        <v>45143</v>
      </c>
      <c r="C775" s="155" t="s">
        <v>819</v>
      </c>
      <c r="D775" s="156" t="s">
        <v>47</v>
      </c>
      <c r="E775" s="155" t="s">
        <v>38</v>
      </c>
      <c r="F775" s="155" t="s">
        <v>39</v>
      </c>
    </row>
    <row r="776" ht="14.25" customHeight="1" spans="1:6">
      <c r="A776" s="153">
        <v>45139</v>
      </c>
      <c r="B776" s="154">
        <v>45143</v>
      </c>
      <c r="C776" s="155" t="s">
        <v>820</v>
      </c>
      <c r="D776" s="156" t="s">
        <v>37</v>
      </c>
      <c r="E776" s="155" t="s">
        <v>38</v>
      </c>
      <c r="F776" s="155" t="s">
        <v>39</v>
      </c>
    </row>
    <row r="777" ht="14.25" customHeight="1" spans="1:6">
      <c r="A777" s="153">
        <v>45139</v>
      </c>
      <c r="B777" s="154">
        <v>45143</v>
      </c>
      <c r="C777" s="155" t="s">
        <v>821</v>
      </c>
      <c r="D777" s="156" t="s">
        <v>47</v>
      </c>
      <c r="E777" s="155" t="s">
        <v>43</v>
      </c>
      <c r="F777" s="155" t="s">
        <v>39</v>
      </c>
    </row>
    <row r="778" ht="14.25" customHeight="1" spans="1:6">
      <c r="A778" s="153">
        <v>45139</v>
      </c>
      <c r="B778" s="154">
        <v>45143</v>
      </c>
      <c r="C778" s="155" t="s">
        <v>822</v>
      </c>
      <c r="D778" s="155" t="s">
        <v>33</v>
      </c>
      <c r="E778" s="155" t="s">
        <v>43</v>
      </c>
      <c r="F778" s="155" t="s">
        <v>57</v>
      </c>
    </row>
    <row r="779" ht="14.25" customHeight="1" spans="1:6">
      <c r="A779" s="153">
        <v>45139</v>
      </c>
      <c r="B779" s="154">
        <v>45143</v>
      </c>
      <c r="C779" s="155" t="s">
        <v>823</v>
      </c>
      <c r="D779" s="156" t="s">
        <v>37</v>
      </c>
      <c r="E779" s="155" t="s">
        <v>43</v>
      </c>
      <c r="F779" s="155" t="s">
        <v>39</v>
      </c>
    </row>
    <row r="780" ht="14.25" customHeight="1" spans="1:6">
      <c r="A780" s="153">
        <v>45139</v>
      </c>
      <c r="B780" s="154">
        <v>45143</v>
      </c>
      <c r="C780" s="155" t="s">
        <v>824</v>
      </c>
      <c r="D780" s="156" t="s">
        <v>37</v>
      </c>
      <c r="E780" s="155" t="s">
        <v>43</v>
      </c>
      <c r="F780" s="155" t="s">
        <v>39</v>
      </c>
    </row>
    <row r="781" ht="14.25" customHeight="1" spans="1:6">
      <c r="A781" s="153">
        <v>45139</v>
      </c>
      <c r="B781" s="154">
        <v>45143</v>
      </c>
      <c r="C781" s="155" t="s">
        <v>825</v>
      </c>
      <c r="D781" s="156" t="s">
        <v>37</v>
      </c>
      <c r="E781" s="155" t="s">
        <v>38</v>
      </c>
      <c r="F781" s="155" t="s">
        <v>39</v>
      </c>
    </row>
    <row r="782" ht="14.25" customHeight="1" spans="1:6">
      <c r="A782" s="153">
        <v>45139</v>
      </c>
      <c r="B782" s="154">
        <v>45143</v>
      </c>
      <c r="C782" s="155" t="s">
        <v>826</v>
      </c>
      <c r="D782" s="156" t="s">
        <v>37</v>
      </c>
      <c r="E782" s="155" t="s">
        <v>43</v>
      </c>
      <c r="F782" s="155" t="s">
        <v>39</v>
      </c>
    </row>
    <row r="783" ht="14.25" customHeight="1" spans="1:6">
      <c r="A783" s="153">
        <v>45139</v>
      </c>
      <c r="B783" s="154">
        <v>45143</v>
      </c>
      <c r="C783" s="155" t="s">
        <v>827</v>
      </c>
      <c r="D783" s="156" t="s">
        <v>37</v>
      </c>
      <c r="E783" s="155" t="s">
        <v>38</v>
      </c>
      <c r="F783" s="155" t="s">
        <v>39</v>
      </c>
    </row>
    <row r="784" ht="14.25" customHeight="1" spans="1:6">
      <c r="A784" s="153">
        <v>45139</v>
      </c>
      <c r="B784" s="154">
        <v>45143</v>
      </c>
      <c r="C784" s="155" t="s">
        <v>828</v>
      </c>
      <c r="D784" s="156" t="s">
        <v>37</v>
      </c>
      <c r="E784" s="155" t="s">
        <v>38</v>
      </c>
      <c r="F784" s="155" t="s">
        <v>57</v>
      </c>
    </row>
    <row r="785" ht="14.25" customHeight="1" spans="1:6">
      <c r="A785" s="153">
        <v>45139</v>
      </c>
      <c r="B785" s="154">
        <v>45143</v>
      </c>
      <c r="C785" s="155" t="s">
        <v>829</v>
      </c>
      <c r="D785" s="156" t="s">
        <v>37</v>
      </c>
      <c r="E785" s="155" t="s">
        <v>43</v>
      </c>
      <c r="F785" s="155" t="s">
        <v>39</v>
      </c>
    </row>
    <row r="786" ht="14.25" customHeight="1" spans="1:6">
      <c r="A786" s="153">
        <v>45139</v>
      </c>
      <c r="B786" s="154">
        <v>45143</v>
      </c>
      <c r="C786" s="155" t="s">
        <v>830</v>
      </c>
      <c r="D786" s="156" t="s">
        <v>47</v>
      </c>
      <c r="E786" s="155" t="s">
        <v>43</v>
      </c>
      <c r="F786" s="155" t="s">
        <v>39</v>
      </c>
    </row>
    <row r="787" ht="14.25" customHeight="1" spans="1:6">
      <c r="A787" s="153">
        <v>45139</v>
      </c>
      <c r="B787" s="154">
        <v>45143</v>
      </c>
      <c r="C787" s="155" t="s">
        <v>831</v>
      </c>
      <c r="D787" s="156" t="s">
        <v>47</v>
      </c>
      <c r="E787" s="155" t="s">
        <v>34</v>
      </c>
      <c r="F787" s="155" t="s">
        <v>39</v>
      </c>
    </row>
    <row r="788" ht="14.25" customHeight="1" spans="1:6">
      <c r="A788" s="153">
        <v>45139</v>
      </c>
      <c r="B788" s="154">
        <v>45143</v>
      </c>
      <c r="C788" s="155" t="s">
        <v>832</v>
      </c>
      <c r="D788" s="156" t="s">
        <v>37</v>
      </c>
      <c r="E788" s="155" t="s">
        <v>38</v>
      </c>
      <c r="F788" s="155" t="s">
        <v>39</v>
      </c>
    </row>
    <row r="789" ht="14.25" customHeight="1" spans="1:6">
      <c r="A789" s="153">
        <v>45139</v>
      </c>
      <c r="B789" s="154">
        <v>45143</v>
      </c>
      <c r="C789" s="155" t="s">
        <v>833</v>
      </c>
      <c r="D789" s="156" t="s">
        <v>37</v>
      </c>
      <c r="E789" s="155" t="s">
        <v>38</v>
      </c>
      <c r="F789" s="155" t="s">
        <v>39</v>
      </c>
    </row>
    <row r="790" ht="14.25" customHeight="1" spans="1:6">
      <c r="A790" s="153">
        <v>45139</v>
      </c>
      <c r="B790" s="154">
        <v>45143</v>
      </c>
      <c r="C790" s="155" t="s">
        <v>834</v>
      </c>
      <c r="D790" s="155" t="s">
        <v>33</v>
      </c>
      <c r="E790" s="155" t="s">
        <v>34</v>
      </c>
      <c r="F790" s="155" t="s">
        <v>57</v>
      </c>
    </row>
    <row r="791" ht="14.25" customHeight="1" spans="1:6">
      <c r="A791" s="153">
        <v>45139</v>
      </c>
      <c r="B791" s="154">
        <v>45143</v>
      </c>
      <c r="C791" s="155" t="s">
        <v>835</v>
      </c>
      <c r="D791" s="156" t="s">
        <v>37</v>
      </c>
      <c r="E791" s="155" t="s">
        <v>43</v>
      </c>
      <c r="F791" s="155" t="s">
        <v>39</v>
      </c>
    </row>
    <row r="792" ht="14.25" customHeight="1" spans="1:6">
      <c r="A792" s="153">
        <v>45139</v>
      </c>
      <c r="B792" s="154">
        <v>45143</v>
      </c>
      <c r="C792" s="155" t="s">
        <v>836</v>
      </c>
      <c r="D792" s="155" t="s">
        <v>47</v>
      </c>
      <c r="E792" s="155" t="s">
        <v>43</v>
      </c>
      <c r="F792" s="155" t="s">
        <v>39</v>
      </c>
    </row>
    <row r="793" ht="14.25" customHeight="1" spans="1:6">
      <c r="A793" s="153">
        <v>45139</v>
      </c>
      <c r="B793" s="154">
        <v>45143</v>
      </c>
      <c r="C793" s="155" t="s">
        <v>837</v>
      </c>
      <c r="D793" s="155" t="s">
        <v>47</v>
      </c>
      <c r="E793" s="155" t="s">
        <v>43</v>
      </c>
      <c r="F793" s="155" t="s">
        <v>39</v>
      </c>
    </row>
    <row r="794" ht="14.25" customHeight="1" spans="1:6">
      <c r="A794" s="153">
        <v>45139</v>
      </c>
      <c r="B794" s="154">
        <v>45143</v>
      </c>
      <c r="C794" s="155" t="s">
        <v>838</v>
      </c>
      <c r="D794" s="155" t="s">
        <v>33</v>
      </c>
      <c r="E794" s="155" t="s">
        <v>38</v>
      </c>
      <c r="F794" s="155" t="s">
        <v>57</v>
      </c>
    </row>
    <row r="795" ht="14.25" customHeight="1" spans="1:6">
      <c r="A795" s="153">
        <v>45139</v>
      </c>
      <c r="B795" s="154">
        <v>45143</v>
      </c>
      <c r="C795" s="155" t="s">
        <v>839</v>
      </c>
      <c r="D795" s="155" t="s">
        <v>42</v>
      </c>
      <c r="E795" s="155" t="s">
        <v>43</v>
      </c>
      <c r="F795" s="155" t="s">
        <v>35</v>
      </c>
    </row>
    <row r="796" ht="14.25" customHeight="1" spans="1:6">
      <c r="A796" s="153">
        <v>45139</v>
      </c>
      <c r="B796" s="154">
        <v>45143</v>
      </c>
      <c r="C796" s="155" t="s">
        <v>840</v>
      </c>
      <c r="D796" s="155" t="s">
        <v>33</v>
      </c>
      <c r="E796" s="155" t="s">
        <v>43</v>
      </c>
      <c r="F796" s="155" t="s">
        <v>57</v>
      </c>
    </row>
    <row r="797" ht="14.25" customHeight="1" spans="1:6">
      <c r="A797" s="153">
        <v>45139</v>
      </c>
      <c r="B797" s="154">
        <v>45143</v>
      </c>
      <c r="C797" s="155" t="s">
        <v>841</v>
      </c>
      <c r="D797" s="156" t="s">
        <v>37</v>
      </c>
      <c r="E797" s="155" t="s">
        <v>43</v>
      </c>
      <c r="F797" s="155" t="s">
        <v>35</v>
      </c>
    </row>
    <row r="798" ht="14.25" customHeight="1" spans="1:6">
      <c r="A798" s="153">
        <v>45139</v>
      </c>
      <c r="B798" s="154">
        <v>45143</v>
      </c>
      <c r="C798" s="155" t="s">
        <v>842</v>
      </c>
      <c r="D798" s="156" t="s">
        <v>37</v>
      </c>
      <c r="E798" s="155" t="s">
        <v>43</v>
      </c>
      <c r="F798" s="155" t="s">
        <v>39</v>
      </c>
    </row>
    <row r="799" ht="14.25" customHeight="1" spans="1:6">
      <c r="A799" s="153">
        <v>45139</v>
      </c>
      <c r="B799" s="154">
        <v>45143</v>
      </c>
      <c r="C799" s="155" t="s">
        <v>843</v>
      </c>
      <c r="D799" s="156" t="s">
        <v>37</v>
      </c>
      <c r="E799" s="155" t="s">
        <v>38</v>
      </c>
      <c r="F799" s="155" t="s">
        <v>39</v>
      </c>
    </row>
    <row r="800" ht="14.25" customHeight="1" spans="1:6">
      <c r="A800" s="153">
        <v>45139</v>
      </c>
      <c r="B800" s="154">
        <v>45143</v>
      </c>
      <c r="C800" s="155" t="s">
        <v>844</v>
      </c>
      <c r="D800" s="155" t="s">
        <v>33</v>
      </c>
      <c r="E800" s="155" t="s">
        <v>34</v>
      </c>
      <c r="F800" s="155" t="s">
        <v>35</v>
      </c>
    </row>
    <row r="801" ht="14.25" customHeight="1" spans="1:6">
      <c r="A801" s="153">
        <v>45139</v>
      </c>
      <c r="B801" s="154">
        <v>45143</v>
      </c>
      <c r="C801" s="155" t="s">
        <v>845</v>
      </c>
      <c r="D801" s="156" t="s">
        <v>37</v>
      </c>
      <c r="E801" s="155" t="s">
        <v>38</v>
      </c>
      <c r="F801" s="155" t="s">
        <v>39</v>
      </c>
    </row>
    <row r="802" ht="14.25" customHeight="1" spans="1:6">
      <c r="A802" s="153">
        <v>45139</v>
      </c>
      <c r="B802" s="154">
        <v>45143</v>
      </c>
      <c r="C802" s="155" t="s">
        <v>846</v>
      </c>
      <c r="D802" s="156" t="s">
        <v>37</v>
      </c>
      <c r="E802" s="155" t="s">
        <v>38</v>
      </c>
      <c r="F802" s="155" t="s">
        <v>39</v>
      </c>
    </row>
    <row r="803" ht="14.25" customHeight="1" spans="1:6">
      <c r="A803" s="153">
        <v>45139</v>
      </c>
      <c r="B803" s="154">
        <v>45143</v>
      </c>
      <c r="C803" s="155" t="s">
        <v>847</v>
      </c>
      <c r="D803" s="155" t="s">
        <v>42</v>
      </c>
      <c r="E803" s="155" t="s">
        <v>38</v>
      </c>
      <c r="F803" s="155" t="s">
        <v>35</v>
      </c>
    </row>
    <row r="804" ht="14.25" customHeight="1" spans="1:6">
      <c r="A804" s="153">
        <v>45139</v>
      </c>
      <c r="B804" s="154">
        <v>45143</v>
      </c>
      <c r="C804" s="155" t="s">
        <v>848</v>
      </c>
      <c r="D804" s="156" t="s">
        <v>37</v>
      </c>
      <c r="E804" s="155" t="s">
        <v>43</v>
      </c>
      <c r="F804" s="155" t="s">
        <v>39</v>
      </c>
    </row>
    <row r="805" ht="14.25" customHeight="1" spans="1:6">
      <c r="A805" s="153">
        <v>45139</v>
      </c>
      <c r="B805" s="154">
        <v>45143</v>
      </c>
      <c r="C805" s="155" t="s">
        <v>849</v>
      </c>
      <c r="D805" s="156" t="s">
        <v>37</v>
      </c>
      <c r="E805" s="155" t="s">
        <v>34</v>
      </c>
      <c r="F805" s="155" t="s">
        <v>35</v>
      </c>
    </row>
    <row r="806" ht="14.25" customHeight="1" spans="1:6">
      <c r="A806" s="153">
        <v>45139</v>
      </c>
      <c r="B806" s="154">
        <v>45143</v>
      </c>
      <c r="C806" s="155" t="s">
        <v>850</v>
      </c>
      <c r="D806" s="156" t="s">
        <v>37</v>
      </c>
      <c r="E806" s="155" t="s">
        <v>43</v>
      </c>
      <c r="F806" s="155" t="s">
        <v>39</v>
      </c>
    </row>
    <row r="807" ht="14.25" customHeight="1" spans="1:6">
      <c r="A807" s="153">
        <v>45139</v>
      </c>
      <c r="B807" s="154">
        <v>45143</v>
      </c>
      <c r="C807" s="155" t="s">
        <v>851</v>
      </c>
      <c r="D807" s="156" t="s">
        <v>37</v>
      </c>
      <c r="E807" s="155" t="s">
        <v>38</v>
      </c>
      <c r="F807" s="155" t="s">
        <v>39</v>
      </c>
    </row>
    <row r="808" ht="14.25" customHeight="1" spans="1:6">
      <c r="A808" s="153">
        <v>45139</v>
      </c>
      <c r="B808" s="154">
        <v>45143</v>
      </c>
      <c r="C808" s="155" t="s">
        <v>852</v>
      </c>
      <c r="D808" s="156" t="s">
        <v>37</v>
      </c>
      <c r="E808" s="155" t="s">
        <v>38</v>
      </c>
      <c r="F808" s="155" t="s">
        <v>39</v>
      </c>
    </row>
    <row r="809" ht="14.25" customHeight="1" spans="1:6">
      <c r="A809" s="153">
        <v>45139</v>
      </c>
      <c r="B809" s="154">
        <v>45143</v>
      </c>
      <c r="C809" s="155" t="s">
        <v>853</v>
      </c>
      <c r="D809" s="156" t="s">
        <v>37</v>
      </c>
      <c r="E809" s="155" t="s">
        <v>38</v>
      </c>
      <c r="F809" s="155" t="s">
        <v>39</v>
      </c>
    </row>
    <row r="810" ht="14.25" customHeight="1" spans="1:6">
      <c r="A810" s="153">
        <v>45139</v>
      </c>
      <c r="B810" s="154">
        <v>45143</v>
      </c>
      <c r="C810" s="155" t="s">
        <v>854</v>
      </c>
      <c r="D810" s="155" t="s">
        <v>33</v>
      </c>
      <c r="E810" s="155" t="s">
        <v>43</v>
      </c>
      <c r="F810" s="155" t="s">
        <v>39</v>
      </c>
    </row>
    <row r="811" ht="14.25" customHeight="1" spans="1:6">
      <c r="A811" s="153">
        <v>45139</v>
      </c>
      <c r="B811" s="154">
        <v>45143</v>
      </c>
      <c r="C811" s="155" t="s">
        <v>855</v>
      </c>
      <c r="D811" s="156" t="s">
        <v>37</v>
      </c>
      <c r="E811" s="155" t="s">
        <v>43</v>
      </c>
      <c r="F811" s="155" t="s">
        <v>39</v>
      </c>
    </row>
    <row r="812" ht="14.25" customHeight="1" spans="1:6">
      <c r="A812" s="153">
        <v>45139</v>
      </c>
      <c r="B812" s="154">
        <v>45143</v>
      </c>
      <c r="C812" s="155" t="s">
        <v>856</v>
      </c>
      <c r="D812" s="156" t="s">
        <v>37</v>
      </c>
      <c r="E812" s="155" t="s">
        <v>43</v>
      </c>
      <c r="F812" s="155" t="s">
        <v>39</v>
      </c>
    </row>
    <row r="813" ht="14.25" customHeight="1" spans="1:6">
      <c r="A813" s="153">
        <v>45139</v>
      </c>
      <c r="B813" s="154">
        <v>45143</v>
      </c>
      <c r="C813" s="155" t="s">
        <v>857</v>
      </c>
      <c r="D813" s="156" t="s">
        <v>37</v>
      </c>
      <c r="E813" s="155" t="s">
        <v>43</v>
      </c>
      <c r="F813" s="155" t="s">
        <v>39</v>
      </c>
    </row>
    <row r="814" ht="14.25" customHeight="1" spans="1:6">
      <c r="A814" s="153">
        <v>45139</v>
      </c>
      <c r="B814" s="154">
        <v>45143</v>
      </c>
      <c r="C814" s="155" t="s">
        <v>858</v>
      </c>
      <c r="D814" s="156" t="s">
        <v>37</v>
      </c>
      <c r="E814" s="155" t="s">
        <v>38</v>
      </c>
      <c r="F814" s="155" t="s">
        <v>39</v>
      </c>
    </row>
    <row r="815" ht="14.25" customHeight="1" spans="1:6">
      <c r="A815" s="153">
        <v>45139</v>
      </c>
      <c r="B815" s="154">
        <v>45143</v>
      </c>
      <c r="C815" s="155" t="s">
        <v>859</v>
      </c>
      <c r="D815" s="156" t="s">
        <v>37</v>
      </c>
      <c r="E815" s="155" t="s">
        <v>43</v>
      </c>
      <c r="F815" s="155" t="s">
        <v>35</v>
      </c>
    </row>
    <row r="816" ht="14.25" customHeight="1" spans="1:6">
      <c r="A816" s="153">
        <v>45139</v>
      </c>
      <c r="B816" s="154">
        <v>45143</v>
      </c>
      <c r="C816" s="155" t="s">
        <v>860</v>
      </c>
      <c r="D816" s="156" t="s">
        <v>37</v>
      </c>
      <c r="E816" s="155" t="s">
        <v>38</v>
      </c>
      <c r="F816" s="155" t="s">
        <v>39</v>
      </c>
    </row>
    <row r="817" ht="14.25" customHeight="1" spans="1:6">
      <c r="A817" s="153">
        <v>45139</v>
      </c>
      <c r="B817" s="154">
        <v>45143</v>
      </c>
      <c r="C817" s="155" t="s">
        <v>861</v>
      </c>
      <c r="D817" s="156" t="s">
        <v>37</v>
      </c>
      <c r="E817" s="155" t="s">
        <v>43</v>
      </c>
      <c r="F817" s="155" t="s">
        <v>39</v>
      </c>
    </row>
    <row r="818" ht="14.25" customHeight="1" spans="1:6">
      <c r="A818" s="153">
        <v>45139</v>
      </c>
      <c r="B818" s="154">
        <v>45143</v>
      </c>
      <c r="C818" s="155" t="s">
        <v>862</v>
      </c>
      <c r="D818" s="156" t="s">
        <v>37</v>
      </c>
      <c r="E818" s="155" t="s">
        <v>43</v>
      </c>
      <c r="F818" s="155" t="s">
        <v>39</v>
      </c>
    </row>
    <row r="819" ht="14.25" customHeight="1" spans="1:6">
      <c r="A819" s="153">
        <v>45139</v>
      </c>
      <c r="B819" s="154">
        <v>45143</v>
      </c>
      <c r="C819" s="155" t="s">
        <v>863</v>
      </c>
      <c r="D819" s="155" t="s">
        <v>33</v>
      </c>
      <c r="E819" s="155" t="s">
        <v>43</v>
      </c>
      <c r="F819" s="155" t="s">
        <v>57</v>
      </c>
    </row>
    <row r="820" ht="14.25" customHeight="1" spans="1:6">
      <c r="A820" s="153">
        <v>45139</v>
      </c>
      <c r="B820" s="154">
        <v>45143</v>
      </c>
      <c r="C820" s="155" t="s">
        <v>864</v>
      </c>
      <c r="D820" s="156" t="s">
        <v>37</v>
      </c>
      <c r="E820" s="155" t="s">
        <v>43</v>
      </c>
      <c r="F820" s="155" t="s">
        <v>39</v>
      </c>
    </row>
    <row r="821" ht="14.25" customHeight="1" spans="1:6">
      <c r="A821" s="153">
        <v>45139</v>
      </c>
      <c r="B821" s="154">
        <v>45143</v>
      </c>
      <c r="C821" s="155" t="s">
        <v>865</v>
      </c>
      <c r="D821" s="156" t="s">
        <v>37</v>
      </c>
      <c r="E821" s="155" t="s">
        <v>43</v>
      </c>
      <c r="F821" s="155" t="s">
        <v>35</v>
      </c>
    </row>
    <row r="822" ht="14.25" customHeight="1" spans="1:6">
      <c r="A822" s="153">
        <v>45139</v>
      </c>
      <c r="B822" s="154">
        <v>45143</v>
      </c>
      <c r="C822" s="155" t="s">
        <v>866</v>
      </c>
      <c r="D822" s="156" t="s">
        <v>37</v>
      </c>
      <c r="E822" s="155" t="s">
        <v>43</v>
      </c>
      <c r="F822" s="155" t="s">
        <v>39</v>
      </c>
    </row>
    <row r="823" ht="14.25" customHeight="1" spans="1:6">
      <c r="A823" s="153">
        <v>45139</v>
      </c>
      <c r="B823" s="154">
        <v>45143</v>
      </c>
      <c r="C823" s="155" t="s">
        <v>867</v>
      </c>
      <c r="D823" s="156" t="s">
        <v>37</v>
      </c>
      <c r="E823" s="155" t="s">
        <v>38</v>
      </c>
      <c r="F823" s="155" t="s">
        <v>39</v>
      </c>
    </row>
    <row r="824" ht="14.25" customHeight="1" spans="1:6">
      <c r="A824" s="153">
        <v>45139</v>
      </c>
      <c r="B824" s="154">
        <v>45143</v>
      </c>
      <c r="C824" s="155" t="s">
        <v>868</v>
      </c>
      <c r="D824" s="155" t="s">
        <v>33</v>
      </c>
      <c r="E824" s="155" t="s">
        <v>43</v>
      </c>
      <c r="F824" s="155" t="s">
        <v>39</v>
      </c>
    </row>
    <row r="825" ht="14.25" customHeight="1" spans="1:6">
      <c r="A825" s="153">
        <v>45139</v>
      </c>
      <c r="B825" s="154">
        <v>45143</v>
      </c>
      <c r="C825" s="155" t="s">
        <v>869</v>
      </c>
      <c r="D825" s="156" t="s">
        <v>37</v>
      </c>
      <c r="E825" s="155" t="s">
        <v>38</v>
      </c>
      <c r="F825" s="155" t="s">
        <v>39</v>
      </c>
    </row>
    <row r="826" ht="14.25" customHeight="1" spans="1:6">
      <c r="A826" s="153">
        <v>45139</v>
      </c>
      <c r="B826" s="154">
        <v>45143</v>
      </c>
      <c r="C826" s="155" t="s">
        <v>870</v>
      </c>
      <c r="D826" s="156" t="s">
        <v>37</v>
      </c>
      <c r="E826" s="155" t="s">
        <v>43</v>
      </c>
      <c r="F826" s="155" t="s">
        <v>57</v>
      </c>
    </row>
    <row r="827" ht="14.25" customHeight="1" spans="1:6">
      <c r="A827" s="153">
        <v>45139</v>
      </c>
      <c r="B827" s="154">
        <v>45143</v>
      </c>
      <c r="C827" s="155" t="s">
        <v>871</v>
      </c>
      <c r="D827" s="156" t="s">
        <v>37</v>
      </c>
      <c r="E827" s="155" t="s">
        <v>43</v>
      </c>
      <c r="F827" s="155" t="s">
        <v>39</v>
      </c>
    </row>
    <row r="828" ht="14.25" customHeight="1" spans="1:6">
      <c r="A828" s="153">
        <v>45139</v>
      </c>
      <c r="B828" s="154">
        <v>45143</v>
      </c>
      <c r="C828" s="155" t="s">
        <v>872</v>
      </c>
      <c r="D828" s="155" t="s">
        <v>33</v>
      </c>
      <c r="E828" s="155" t="s">
        <v>43</v>
      </c>
      <c r="F828" s="155" t="s">
        <v>57</v>
      </c>
    </row>
    <row r="829" ht="14.25" customHeight="1" spans="1:6">
      <c r="A829" s="153">
        <v>45139</v>
      </c>
      <c r="B829" s="154">
        <v>45143</v>
      </c>
      <c r="C829" s="155" t="s">
        <v>873</v>
      </c>
      <c r="D829" s="156" t="s">
        <v>37</v>
      </c>
      <c r="E829" s="155" t="s">
        <v>43</v>
      </c>
      <c r="F829" s="155" t="s">
        <v>35</v>
      </c>
    </row>
    <row r="830" ht="14.25" customHeight="1" spans="1:6">
      <c r="A830" s="153">
        <v>45139</v>
      </c>
      <c r="B830" s="154">
        <v>45143</v>
      </c>
      <c r="C830" s="155" t="s">
        <v>874</v>
      </c>
      <c r="D830" s="155" t="s">
        <v>33</v>
      </c>
      <c r="E830" s="155" t="s">
        <v>43</v>
      </c>
      <c r="F830" s="155" t="s">
        <v>57</v>
      </c>
    </row>
    <row r="831" ht="14.25" customHeight="1" spans="1:6">
      <c r="A831" s="153">
        <v>45139</v>
      </c>
      <c r="B831" s="154">
        <v>45143</v>
      </c>
      <c r="C831" s="155" t="s">
        <v>875</v>
      </c>
      <c r="D831" s="156" t="s">
        <v>37</v>
      </c>
      <c r="E831" s="155" t="s">
        <v>38</v>
      </c>
      <c r="F831" s="155" t="s">
        <v>39</v>
      </c>
    </row>
    <row r="832" ht="14.25" customHeight="1" spans="1:6">
      <c r="A832" s="153">
        <v>45139</v>
      </c>
      <c r="B832" s="154">
        <v>45143</v>
      </c>
      <c r="C832" s="155" t="s">
        <v>876</v>
      </c>
      <c r="D832" s="156" t="s">
        <v>37</v>
      </c>
      <c r="E832" s="155" t="s">
        <v>43</v>
      </c>
      <c r="F832" s="155" t="s">
        <v>39</v>
      </c>
    </row>
    <row r="833" ht="14.25" customHeight="1" spans="1:6">
      <c r="A833" s="153">
        <v>45139</v>
      </c>
      <c r="B833" s="154">
        <v>45143</v>
      </c>
      <c r="C833" s="155" t="s">
        <v>877</v>
      </c>
      <c r="D833" s="155" t="s">
        <v>33</v>
      </c>
      <c r="E833" s="155" t="s">
        <v>50</v>
      </c>
      <c r="F833" s="155" t="s">
        <v>39</v>
      </c>
    </row>
    <row r="834" ht="14.25" customHeight="1" spans="1:6">
      <c r="A834" s="153">
        <v>45139</v>
      </c>
      <c r="B834" s="154">
        <v>45143</v>
      </c>
      <c r="C834" s="155" t="s">
        <v>878</v>
      </c>
      <c r="D834" s="156" t="s">
        <v>37</v>
      </c>
      <c r="E834" s="155" t="s">
        <v>38</v>
      </c>
      <c r="F834" s="155" t="s">
        <v>39</v>
      </c>
    </row>
    <row r="835" ht="14.25" customHeight="1" spans="1:6">
      <c r="A835" s="153">
        <v>45139</v>
      </c>
      <c r="B835" s="154">
        <v>45143</v>
      </c>
      <c r="C835" s="155" t="s">
        <v>879</v>
      </c>
      <c r="D835" s="156" t="s">
        <v>37</v>
      </c>
      <c r="E835" s="155" t="s">
        <v>43</v>
      </c>
      <c r="F835" s="155" t="s">
        <v>39</v>
      </c>
    </row>
    <row r="836" ht="14.25" customHeight="1" spans="1:6">
      <c r="A836" s="153">
        <v>45139</v>
      </c>
      <c r="B836" s="154">
        <v>45143</v>
      </c>
      <c r="C836" s="155" t="s">
        <v>880</v>
      </c>
      <c r="D836" s="155" t="s">
        <v>42</v>
      </c>
      <c r="E836" s="155" t="s">
        <v>38</v>
      </c>
      <c r="F836" s="155" t="s">
        <v>35</v>
      </c>
    </row>
    <row r="837" ht="14.25" customHeight="1" spans="1:6">
      <c r="A837" s="153">
        <v>45139</v>
      </c>
      <c r="B837" s="154">
        <v>45143</v>
      </c>
      <c r="C837" s="155" t="s">
        <v>881</v>
      </c>
      <c r="D837" s="155" t="s">
        <v>47</v>
      </c>
      <c r="E837" s="155" t="s">
        <v>43</v>
      </c>
      <c r="F837" s="155" t="s">
        <v>35</v>
      </c>
    </row>
    <row r="838" ht="14.25" customHeight="1" spans="1:6">
      <c r="A838" s="153">
        <v>45139</v>
      </c>
      <c r="B838" s="154">
        <v>45143</v>
      </c>
      <c r="C838" s="155" t="s">
        <v>882</v>
      </c>
      <c r="D838" s="156" t="s">
        <v>37</v>
      </c>
      <c r="E838" s="155" t="s">
        <v>38</v>
      </c>
      <c r="F838" s="155" t="s">
        <v>39</v>
      </c>
    </row>
    <row r="839" ht="14.25" customHeight="1" spans="1:6">
      <c r="A839" s="153">
        <v>45139</v>
      </c>
      <c r="B839" s="154">
        <v>45143</v>
      </c>
      <c r="C839" s="155" t="s">
        <v>883</v>
      </c>
      <c r="D839" s="156" t="s">
        <v>37</v>
      </c>
      <c r="E839" s="155" t="s">
        <v>43</v>
      </c>
      <c r="F839" s="155" t="s">
        <v>39</v>
      </c>
    </row>
    <row r="840" ht="14.25" customHeight="1" spans="1:6">
      <c r="A840" s="153">
        <v>45139</v>
      </c>
      <c r="B840" s="154">
        <v>45143</v>
      </c>
      <c r="C840" s="155" t="s">
        <v>884</v>
      </c>
      <c r="D840" s="156" t="s">
        <v>37</v>
      </c>
      <c r="E840" s="155" t="s">
        <v>43</v>
      </c>
      <c r="F840" s="155" t="s">
        <v>39</v>
      </c>
    </row>
    <row r="841" ht="14.25" customHeight="1" spans="1:6">
      <c r="A841" s="153">
        <v>45139</v>
      </c>
      <c r="B841" s="154">
        <v>45143</v>
      </c>
      <c r="C841" s="155" t="s">
        <v>885</v>
      </c>
      <c r="D841" s="155" t="s">
        <v>33</v>
      </c>
      <c r="E841" s="155" t="s">
        <v>38</v>
      </c>
      <c r="F841" s="155" t="s">
        <v>39</v>
      </c>
    </row>
    <row r="842" ht="14.25" customHeight="1" spans="1:6">
      <c r="A842" s="153">
        <v>45139</v>
      </c>
      <c r="B842" s="154">
        <v>45143</v>
      </c>
      <c r="C842" s="155" t="s">
        <v>886</v>
      </c>
      <c r="D842" s="156" t="s">
        <v>37</v>
      </c>
      <c r="E842" s="155" t="s">
        <v>43</v>
      </c>
      <c r="F842" s="155" t="s">
        <v>39</v>
      </c>
    </row>
    <row r="843" ht="14.25" customHeight="1" spans="1:6">
      <c r="A843" s="153">
        <v>45139</v>
      </c>
      <c r="B843" s="154">
        <v>45143</v>
      </c>
      <c r="C843" s="155" t="s">
        <v>887</v>
      </c>
      <c r="D843" s="156" t="s">
        <v>37</v>
      </c>
      <c r="E843" s="155" t="s">
        <v>43</v>
      </c>
      <c r="F843" s="155" t="s">
        <v>39</v>
      </c>
    </row>
    <row r="844" ht="14.25" customHeight="1" spans="1:6">
      <c r="A844" s="153">
        <v>45139</v>
      </c>
      <c r="B844" s="154">
        <v>45143</v>
      </c>
      <c r="C844" s="155" t="s">
        <v>888</v>
      </c>
      <c r="D844" s="155" t="s">
        <v>42</v>
      </c>
      <c r="E844" s="155" t="s">
        <v>43</v>
      </c>
      <c r="F844" s="155" t="s">
        <v>39</v>
      </c>
    </row>
    <row r="845" ht="14.25" customHeight="1" spans="1:6">
      <c r="A845" s="153">
        <v>45139</v>
      </c>
      <c r="B845" s="154">
        <v>45143</v>
      </c>
      <c r="C845" s="155" t="s">
        <v>889</v>
      </c>
      <c r="D845" s="156" t="s">
        <v>37</v>
      </c>
      <c r="E845" s="155" t="s">
        <v>50</v>
      </c>
      <c r="F845" s="155" t="s">
        <v>39</v>
      </c>
    </row>
    <row r="846" ht="14.25" customHeight="1" spans="1:6">
      <c r="A846" s="153">
        <v>45139</v>
      </c>
      <c r="B846" s="154">
        <v>45143</v>
      </c>
      <c r="C846" s="155" t="s">
        <v>890</v>
      </c>
      <c r="D846" s="156" t="s">
        <v>37</v>
      </c>
      <c r="E846" s="155" t="s">
        <v>34</v>
      </c>
      <c r="F846" s="155" t="s">
        <v>35</v>
      </c>
    </row>
    <row r="847" ht="14.25" customHeight="1" spans="1:6">
      <c r="A847" s="153">
        <v>45139</v>
      </c>
      <c r="B847" s="154">
        <v>45143</v>
      </c>
      <c r="C847" s="155" t="s">
        <v>891</v>
      </c>
      <c r="D847" s="156" t="s">
        <v>37</v>
      </c>
      <c r="E847" s="155" t="s">
        <v>43</v>
      </c>
      <c r="F847" s="155" t="s">
        <v>39</v>
      </c>
    </row>
    <row r="848" ht="14.25" customHeight="1" spans="1:6">
      <c r="A848" s="153">
        <v>45139</v>
      </c>
      <c r="B848" s="154">
        <v>45143</v>
      </c>
      <c r="C848" s="155" t="s">
        <v>892</v>
      </c>
      <c r="D848" s="155" t="s">
        <v>42</v>
      </c>
      <c r="E848" s="155" t="s">
        <v>34</v>
      </c>
      <c r="F848" s="155" t="s">
        <v>39</v>
      </c>
    </row>
    <row r="849" ht="14.25" customHeight="1" spans="1:6">
      <c r="A849" s="153">
        <v>45139</v>
      </c>
      <c r="B849" s="154">
        <v>45143</v>
      </c>
      <c r="C849" s="155" t="s">
        <v>893</v>
      </c>
      <c r="D849" s="156" t="s">
        <v>37</v>
      </c>
      <c r="E849" s="155" t="s">
        <v>38</v>
      </c>
      <c r="F849" s="155" t="s">
        <v>39</v>
      </c>
    </row>
    <row r="850" ht="14.25" customHeight="1" spans="1:6">
      <c r="A850" s="153">
        <v>45139</v>
      </c>
      <c r="B850" s="154">
        <v>45143</v>
      </c>
      <c r="C850" s="155" t="s">
        <v>894</v>
      </c>
      <c r="D850" s="155" t="s">
        <v>33</v>
      </c>
      <c r="E850" s="155" t="s">
        <v>34</v>
      </c>
      <c r="F850" s="155" t="s">
        <v>57</v>
      </c>
    </row>
    <row r="851" ht="14.25" customHeight="1" spans="1:6">
      <c r="A851" s="153">
        <v>45139</v>
      </c>
      <c r="B851" s="154">
        <v>45143</v>
      </c>
      <c r="C851" s="155" t="s">
        <v>895</v>
      </c>
      <c r="D851" s="156" t="s">
        <v>37</v>
      </c>
      <c r="E851" s="155" t="s">
        <v>38</v>
      </c>
      <c r="F851" s="155" t="s">
        <v>39</v>
      </c>
    </row>
    <row r="852" ht="14.25" customHeight="1" spans="1:6">
      <c r="A852" s="153">
        <v>45139</v>
      </c>
      <c r="B852" s="154">
        <v>45144</v>
      </c>
      <c r="C852" s="155" t="s">
        <v>896</v>
      </c>
      <c r="D852" s="155" t="s">
        <v>42</v>
      </c>
      <c r="E852" s="155" t="s">
        <v>34</v>
      </c>
      <c r="F852" s="155" t="s">
        <v>39</v>
      </c>
    </row>
    <row r="853" ht="14.25" customHeight="1" spans="1:6">
      <c r="A853" s="153">
        <v>45139</v>
      </c>
      <c r="B853" s="154">
        <v>45144</v>
      </c>
      <c r="C853" s="155" t="s">
        <v>897</v>
      </c>
      <c r="D853" s="156" t="s">
        <v>37</v>
      </c>
      <c r="E853" s="155" t="s">
        <v>43</v>
      </c>
      <c r="F853" s="155" t="s">
        <v>39</v>
      </c>
    </row>
    <row r="854" ht="14.25" customHeight="1" spans="1:6">
      <c r="A854" s="153">
        <v>45139</v>
      </c>
      <c r="B854" s="154">
        <v>45144</v>
      </c>
      <c r="C854" s="155" t="s">
        <v>898</v>
      </c>
      <c r="D854" s="156" t="s">
        <v>37</v>
      </c>
      <c r="E854" s="155" t="s">
        <v>43</v>
      </c>
      <c r="F854" s="155" t="s">
        <v>39</v>
      </c>
    </row>
    <row r="855" ht="14.25" customHeight="1" spans="1:6">
      <c r="A855" s="153">
        <v>45139</v>
      </c>
      <c r="B855" s="154">
        <v>45144</v>
      </c>
      <c r="C855" s="155" t="s">
        <v>899</v>
      </c>
      <c r="D855" s="156" t="s">
        <v>37</v>
      </c>
      <c r="E855" s="155" t="s">
        <v>43</v>
      </c>
      <c r="F855" s="155" t="s">
        <v>39</v>
      </c>
    </row>
    <row r="856" ht="14.25" customHeight="1" spans="1:6">
      <c r="A856" s="153">
        <v>45139</v>
      </c>
      <c r="B856" s="154">
        <v>45144</v>
      </c>
      <c r="C856" s="155" t="s">
        <v>900</v>
      </c>
      <c r="D856" s="156" t="s">
        <v>37</v>
      </c>
      <c r="E856" s="155" t="s">
        <v>38</v>
      </c>
      <c r="F856" s="155" t="s">
        <v>39</v>
      </c>
    </row>
    <row r="857" ht="14.25" customHeight="1" spans="1:6">
      <c r="A857" s="153">
        <v>45139</v>
      </c>
      <c r="B857" s="154">
        <v>45144</v>
      </c>
      <c r="C857" s="155" t="s">
        <v>901</v>
      </c>
      <c r="D857" s="156" t="s">
        <v>37</v>
      </c>
      <c r="E857" s="155" t="s">
        <v>43</v>
      </c>
      <c r="F857" s="155" t="s">
        <v>35</v>
      </c>
    </row>
    <row r="858" ht="14.25" customHeight="1" spans="1:6">
      <c r="A858" s="153">
        <v>45139</v>
      </c>
      <c r="B858" s="154">
        <v>45144</v>
      </c>
      <c r="C858" s="155" t="s">
        <v>902</v>
      </c>
      <c r="D858" s="156" t="s">
        <v>37</v>
      </c>
      <c r="E858" s="155" t="s">
        <v>43</v>
      </c>
      <c r="F858" s="155" t="s">
        <v>39</v>
      </c>
    </row>
    <row r="859" ht="14.25" customHeight="1" spans="1:6">
      <c r="A859" s="153">
        <v>45139</v>
      </c>
      <c r="B859" s="154">
        <v>45144</v>
      </c>
      <c r="C859" s="155" t="s">
        <v>903</v>
      </c>
      <c r="D859" s="155" t="s">
        <v>33</v>
      </c>
      <c r="E859" s="155" t="s">
        <v>38</v>
      </c>
      <c r="F859" s="155" t="s">
        <v>57</v>
      </c>
    </row>
    <row r="860" ht="14.25" customHeight="1" spans="1:6">
      <c r="A860" s="153">
        <v>45139</v>
      </c>
      <c r="B860" s="154">
        <v>45144</v>
      </c>
      <c r="C860" s="155" t="s">
        <v>904</v>
      </c>
      <c r="D860" s="155" t="s">
        <v>33</v>
      </c>
      <c r="E860" s="155" t="s">
        <v>50</v>
      </c>
      <c r="F860" s="155" t="s">
        <v>39</v>
      </c>
    </row>
    <row r="861" ht="14.25" customHeight="1" spans="1:6">
      <c r="A861" s="153">
        <v>45139</v>
      </c>
      <c r="B861" s="154">
        <v>45144</v>
      </c>
      <c r="C861" s="155" t="s">
        <v>905</v>
      </c>
      <c r="D861" s="155" t="s">
        <v>33</v>
      </c>
      <c r="E861" s="155" t="s">
        <v>50</v>
      </c>
      <c r="F861" s="155" t="s">
        <v>39</v>
      </c>
    </row>
    <row r="862" ht="14.25" customHeight="1" spans="1:6">
      <c r="A862" s="153">
        <v>45139</v>
      </c>
      <c r="B862" s="154">
        <v>45144</v>
      </c>
      <c r="C862" s="155" t="s">
        <v>906</v>
      </c>
      <c r="D862" s="155" t="s">
        <v>33</v>
      </c>
      <c r="E862" s="155" t="s">
        <v>43</v>
      </c>
      <c r="F862" s="155" t="s">
        <v>35</v>
      </c>
    </row>
    <row r="863" ht="14.25" customHeight="1" spans="1:6">
      <c r="A863" s="153">
        <v>45139</v>
      </c>
      <c r="B863" s="154">
        <v>45144</v>
      </c>
      <c r="C863" s="155" t="s">
        <v>907</v>
      </c>
      <c r="D863" s="156" t="s">
        <v>37</v>
      </c>
      <c r="E863" s="155" t="s">
        <v>43</v>
      </c>
      <c r="F863" s="155" t="s">
        <v>39</v>
      </c>
    </row>
    <row r="864" ht="14.25" customHeight="1" spans="1:6">
      <c r="A864" s="153">
        <v>45139</v>
      </c>
      <c r="B864" s="154">
        <v>45144</v>
      </c>
      <c r="C864" s="155" t="s">
        <v>908</v>
      </c>
      <c r="D864" s="155" t="s">
        <v>42</v>
      </c>
      <c r="E864" s="155" t="s">
        <v>43</v>
      </c>
      <c r="F864" s="155" t="s">
        <v>35</v>
      </c>
    </row>
    <row r="865" ht="14.25" customHeight="1" spans="1:6">
      <c r="A865" s="153">
        <v>45139</v>
      </c>
      <c r="B865" s="154">
        <v>45144</v>
      </c>
      <c r="C865" s="155" t="s">
        <v>909</v>
      </c>
      <c r="D865" s="156" t="s">
        <v>37</v>
      </c>
      <c r="E865" s="155" t="s">
        <v>38</v>
      </c>
      <c r="F865" s="155" t="s">
        <v>39</v>
      </c>
    </row>
    <row r="866" ht="14.25" customHeight="1" spans="1:6">
      <c r="A866" s="153">
        <v>45139</v>
      </c>
      <c r="B866" s="154">
        <v>45144</v>
      </c>
      <c r="C866" s="155" t="s">
        <v>910</v>
      </c>
      <c r="D866" s="156" t="s">
        <v>37</v>
      </c>
      <c r="E866" s="155" t="s">
        <v>38</v>
      </c>
      <c r="F866" s="155" t="s">
        <v>39</v>
      </c>
    </row>
    <row r="867" ht="14.25" customHeight="1" spans="1:6">
      <c r="A867" s="153">
        <v>45139</v>
      </c>
      <c r="B867" s="154">
        <v>45144</v>
      </c>
      <c r="C867" s="155" t="s">
        <v>911</v>
      </c>
      <c r="D867" s="155" t="s">
        <v>33</v>
      </c>
      <c r="E867" s="155" t="s">
        <v>43</v>
      </c>
      <c r="F867" s="155" t="s">
        <v>35</v>
      </c>
    </row>
    <row r="868" ht="14.25" customHeight="1" spans="1:6">
      <c r="A868" s="153">
        <v>45139</v>
      </c>
      <c r="B868" s="154">
        <v>45144</v>
      </c>
      <c r="C868" s="155" t="s">
        <v>912</v>
      </c>
      <c r="D868" s="156" t="s">
        <v>37</v>
      </c>
      <c r="E868" s="155" t="s">
        <v>38</v>
      </c>
      <c r="F868" s="155" t="s">
        <v>39</v>
      </c>
    </row>
    <row r="869" ht="14.25" customHeight="1" spans="1:6">
      <c r="A869" s="153">
        <v>45139</v>
      </c>
      <c r="B869" s="154">
        <v>45144</v>
      </c>
      <c r="C869" s="155" t="s">
        <v>913</v>
      </c>
      <c r="D869" s="156" t="s">
        <v>37</v>
      </c>
      <c r="E869" s="155" t="s">
        <v>43</v>
      </c>
      <c r="F869" s="155" t="s">
        <v>39</v>
      </c>
    </row>
    <row r="870" ht="14.25" customHeight="1" spans="1:6">
      <c r="A870" s="153">
        <v>45139</v>
      </c>
      <c r="B870" s="154">
        <v>45144</v>
      </c>
      <c r="C870" s="155" t="s">
        <v>914</v>
      </c>
      <c r="D870" s="156" t="s">
        <v>37</v>
      </c>
      <c r="E870" s="155" t="s">
        <v>38</v>
      </c>
      <c r="F870" s="155" t="s">
        <v>39</v>
      </c>
    </row>
    <row r="871" ht="14.25" customHeight="1" spans="1:6">
      <c r="A871" s="153">
        <v>45139</v>
      </c>
      <c r="B871" s="154">
        <v>45144</v>
      </c>
      <c r="C871" s="155" t="s">
        <v>915</v>
      </c>
      <c r="D871" s="155" t="s">
        <v>33</v>
      </c>
      <c r="E871" s="155" t="s">
        <v>43</v>
      </c>
      <c r="F871" s="155" t="s">
        <v>57</v>
      </c>
    </row>
    <row r="872" ht="14.25" customHeight="1" spans="1:6">
      <c r="A872" s="153">
        <v>45139</v>
      </c>
      <c r="B872" s="154">
        <v>45144</v>
      </c>
      <c r="C872" s="155" t="s">
        <v>916</v>
      </c>
      <c r="D872" s="156" t="s">
        <v>37</v>
      </c>
      <c r="E872" s="155" t="s">
        <v>43</v>
      </c>
      <c r="F872" s="155" t="s">
        <v>39</v>
      </c>
    </row>
    <row r="873" ht="14.25" customHeight="1" spans="1:6">
      <c r="A873" s="153">
        <v>45139</v>
      </c>
      <c r="B873" s="154">
        <v>45144</v>
      </c>
      <c r="C873" s="155" t="s">
        <v>917</v>
      </c>
      <c r="D873" s="156" t="s">
        <v>37</v>
      </c>
      <c r="E873" s="155" t="s">
        <v>43</v>
      </c>
      <c r="F873" s="155" t="s">
        <v>39</v>
      </c>
    </row>
    <row r="874" ht="14.25" customHeight="1" spans="1:6">
      <c r="A874" s="153">
        <v>45139</v>
      </c>
      <c r="B874" s="154">
        <v>45144</v>
      </c>
      <c r="C874" s="155" t="s">
        <v>918</v>
      </c>
      <c r="D874" s="156" t="s">
        <v>37</v>
      </c>
      <c r="E874" s="155" t="s">
        <v>38</v>
      </c>
      <c r="F874" s="155" t="s">
        <v>39</v>
      </c>
    </row>
    <row r="875" ht="14.25" customHeight="1" spans="1:6">
      <c r="A875" s="153">
        <v>45139</v>
      </c>
      <c r="B875" s="154">
        <v>45144</v>
      </c>
      <c r="C875" s="155" t="s">
        <v>919</v>
      </c>
      <c r="D875" s="156" t="s">
        <v>37</v>
      </c>
      <c r="E875" s="155" t="s">
        <v>38</v>
      </c>
      <c r="F875" s="155" t="s">
        <v>39</v>
      </c>
    </row>
    <row r="876" ht="14.25" customHeight="1" spans="1:6">
      <c r="A876" s="153">
        <v>45139</v>
      </c>
      <c r="B876" s="154">
        <v>45144</v>
      </c>
      <c r="C876" s="155" t="s">
        <v>920</v>
      </c>
      <c r="D876" s="155" t="s">
        <v>45</v>
      </c>
      <c r="E876" s="155" t="s">
        <v>50</v>
      </c>
      <c r="F876" s="155" t="s">
        <v>39</v>
      </c>
    </row>
    <row r="877" ht="14.25" customHeight="1" spans="1:6">
      <c r="A877" s="153">
        <v>45139</v>
      </c>
      <c r="B877" s="154">
        <v>45144</v>
      </c>
      <c r="C877" s="155" t="s">
        <v>921</v>
      </c>
      <c r="D877" s="155" t="s">
        <v>42</v>
      </c>
      <c r="E877" s="155" t="s">
        <v>43</v>
      </c>
      <c r="F877" s="155" t="s">
        <v>57</v>
      </c>
    </row>
    <row r="878" ht="14.25" customHeight="1" spans="1:6">
      <c r="A878" s="153">
        <v>45139</v>
      </c>
      <c r="B878" s="154">
        <v>45144</v>
      </c>
      <c r="C878" s="155" t="s">
        <v>922</v>
      </c>
      <c r="D878" s="155" t="s">
        <v>33</v>
      </c>
      <c r="E878" s="155" t="s">
        <v>43</v>
      </c>
      <c r="F878" s="155" t="s">
        <v>57</v>
      </c>
    </row>
    <row r="879" ht="14.25" customHeight="1" spans="1:6">
      <c r="A879" s="153">
        <v>45139</v>
      </c>
      <c r="B879" s="154">
        <v>45144</v>
      </c>
      <c r="C879" s="155" t="s">
        <v>923</v>
      </c>
      <c r="D879" s="156" t="s">
        <v>37</v>
      </c>
      <c r="E879" s="155" t="s">
        <v>38</v>
      </c>
      <c r="F879" s="155" t="s">
        <v>39</v>
      </c>
    </row>
    <row r="880" ht="14.25" customHeight="1" spans="1:6">
      <c r="A880" s="153">
        <v>45139</v>
      </c>
      <c r="B880" s="154">
        <v>45144</v>
      </c>
      <c r="C880" s="155" t="s">
        <v>924</v>
      </c>
      <c r="D880" s="156" t="s">
        <v>37</v>
      </c>
      <c r="E880" s="155" t="s">
        <v>43</v>
      </c>
      <c r="F880" s="155" t="s">
        <v>39</v>
      </c>
    </row>
    <row r="881" ht="14.25" customHeight="1" spans="1:6">
      <c r="A881" s="153">
        <v>45139</v>
      </c>
      <c r="B881" s="154">
        <v>45144</v>
      </c>
      <c r="C881" s="155" t="s">
        <v>925</v>
      </c>
      <c r="D881" s="156" t="s">
        <v>37</v>
      </c>
      <c r="E881" s="155" t="s">
        <v>38</v>
      </c>
      <c r="F881" s="155" t="s">
        <v>39</v>
      </c>
    </row>
    <row r="882" ht="14.25" customHeight="1" spans="1:6">
      <c r="A882" s="153">
        <v>45139</v>
      </c>
      <c r="B882" s="154">
        <v>45144</v>
      </c>
      <c r="C882" s="155" t="s">
        <v>926</v>
      </c>
      <c r="D882" s="155" t="s">
        <v>33</v>
      </c>
      <c r="E882" s="155" t="s">
        <v>34</v>
      </c>
      <c r="F882" s="155" t="s">
        <v>35</v>
      </c>
    </row>
    <row r="883" ht="14.25" customHeight="1" spans="1:6">
      <c r="A883" s="153">
        <v>45139</v>
      </c>
      <c r="B883" s="154">
        <v>45144</v>
      </c>
      <c r="C883" s="155" t="s">
        <v>927</v>
      </c>
      <c r="D883" s="155" t="s">
        <v>42</v>
      </c>
      <c r="E883" s="155" t="s">
        <v>34</v>
      </c>
      <c r="F883" s="155" t="s">
        <v>39</v>
      </c>
    </row>
    <row r="884" ht="14.25" customHeight="1" spans="1:6">
      <c r="A884" s="153">
        <v>45139</v>
      </c>
      <c r="B884" s="154">
        <v>45144</v>
      </c>
      <c r="C884" s="155" t="s">
        <v>928</v>
      </c>
      <c r="D884" s="155" t="s">
        <v>33</v>
      </c>
      <c r="E884" s="155" t="s">
        <v>50</v>
      </c>
      <c r="F884" s="155" t="s">
        <v>35</v>
      </c>
    </row>
    <row r="885" ht="14.25" customHeight="1" spans="1:6">
      <c r="A885" s="153">
        <v>45139</v>
      </c>
      <c r="B885" s="154">
        <v>45144</v>
      </c>
      <c r="C885" s="155" t="s">
        <v>929</v>
      </c>
      <c r="D885" s="156" t="s">
        <v>37</v>
      </c>
      <c r="E885" s="155" t="s">
        <v>43</v>
      </c>
      <c r="F885" s="155" t="s">
        <v>39</v>
      </c>
    </row>
    <row r="886" ht="14.25" customHeight="1" spans="1:6">
      <c r="A886" s="153">
        <v>45139</v>
      </c>
      <c r="B886" s="154">
        <v>45144</v>
      </c>
      <c r="C886" s="155" t="s">
        <v>930</v>
      </c>
      <c r="D886" s="156" t="s">
        <v>37</v>
      </c>
      <c r="E886" s="155" t="s">
        <v>50</v>
      </c>
      <c r="F886" s="155" t="s">
        <v>57</v>
      </c>
    </row>
    <row r="887" ht="14.25" customHeight="1" spans="1:6">
      <c r="A887" s="153">
        <v>45139</v>
      </c>
      <c r="B887" s="154">
        <v>45144</v>
      </c>
      <c r="C887" s="155" t="s">
        <v>931</v>
      </c>
      <c r="D887" s="156" t="s">
        <v>37</v>
      </c>
      <c r="E887" s="155" t="s">
        <v>43</v>
      </c>
      <c r="F887" s="155" t="s">
        <v>39</v>
      </c>
    </row>
    <row r="888" ht="14.25" customHeight="1" spans="1:6">
      <c r="A888" s="153">
        <v>45139</v>
      </c>
      <c r="B888" s="154">
        <v>45144</v>
      </c>
      <c r="C888" s="155" t="s">
        <v>932</v>
      </c>
      <c r="D888" s="156" t="s">
        <v>37</v>
      </c>
      <c r="E888" s="155" t="s">
        <v>43</v>
      </c>
      <c r="F888" s="155" t="s">
        <v>57</v>
      </c>
    </row>
    <row r="889" ht="14.25" customHeight="1" spans="1:6">
      <c r="A889" s="153">
        <v>45139</v>
      </c>
      <c r="B889" s="154">
        <v>45144</v>
      </c>
      <c r="C889" s="155" t="s">
        <v>933</v>
      </c>
      <c r="D889" s="156" t="s">
        <v>37</v>
      </c>
      <c r="E889" s="155" t="s">
        <v>38</v>
      </c>
      <c r="F889" s="155" t="s">
        <v>39</v>
      </c>
    </row>
    <row r="890" ht="14.25" customHeight="1" spans="1:6">
      <c r="A890" s="153">
        <v>45139</v>
      </c>
      <c r="B890" s="154">
        <v>45144</v>
      </c>
      <c r="C890" s="155" t="s">
        <v>934</v>
      </c>
      <c r="D890" s="156" t="s">
        <v>37</v>
      </c>
      <c r="E890" s="155" t="s">
        <v>43</v>
      </c>
      <c r="F890" s="155" t="s">
        <v>39</v>
      </c>
    </row>
    <row r="891" ht="14.25" customHeight="1" spans="1:6">
      <c r="A891" s="153">
        <v>45139</v>
      </c>
      <c r="B891" s="154">
        <v>45144</v>
      </c>
      <c r="C891" s="155" t="s">
        <v>935</v>
      </c>
      <c r="D891" s="156" t="s">
        <v>37</v>
      </c>
      <c r="E891" s="155" t="s">
        <v>38</v>
      </c>
      <c r="F891" s="155" t="s">
        <v>39</v>
      </c>
    </row>
    <row r="892" ht="14.25" customHeight="1" spans="1:6">
      <c r="A892" s="153">
        <v>45139</v>
      </c>
      <c r="B892" s="154">
        <v>45144</v>
      </c>
      <c r="C892" s="155" t="s">
        <v>936</v>
      </c>
      <c r="D892" s="156" t="s">
        <v>37</v>
      </c>
      <c r="E892" s="155" t="s">
        <v>38</v>
      </c>
      <c r="F892" s="155" t="s">
        <v>35</v>
      </c>
    </row>
    <row r="893" ht="14.25" customHeight="1" spans="1:6">
      <c r="A893" s="153">
        <v>45139</v>
      </c>
      <c r="B893" s="154">
        <v>45144</v>
      </c>
      <c r="C893" s="155" t="s">
        <v>937</v>
      </c>
      <c r="D893" s="156" t="s">
        <v>37</v>
      </c>
      <c r="E893" s="155" t="s">
        <v>43</v>
      </c>
      <c r="F893" s="155" t="s">
        <v>39</v>
      </c>
    </row>
    <row r="894" ht="14.25" customHeight="1" spans="1:6">
      <c r="A894" s="153">
        <v>45139</v>
      </c>
      <c r="B894" s="154">
        <v>45144</v>
      </c>
      <c r="C894" s="155" t="s">
        <v>938</v>
      </c>
      <c r="D894" s="156" t="s">
        <v>37</v>
      </c>
      <c r="E894" s="155" t="s">
        <v>43</v>
      </c>
      <c r="F894" s="155" t="s">
        <v>57</v>
      </c>
    </row>
    <row r="895" ht="14.25" customHeight="1" spans="1:6">
      <c r="A895" s="153">
        <v>45139</v>
      </c>
      <c r="B895" s="154">
        <v>45144</v>
      </c>
      <c r="C895" s="155" t="s">
        <v>939</v>
      </c>
      <c r="D895" s="155" t="s">
        <v>33</v>
      </c>
      <c r="E895" s="155" t="s">
        <v>43</v>
      </c>
      <c r="F895" s="155" t="s">
        <v>57</v>
      </c>
    </row>
    <row r="896" ht="14.25" customHeight="1" spans="1:6">
      <c r="A896" s="153">
        <v>45139</v>
      </c>
      <c r="B896" s="154">
        <v>45144</v>
      </c>
      <c r="C896" s="155" t="s">
        <v>940</v>
      </c>
      <c r="D896" s="156" t="s">
        <v>37</v>
      </c>
      <c r="E896" s="155" t="s">
        <v>43</v>
      </c>
      <c r="F896" s="155" t="s">
        <v>57</v>
      </c>
    </row>
    <row r="897" ht="14.25" customHeight="1" spans="1:6">
      <c r="A897" s="153">
        <v>45139</v>
      </c>
      <c r="B897" s="154">
        <v>45144</v>
      </c>
      <c r="C897" s="155" t="s">
        <v>941</v>
      </c>
      <c r="D897" s="156" t="s">
        <v>37</v>
      </c>
      <c r="E897" s="155" t="s">
        <v>38</v>
      </c>
      <c r="F897" s="155" t="s">
        <v>39</v>
      </c>
    </row>
    <row r="898" ht="14.25" customHeight="1" spans="1:6">
      <c r="A898" s="153">
        <v>45139</v>
      </c>
      <c r="B898" s="154">
        <v>45144</v>
      </c>
      <c r="C898" s="155" t="s">
        <v>942</v>
      </c>
      <c r="D898" s="156" t="s">
        <v>37</v>
      </c>
      <c r="E898" s="155" t="s">
        <v>43</v>
      </c>
      <c r="F898" s="155" t="s">
        <v>39</v>
      </c>
    </row>
    <row r="899" ht="14.25" customHeight="1" spans="1:6">
      <c r="A899" s="153">
        <v>45139</v>
      </c>
      <c r="B899" s="154">
        <v>45144</v>
      </c>
      <c r="C899" s="155" t="s">
        <v>943</v>
      </c>
      <c r="D899" s="155" t="s">
        <v>33</v>
      </c>
      <c r="E899" s="155" t="s">
        <v>43</v>
      </c>
      <c r="F899" s="155" t="s">
        <v>57</v>
      </c>
    </row>
    <row r="900" ht="14.25" customHeight="1" spans="1:6">
      <c r="A900" s="153">
        <v>45139</v>
      </c>
      <c r="B900" s="154">
        <v>45144</v>
      </c>
      <c r="C900" s="155" t="s">
        <v>944</v>
      </c>
      <c r="D900" s="156" t="s">
        <v>37</v>
      </c>
      <c r="E900" s="155" t="s">
        <v>34</v>
      </c>
      <c r="F900" s="155" t="s">
        <v>57</v>
      </c>
    </row>
    <row r="901" ht="14.25" customHeight="1" spans="1:6">
      <c r="A901" s="153">
        <v>45139</v>
      </c>
      <c r="B901" s="154">
        <v>45144</v>
      </c>
      <c r="C901" s="155" t="s">
        <v>945</v>
      </c>
      <c r="D901" s="156" t="s">
        <v>37</v>
      </c>
      <c r="E901" s="155" t="s">
        <v>38</v>
      </c>
      <c r="F901" s="155" t="s">
        <v>35</v>
      </c>
    </row>
    <row r="902" ht="14.25" customHeight="1" spans="1:6">
      <c r="A902" s="153">
        <v>45139</v>
      </c>
      <c r="B902" s="154">
        <v>45144</v>
      </c>
      <c r="C902" s="155" t="s">
        <v>946</v>
      </c>
      <c r="D902" s="156" t="s">
        <v>37</v>
      </c>
      <c r="E902" s="155" t="s">
        <v>43</v>
      </c>
      <c r="F902" s="155" t="s">
        <v>39</v>
      </c>
    </row>
    <row r="903" ht="14.25" customHeight="1" spans="1:6">
      <c r="A903" s="153">
        <v>45139</v>
      </c>
      <c r="B903" s="154">
        <v>45144</v>
      </c>
      <c r="C903" s="155" t="s">
        <v>947</v>
      </c>
      <c r="D903" s="156" t="s">
        <v>37</v>
      </c>
      <c r="E903" s="155" t="s">
        <v>43</v>
      </c>
      <c r="F903" s="155" t="s">
        <v>39</v>
      </c>
    </row>
    <row r="904" ht="14.25" customHeight="1" spans="1:6">
      <c r="A904" s="153">
        <v>45139</v>
      </c>
      <c r="B904" s="154">
        <v>45144</v>
      </c>
      <c r="C904" s="155" t="s">
        <v>948</v>
      </c>
      <c r="D904" s="155" t="s">
        <v>33</v>
      </c>
      <c r="E904" s="155" t="s">
        <v>50</v>
      </c>
      <c r="F904" s="155" t="s">
        <v>57</v>
      </c>
    </row>
    <row r="905" ht="14.25" customHeight="1" spans="1:6">
      <c r="A905" s="153">
        <v>45139</v>
      </c>
      <c r="B905" s="154">
        <v>45144</v>
      </c>
      <c r="C905" s="155" t="s">
        <v>949</v>
      </c>
      <c r="D905" s="156" t="s">
        <v>37</v>
      </c>
      <c r="E905" s="155" t="s">
        <v>43</v>
      </c>
      <c r="F905" s="155" t="s">
        <v>39</v>
      </c>
    </row>
    <row r="906" ht="14.25" customHeight="1" spans="1:6">
      <c r="A906" s="153">
        <v>45139</v>
      </c>
      <c r="B906" s="154">
        <v>45144</v>
      </c>
      <c r="C906" s="155" t="s">
        <v>950</v>
      </c>
      <c r="D906" s="156" t="s">
        <v>37</v>
      </c>
      <c r="E906" s="155" t="s">
        <v>43</v>
      </c>
      <c r="F906" s="155" t="s">
        <v>39</v>
      </c>
    </row>
    <row r="907" ht="14.25" customHeight="1" spans="1:6">
      <c r="A907" s="153">
        <v>45139</v>
      </c>
      <c r="B907" s="154">
        <v>45144</v>
      </c>
      <c r="C907" s="155" t="s">
        <v>951</v>
      </c>
      <c r="D907" s="156" t="s">
        <v>37</v>
      </c>
      <c r="E907" s="155" t="s">
        <v>38</v>
      </c>
      <c r="F907" s="155" t="s">
        <v>39</v>
      </c>
    </row>
    <row r="908" ht="14.25" customHeight="1" spans="1:6">
      <c r="A908" s="153">
        <v>45139</v>
      </c>
      <c r="B908" s="154">
        <v>45144</v>
      </c>
      <c r="C908" s="155" t="s">
        <v>952</v>
      </c>
      <c r="D908" s="156" t="s">
        <v>37</v>
      </c>
      <c r="E908" s="155" t="s">
        <v>38</v>
      </c>
      <c r="F908" s="155" t="s">
        <v>39</v>
      </c>
    </row>
    <row r="909" ht="14.25" customHeight="1" spans="1:6">
      <c r="A909" s="153">
        <v>45139</v>
      </c>
      <c r="B909" s="154">
        <v>45144</v>
      </c>
      <c r="C909" s="155" t="s">
        <v>953</v>
      </c>
      <c r="D909" s="155" t="s">
        <v>33</v>
      </c>
      <c r="E909" s="155" t="s">
        <v>38</v>
      </c>
      <c r="F909" s="155" t="s">
        <v>39</v>
      </c>
    </row>
    <row r="910" ht="14.25" customHeight="1" spans="1:6">
      <c r="A910" s="153">
        <v>45139</v>
      </c>
      <c r="B910" s="154">
        <v>45144</v>
      </c>
      <c r="C910" s="155" t="s">
        <v>954</v>
      </c>
      <c r="D910" s="156" t="s">
        <v>37</v>
      </c>
      <c r="E910" s="155" t="s">
        <v>38</v>
      </c>
      <c r="F910" s="155" t="s">
        <v>39</v>
      </c>
    </row>
    <row r="911" ht="14.25" customHeight="1" spans="1:6">
      <c r="A911" s="153">
        <v>45139</v>
      </c>
      <c r="B911" s="154">
        <v>45144</v>
      </c>
      <c r="C911" s="155" t="s">
        <v>955</v>
      </c>
      <c r="D911" s="156" t="s">
        <v>37</v>
      </c>
      <c r="E911" s="155" t="s">
        <v>50</v>
      </c>
      <c r="F911" s="155" t="s">
        <v>39</v>
      </c>
    </row>
    <row r="912" ht="14.25" customHeight="1" spans="1:6">
      <c r="A912" s="153">
        <v>45139</v>
      </c>
      <c r="B912" s="154">
        <v>45144</v>
      </c>
      <c r="C912" s="155" t="s">
        <v>956</v>
      </c>
      <c r="D912" s="156" t="s">
        <v>37</v>
      </c>
      <c r="E912" s="155" t="s">
        <v>34</v>
      </c>
      <c r="F912" s="155" t="s">
        <v>35</v>
      </c>
    </row>
    <row r="913" ht="14.25" customHeight="1" spans="1:6">
      <c r="A913" s="153">
        <v>45139</v>
      </c>
      <c r="B913" s="154">
        <v>45144</v>
      </c>
      <c r="C913" s="155" t="s">
        <v>957</v>
      </c>
      <c r="D913" s="155" t="s">
        <v>33</v>
      </c>
      <c r="E913" s="155" t="s">
        <v>43</v>
      </c>
      <c r="F913" s="155" t="s">
        <v>39</v>
      </c>
    </row>
    <row r="914" ht="14.25" customHeight="1" spans="1:6">
      <c r="A914" s="153">
        <v>45139</v>
      </c>
      <c r="B914" s="154">
        <v>45144</v>
      </c>
      <c r="C914" s="155" t="s">
        <v>958</v>
      </c>
      <c r="D914" s="156" t="s">
        <v>37</v>
      </c>
      <c r="E914" s="155" t="s">
        <v>50</v>
      </c>
      <c r="F914" s="155" t="s">
        <v>57</v>
      </c>
    </row>
    <row r="915" ht="14.25" customHeight="1" spans="1:6">
      <c r="A915" s="153">
        <v>45139</v>
      </c>
      <c r="B915" s="154">
        <v>45144</v>
      </c>
      <c r="C915" s="155" t="s">
        <v>959</v>
      </c>
      <c r="D915" s="155" t="s">
        <v>33</v>
      </c>
      <c r="E915" s="155" t="s">
        <v>43</v>
      </c>
      <c r="F915" s="155" t="s">
        <v>57</v>
      </c>
    </row>
    <row r="916" ht="14.25" customHeight="1" spans="1:6">
      <c r="A916" s="153">
        <v>45139</v>
      </c>
      <c r="B916" s="154">
        <v>45144</v>
      </c>
      <c r="C916" s="155" t="s">
        <v>960</v>
      </c>
      <c r="D916" s="156" t="s">
        <v>37</v>
      </c>
      <c r="E916" s="155" t="s">
        <v>38</v>
      </c>
      <c r="F916" s="155" t="s">
        <v>39</v>
      </c>
    </row>
    <row r="917" ht="14.25" customHeight="1" spans="1:6">
      <c r="A917" s="153">
        <v>45139</v>
      </c>
      <c r="B917" s="154">
        <v>45144</v>
      </c>
      <c r="C917" s="155" t="s">
        <v>961</v>
      </c>
      <c r="D917" s="155" t="s">
        <v>33</v>
      </c>
      <c r="E917" s="155" t="s">
        <v>43</v>
      </c>
      <c r="F917" s="155" t="s">
        <v>57</v>
      </c>
    </row>
    <row r="918" ht="14.25" customHeight="1" spans="1:6">
      <c r="A918" s="153">
        <v>45139</v>
      </c>
      <c r="B918" s="154">
        <v>45144</v>
      </c>
      <c r="C918" s="155" t="s">
        <v>962</v>
      </c>
      <c r="D918" s="156" t="s">
        <v>37</v>
      </c>
      <c r="E918" s="155" t="s">
        <v>38</v>
      </c>
      <c r="F918" s="155" t="s">
        <v>39</v>
      </c>
    </row>
    <row r="919" ht="14.25" customHeight="1" spans="1:6">
      <c r="A919" s="153">
        <v>45139</v>
      </c>
      <c r="B919" s="154">
        <v>45144</v>
      </c>
      <c r="C919" s="155" t="s">
        <v>963</v>
      </c>
      <c r="D919" s="156" t="s">
        <v>37</v>
      </c>
      <c r="E919" s="155" t="s">
        <v>38</v>
      </c>
      <c r="F919" s="155" t="s">
        <v>39</v>
      </c>
    </row>
    <row r="920" ht="14.25" customHeight="1" spans="1:6">
      <c r="A920" s="153">
        <v>45139</v>
      </c>
      <c r="B920" s="154">
        <v>45144</v>
      </c>
      <c r="C920" s="155" t="s">
        <v>964</v>
      </c>
      <c r="D920" s="156" t="s">
        <v>37</v>
      </c>
      <c r="E920" s="155" t="s">
        <v>38</v>
      </c>
      <c r="F920" s="155" t="s">
        <v>39</v>
      </c>
    </row>
    <row r="921" ht="14.25" customHeight="1" spans="1:6">
      <c r="A921" s="153">
        <v>45139</v>
      </c>
      <c r="B921" s="154">
        <v>45144</v>
      </c>
      <c r="C921" s="155" t="s">
        <v>965</v>
      </c>
      <c r="D921" s="156" t="s">
        <v>37</v>
      </c>
      <c r="E921" s="155" t="s">
        <v>43</v>
      </c>
      <c r="F921" s="155" t="s">
        <v>39</v>
      </c>
    </row>
    <row r="922" ht="14.25" customHeight="1" spans="1:6">
      <c r="A922" s="153">
        <v>45139</v>
      </c>
      <c r="B922" s="154">
        <v>45144</v>
      </c>
      <c r="C922" s="155" t="s">
        <v>966</v>
      </c>
      <c r="D922" s="155" t="s">
        <v>47</v>
      </c>
      <c r="E922" s="155" t="s">
        <v>38</v>
      </c>
      <c r="F922" s="155" t="s">
        <v>39</v>
      </c>
    </row>
    <row r="923" ht="14.25" customHeight="1" spans="1:6">
      <c r="A923" s="153">
        <v>45139</v>
      </c>
      <c r="B923" s="154">
        <v>45144</v>
      </c>
      <c r="C923" s="155" t="s">
        <v>967</v>
      </c>
      <c r="D923" s="155" t="s">
        <v>45</v>
      </c>
      <c r="E923" s="155" t="s">
        <v>38</v>
      </c>
      <c r="F923" s="155" t="s">
        <v>39</v>
      </c>
    </row>
    <row r="924" ht="14.25" customHeight="1" spans="1:6">
      <c r="A924" s="153">
        <v>45139</v>
      </c>
      <c r="B924" s="154">
        <v>45144</v>
      </c>
      <c r="C924" s="155" t="s">
        <v>968</v>
      </c>
      <c r="D924" s="155" t="s">
        <v>33</v>
      </c>
      <c r="E924" s="155" t="s">
        <v>34</v>
      </c>
      <c r="F924" s="155" t="s">
        <v>35</v>
      </c>
    </row>
    <row r="925" ht="14.25" customHeight="1" spans="1:6">
      <c r="A925" s="153">
        <v>45139</v>
      </c>
      <c r="B925" s="154">
        <v>45144</v>
      </c>
      <c r="C925" s="155" t="s">
        <v>969</v>
      </c>
      <c r="D925" s="156" t="s">
        <v>37</v>
      </c>
      <c r="E925" s="155" t="s">
        <v>38</v>
      </c>
      <c r="F925" s="155" t="s">
        <v>35</v>
      </c>
    </row>
    <row r="926" ht="14.25" customHeight="1" spans="1:6">
      <c r="A926" s="153">
        <v>45139</v>
      </c>
      <c r="B926" s="154">
        <v>45144</v>
      </c>
      <c r="C926" s="155" t="s">
        <v>970</v>
      </c>
      <c r="D926" s="156" t="s">
        <v>37</v>
      </c>
      <c r="E926" s="155" t="s">
        <v>43</v>
      </c>
      <c r="F926" s="155" t="s">
        <v>39</v>
      </c>
    </row>
    <row r="927" ht="14.25" customHeight="1" spans="1:6">
      <c r="A927" s="153">
        <v>45139</v>
      </c>
      <c r="B927" s="154">
        <v>45144</v>
      </c>
      <c r="C927" s="155" t="s">
        <v>971</v>
      </c>
      <c r="D927" s="156" t="s">
        <v>37</v>
      </c>
      <c r="E927" s="155" t="s">
        <v>43</v>
      </c>
      <c r="F927" s="155" t="s">
        <v>39</v>
      </c>
    </row>
    <row r="928" ht="14.25" customHeight="1" spans="1:6">
      <c r="A928" s="153">
        <v>45139</v>
      </c>
      <c r="B928" s="154">
        <v>45144</v>
      </c>
      <c r="C928" s="155" t="s">
        <v>972</v>
      </c>
      <c r="D928" s="156" t="s">
        <v>129</v>
      </c>
      <c r="E928" s="155" t="s">
        <v>43</v>
      </c>
      <c r="F928" s="155" t="s">
        <v>35</v>
      </c>
    </row>
    <row r="929" ht="14.25" customHeight="1" spans="1:6">
      <c r="A929" s="153">
        <v>45139</v>
      </c>
      <c r="B929" s="154">
        <v>45144</v>
      </c>
      <c r="C929" s="155" t="s">
        <v>973</v>
      </c>
      <c r="D929" s="156" t="s">
        <v>129</v>
      </c>
      <c r="E929" s="155" t="s">
        <v>43</v>
      </c>
      <c r="F929" s="155" t="s">
        <v>35</v>
      </c>
    </row>
    <row r="930" ht="14.25" customHeight="1" spans="1:6">
      <c r="A930" s="153">
        <v>45139</v>
      </c>
      <c r="B930" s="154">
        <v>45144</v>
      </c>
      <c r="C930" s="155" t="s">
        <v>974</v>
      </c>
      <c r="D930" s="155" t="s">
        <v>42</v>
      </c>
      <c r="E930" s="155" t="s">
        <v>34</v>
      </c>
      <c r="F930" s="155" t="s">
        <v>35</v>
      </c>
    </row>
    <row r="931" ht="14.25" customHeight="1" spans="1:6">
      <c r="A931" s="153">
        <v>45139</v>
      </c>
      <c r="B931" s="154">
        <v>45144</v>
      </c>
      <c r="C931" s="155" t="s">
        <v>975</v>
      </c>
      <c r="D931" s="156" t="s">
        <v>129</v>
      </c>
      <c r="E931" s="155" t="s">
        <v>38</v>
      </c>
      <c r="F931" s="155" t="s">
        <v>39</v>
      </c>
    </row>
    <row r="932" ht="14.25" customHeight="1" spans="1:6">
      <c r="A932" s="153">
        <v>45139</v>
      </c>
      <c r="B932" s="154">
        <v>45144</v>
      </c>
      <c r="C932" s="155" t="s">
        <v>976</v>
      </c>
      <c r="D932" s="155" t="s">
        <v>33</v>
      </c>
      <c r="E932" s="155" t="s">
        <v>43</v>
      </c>
      <c r="F932" s="155" t="s">
        <v>57</v>
      </c>
    </row>
    <row r="933" ht="14.25" customHeight="1" spans="1:6">
      <c r="A933" s="153">
        <v>45139</v>
      </c>
      <c r="B933" s="154">
        <v>45144</v>
      </c>
      <c r="C933" s="155" t="s">
        <v>977</v>
      </c>
      <c r="D933" s="155" t="s">
        <v>47</v>
      </c>
      <c r="E933" s="155" t="s">
        <v>38</v>
      </c>
      <c r="F933" s="155" t="s">
        <v>39</v>
      </c>
    </row>
    <row r="934" ht="14.25" customHeight="1" spans="1:6">
      <c r="A934" s="153">
        <v>45139</v>
      </c>
      <c r="B934" s="154">
        <v>45144</v>
      </c>
      <c r="C934" s="155" t="s">
        <v>978</v>
      </c>
      <c r="D934" s="155" t="s">
        <v>42</v>
      </c>
      <c r="E934" s="155" t="s">
        <v>43</v>
      </c>
      <c r="F934" s="155" t="s">
        <v>57</v>
      </c>
    </row>
    <row r="935" ht="14.25" customHeight="1" spans="1:6">
      <c r="A935" s="153">
        <v>45139</v>
      </c>
      <c r="B935" s="154">
        <v>45144</v>
      </c>
      <c r="C935" s="155" t="s">
        <v>979</v>
      </c>
      <c r="D935" s="156" t="s">
        <v>129</v>
      </c>
      <c r="E935" s="155" t="s">
        <v>38</v>
      </c>
      <c r="F935" s="155" t="s">
        <v>39</v>
      </c>
    </row>
    <row r="936" ht="14.25" customHeight="1" spans="1:6">
      <c r="A936" s="153">
        <v>45139</v>
      </c>
      <c r="B936" s="154">
        <v>45144</v>
      </c>
      <c r="C936" s="155" t="s">
        <v>980</v>
      </c>
      <c r="D936" s="156" t="s">
        <v>129</v>
      </c>
      <c r="E936" s="155" t="s">
        <v>43</v>
      </c>
      <c r="F936" s="155" t="s">
        <v>39</v>
      </c>
    </row>
    <row r="937" ht="14.25" customHeight="1" spans="1:6">
      <c r="A937" s="153">
        <v>45139</v>
      </c>
      <c r="B937" s="154">
        <v>45144</v>
      </c>
      <c r="C937" s="155" t="s">
        <v>981</v>
      </c>
      <c r="D937" s="155" t="s">
        <v>33</v>
      </c>
      <c r="E937" s="155" t="s">
        <v>50</v>
      </c>
      <c r="F937" s="155" t="s">
        <v>35</v>
      </c>
    </row>
    <row r="938" ht="14.25" customHeight="1" spans="1:6">
      <c r="A938" s="153">
        <v>45139</v>
      </c>
      <c r="B938" s="154">
        <v>45144</v>
      </c>
      <c r="C938" s="155" t="s">
        <v>982</v>
      </c>
      <c r="D938" s="155" t="s">
        <v>33</v>
      </c>
      <c r="E938" s="155" t="s">
        <v>43</v>
      </c>
      <c r="F938" s="155" t="s">
        <v>35</v>
      </c>
    </row>
    <row r="939" ht="14.25" customHeight="1" spans="1:6">
      <c r="A939" s="153">
        <v>45139</v>
      </c>
      <c r="B939" s="154">
        <v>45144</v>
      </c>
      <c r="C939" s="155" t="s">
        <v>983</v>
      </c>
      <c r="D939" s="156" t="s">
        <v>129</v>
      </c>
      <c r="E939" s="155" t="s">
        <v>43</v>
      </c>
      <c r="F939" s="155" t="s">
        <v>39</v>
      </c>
    </row>
    <row r="940" ht="14.25" customHeight="1" spans="1:6">
      <c r="A940" s="153">
        <v>45139</v>
      </c>
      <c r="B940" s="154">
        <v>45144</v>
      </c>
      <c r="C940" s="155" t="s">
        <v>984</v>
      </c>
      <c r="D940" s="156" t="s">
        <v>129</v>
      </c>
      <c r="E940" s="155" t="s">
        <v>43</v>
      </c>
      <c r="F940" s="155" t="s">
        <v>35</v>
      </c>
    </row>
    <row r="941" ht="14.25" customHeight="1" spans="1:6">
      <c r="A941" s="153">
        <v>45139</v>
      </c>
      <c r="B941" s="154">
        <v>45144</v>
      </c>
      <c r="C941" s="155" t="s">
        <v>985</v>
      </c>
      <c r="D941" s="156" t="s">
        <v>129</v>
      </c>
      <c r="E941" s="155" t="s">
        <v>38</v>
      </c>
      <c r="F941" s="155" t="s">
        <v>39</v>
      </c>
    </row>
    <row r="942" ht="14.25" customHeight="1" spans="1:6">
      <c r="A942" s="153">
        <v>45139</v>
      </c>
      <c r="B942" s="154">
        <v>45144</v>
      </c>
      <c r="C942" s="155" t="s">
        <v>986</v>
      </c>
      <c r="D942" s="155" t="s">
        <v>33</v>
      </c>
      <c r="E942" s="155" t="s">
        <v>50</v>
      </c>
      <c r="F942" s="155" t="s">
        <v>39</v>
      </c>
    </row>
    <row r="943" ht="14.25" customHeight="1" spans="1:6">
      <c r="A943" s="153">
        <v>45139</v>
      </c>
      <c r="B943" s="154">
        <v>45144</v>
      </c>
      <c r="C943" s="155" t="s">
        <v>987</v>
      </c>
      <c r="D943" s="155" t="s">
        <v>33</v>
      </c>
      <c r="E943" s="155" t="s">
        <v>43</v>
      </c>
      <c r="F943" s="155" t="s">
        <v>57</v>
      </c>
    </row>
    <row r="944" ht="14.25" customHeight="1" spans="1:6">
      <c r="A944" s="153">
        <v>45139</v>
      </c>
      <c r="B944" s="154">
        <v>45144</v>
      </c>
      <c r="C944" s="155" t="s">
        <v>988</v>
      </c>
      <c r="D944" s="156" t="s">
        <v>129</v>
      </c>
      <c r="E944" s="155" t="s">
        <v>38</v>
      </c>
      <c r="F944" s="155" t="s">
        <v>35</v>
      </c>
    </row>
    <row r="945" ht="14.25" customHeight="1" spans="1:6">
      <c r="A945" s="153">
        <v>45139</v>
      </c>
      <c r="B945" s="154">
        <v>45144</v>
      </c>
      <c r="C945" s="155" t="s">
        <v>989</v>
      </c>
      <c r="D945" s="156" t="s">
        <v>129</v>
      </c>
      <c r="E945" s="155" t="s">
        <v>43</v>
      </c>
      <c r="F945" s="155" t="s">
        <v>39</v>
      </c>
    </row>
    <row r="946" ht="14.25" customHeight="1" spans="1:6">
      <c r="A946" s="153">
        <v>45139</v>
      </c>
      <c r="B946" s="154">
        <v>45144</v>
      </c>
      <c r="C946" s="155" t="s">
        <v>990</v>
      </c>
      <c r="D946" s="155" t="s">
        <v>33</v>
      </c>
      <c r="E946" s="155" t="s">
        <v>43</v>
      </c>
      <c r="F946" s="155" t="s">
        <v>39</v>
      </c>
    </row>
    <row r="947" ht="14.25" customHeight="1" spans="1:6">
      <c r="A947" s="153">
        <v>45139</v>
      </c>
      <c r="B947" s="154">
        <v>45144</v>
      </c>
      <c r="C947" s="155" t="s">
        <v>991</v>
      </c>
      <c r="D947" s="156" t="s">
        <v>129</v>
      </c>
      <c r="E947" s="155" t="s">
        <v>43</v>
      </c>
      <c r="F947" s="155" t="s">
        <v>39</v>
      </c>
    </row>
    <row r="948" ht="14.25" customHeight="1" spans="1:6">
      <c r="A948" s="153">
        <v>45139</v>
      </c>
      <c r="B948" s="154">
        <v>45144</v>
      </c>
      <c r="C948" s="155" t="s">
        <v>992</v>
      </c>
      <c r="D948" s="156" t="s">
        <v>129</v>
      </c>
      <c r="E948" s="155" t="s">
        <v>43</v>
      </c>
      <c r="F948" s="155" t="s">
        <v>35</v>
      </c>
    </row>
    <row r="949" ht="14.25" customHeight="1" spans="1:6">
      <c r="A949" s="153">
        <v>45139</v>
      </c>
      <c r="B949" s="154">
        <v>45144</v>
      </c>
      <c r="C949" s="155" t="s">
        <v>993</v>
      </c>
      <c r="D949" s="155" t="s">
        <v>45</v>
      </c>
      <c r="E949" s="155" t="s">
        <v>43</v>
      </c>
      <c r="F949" s="155" t="s">
        <v>39</v>
      </c>
    </row>
    <row r="950" ht="14.25" customHeight="1" spans="1:6">
      <c r="A950" s="153">
        <v>45139</v>
      </c>
      <c r="B950" s="154">
        <v>45144</v>
      </c>
      <c r="C950" s="155" t="s">
        <v>994</v>
      </c>
      <c r="D950" s="156" t="s">
        <v>129</v>
      </c>
      <c r="E950" s="155" t="s">
        <v>43</v>
      </c>
      <c r="F950" s="155" t="s">
        <v>39</v>
      </c>
    </row>
    <row r="951" ht="14.25" customHeight="1" spans="1:6">
      <c r="A951" s="153">
        <v>45139</v>
      </c>
      <c r="B951" s="154">
        <v>45144</v>
      </c>
      <c r="C951" s="155" t="s">
        <v>995</v>
      </c>
      <c r="D951" s="156" t="s">
        <v>129</v>
      </c>
      <c r="E951" s="155" t="s">
        <v>38</v>
      </c>
      <c r="F951" s="155" t="s">
        <v>39</v>
      </c>
    </row>
    <row r="952" ht="14.25" customHeight="1" spans="1:6">
      <c r="A952" s="153">
        <v>45139</v>
      </c>
      <c r="B952" s="154">
        <v>45144</v>
      </c>
      <c r="C952" s="155" t="s">
        <v>996</v>
      </c>
      <c r="D952" s="155" t="s">
        <v>42</v>
      </c>
      <c r="E952" s="155" t="s">
        <v>38</v>
      </c>
      <c r="F952" s="155" t="s">
        <v>35</v>
      </c>
    </row>
    <row r="953" ht="14.25" customHeight="1" spans="1:6">
      <c r="A953" s="153">
        <v>45139</v>
      </c>
      <c r="B953" s="154">
        <v>45144</v>
      </c>
      <c r="C953" s="155" t="s">
        <v>997</v>
      </c>
      <c r="D953" s="156" t="s">
        <v>45</v>
      </c>
      <c r="E953" s="155" t="s">
        <v>43</v>
      </c>
      <c r="F953" s="155" t="s">
        <v>57</v>
      </c>
    </row>
    <row r="954" ht="14.25" customHeight="1" spans="1:6">
      <c r="A954" s="153">
        <v>45139</v>
      </c>
      <c r="B954" s="154">
        <v>45144</v>
      </c>
      <c r="C954" s="155" t="s">
        <v>998</v>
      </c>
      <c r="D954" s="156" t="s">
        <v>129</v>
      </c>
      <c r="E954" s="155" t="s">
        <v>43</v>
      </c>
      <c r="F954" s="155" t="s">
        <v>39</v>
      </c>
    </row>
    <row r="955" ht="14.25" customHeight="1" spans="1:6">
      <c r="A955" s="153">
        <v>45139</v>
      </c>
      <c r="B955" s="154">
        <v>45144</v>
      </c>
      <c r="C955" s="155" t="s">
        <v>999</v>
      </c>
      <c r="D955" s="155" t="s">
        <v>62</v>
      </c>
      <c r="E955" s="155" t="s">
        <v>38</v>
      </c>
      <c r="F955" s="155" t="s">
        <v>39</v>
      </c>
    </row>
    <row r="956" ht="14.25" customHeight="1" spans="1:6">
      <c r="A956" s="153">
        <v>45139</v>
      </c>
      <c r="B956" s="154">
        <v>45144</v>
      </c>
      <c r="C956" s="155" t="s">
        <v>1000</v>
      </c>
      <c r="D956" s="155" t="s">
        <v>62</v>
      </c>
      <c r="E956" s="155" t="s">
        <v>43</v>
      </c>
      <c r="F956" s="155" t="s">
        <v>39</v>
      </c>
    </row>
    <row r="957" ht="14.25" customHeight="1" spans="1:6">
      <c r="A957" s="153">
        <v>45139</v>
      </c>
      <c r="B957" s="154">
        <v>45144</v>
      </c>
      <c r="C957" s="155" t="s">
        <v>1001</v>
      </c>
      <c r="D957" s="155" t="s">
        <v>45</v>
      </c>
      <c r="E957" s="155" t="s">
        <v>38</v>
      </c>
      <c r="F957" s="155" t="s">
        <v>39</v>
      </c>
    </row>
    <row r="958" ht="14.25" customHeight="1" spans="1:6">
      <c r="A958" s="153">
        <v>45139</v>
      </c>
      <c r="B958" s="154">
        <v>45144</v>
      </c>
      <c r="C958" s="155" t="s">
        <v>1002</v>
      </c>
      <c r="D958" s="155" t="s">
        <v>62</v>
      </c>
      <c r="E958" s="155" t="s">
        <v>38</v>
      </c>
      <c r="F958" s="155" t="s">
        <v>39</v>
      </c>
    </row>
    <row r="959" ht="14.25" customHeight="1" spans="1:6">
      <c r="A959" s="153">
        <v>45139</v>
      </c>
      <c r="B959" s="154">
        <v>45144</v>
      </c>
      <c r="C959" s="155" t="s">
        <v>1003</v>
      </c>
      <c r="D959" s="156" t="s">
        <v>37</v>
      </c>
      <c r="E959" s="155" t="s">
        <v>38</v>
      </c>
      <c r="F959" s="155" t="s">
        <v>39</v>
      </c>
    </row>
    <row r="960" ht="14.25" customHeight="1" spans="1:6">
      <c r="A960" s="153">
        <v>45139</v>
      </c>
      <c r="B960" s="154">
        <v>45144</v>
      </c>
      <c r="C960" s="155" t="s">
        <v>1004</v>
      </c>
      <c r="D960" s="155" t="s">
        <v>62</v>
      </c>
      <c r="E960" s="155" t="s">
        <v>43</v>
      </c>
      <c r="F960" s="155" t="s">
        <v>39</v>
      </c>
    </row>
    <row r="961" ht="14.25" customHeight="1" spans="1:6">
      <c r="A961" s="153">
        <v>45139</v>
      </c>
      <c r="B961" s="154">
        <v>45144</v>
      </c>
      <c r="C961" s="155" t="s">
        <v>1005</v>
      </c>
      <c r="D961" s="155" t="s">
        <v>33</v>
      </c>
      <c r="E961" s="155" t="s">
        <v>43</v>
      </c>
      <c r="F961" s="155" t="s">
        <v>57</v>
      </c>
    </row>
    <row r="962" ht="14.25" customHeight="1" spans="1:6">
      <c r="A962" s="153">
        <v>45139</v>
      </c>
      <c r="B962" s="154">
        <v>45144</v>
      </c>
      <c r="C962" s="155" t="s">
        <v>1006</v>
      </c>
      <c r="D962" s="155" t="s">
        <v>33</v>
      </c>
      <c r="E962" s="155" t="s">
        <v>38</v>
      </c>
      <c r="F962" s="155" t="s">
        <v>35</v>
      </c>
    </row>
    <row r="963" ht="14.25" customHeight="1" spans="1:6">
      <c r="A963" s="153">
        <v>45139</v>
      </c>
      <c r="B963" s="154">
        <v>45145</v>
      </c>
      <c r="C963" s="155" t="s">
        <v>1007</v>
      </c>
      <c r="D963" s="156" t="s">
        <v>45</v>
      </c>
      <c r="E963" s="155" t="s">
        <v>34</v>
      </c>
      <c r="F963" s="155" t="s">
        <v>39</v>
      </c>
    </row>
    <row r="964" ht="14.25" customHeight="1" spans="1:6">
      <c r="A964" s="153">
        <v>45139</v>
      </c>
      <c r="B964" s="154">
        <v>45145</v>
      </c>
      <c r="C964" s="155" t="s">
        <v>1008</v>
      </c>
      <c r="D964" s="156" t="s">
        <v>45</v>
      </c>
      <c r="E964" s="155" t="s">
        <v>34</v>
      </c>
      <c r="F964" s="155" t="s">
        <v>39</v>
      </c>
    </row>
    <row r="965" ht="14.25" customHeight="1" spans="1:6">
      <c r="A965" s="153">
        <v>45139</v>
      </c>
      <c r="B965" s="154">
        <v>45145</v>
      </c>
      <c r="C965" s="155" t="s">
        <v>1009</v>
      </c>
      <c r="D965" s="155" t="s">
        <v>47</v>
      </c>
      <c r="E965" s="155" t="s">
        <v>34</v>
      </c>
      <c r="F965" s="155" t="s">
        <v>39</v>
      </c>
    </row>
    <row r="966" ht="14.25" customHeight="1" spans="1:6">
      <c r="A966" s="153">
        <v>45139</v>
      </c>
      <c r="B966" s="154">
        <v>45147</v>
      </c>
      <c r="C966" s="155" t="s">
        <v>1010</v>
      </c>
      <c r="D966" s="155" t="s">
        <v>33</v>
      </c>
      <c r="E966" s="155" t="s">
        <v>34</v>
      </c>
      <c r="F966" s="155" t="s">
        <v>39</v>
      </c>
    </row>
    <row r="967" ht="14.25" customHeight="1" spans="1:6">
      <c r="A967" s="153">
        <v>45139</v>
      </c>
      <c r="B967" s="154">
        <v>45147</v>
      </c>
      <c r="C967" s="155" t="s">
        <v>1011</v>
      </c>
      <c r="D967" s="155" t="s">
        <v>62</v>
      </c>
      <c r="E967" s="155" t="s">
        <v>34</v>
      </c>
      <c r="F967" s="155" t="s">
        <v>39</v>
      </c>
    </row>
    <row r="968" ht="14.25" customHeight="1" spans="1:6">
      <c r="A968" s="153">
        <v>45139</v>
      </c>
      <c r="B968" s="154">
        <v>45149</v>
      </c>
      <c r="C968" s="155" t="s">
        <v>1012</v>
      </c>
      <c r="D968" s="156" t="s">
        <v>45</v>
      </c>
      <c r="E968" s="155" t="s">
        <v>34</v>
      </c>
      <c r="F968" s="155" t="s">
        <v>57</v>
      </c>
    </row>
    <row r="969" ht="14.25" customHeight="1" spans="1:6">
      <c r="A969" s="153">
        <v>45139</v>
      </c>
      <c r="B969" s="154">
        <v>45150</v>
      </c>
      <c r="C969" s="155" t="s">
        <v>1013</v>
      </c>
      <c r="D969" s="156" t="s">
        <v>45</v>
      </c>
      <c r="E969" s="155" t="s">
        <v>34</v>
      </c>
      <c r="F969" s="155" t="s">
        <v>35</v>
      </c>
    </row>
    <row r="970" ht="14.25" customHeight="1" spans="1:6">
      <c r="A970" s="153">
        <v>45139</v>
      </c>
      <c r="B970" s="154">
        <v>45150</v>
      </c>
      <c r="C970" s="155" t="s">
        <v>1014</v>
      </c>
      <c r="D970" s="155" t="s">
        <v>62</v>
      </c>
      <c r="E970" s="155" t="s">
        <v>34</v>
      </c>
      <c r="F970" s="155" t="s">
        <v>39</v>
      </c>
    </row>
    <row r="971" ht="14.25" customHeight="1" spans="1:6">
      <c r="A971" s="153">
        <v>45139</v>
      </c>
      <c r="B971" s="154">
        <v>45150</v>
      </c>
      <c r="C971" s="155" t="s">
        <v>1015</v>
      </c>
      <c r="D971" s="155" t="s">
        <v>33</v>
      </c>
      <c r="E971" s="155" t="s">
        <v>34</v>
      </c>
      <c r="F971" s="155" t="s">
        <v>35</v>
      </c>
    </row>
    <row r="972" ht="14.25" customHeight="1" spans="1:6">
      <c r="A972" s="153">
        <v>45139</v>
      </c>
      <c r="B972" s="154">
        <v>45152</v>
      </c>
      <c r="C972" s="155" t="s">
        <v>1016</v>
      </c>
      <c r="D972" s="155" t="s">
        <v>33</v>
      </c>
      <c r="E972" s="155" t="s">
        <v>34</v>
      </c>
      <c r="F972" s="155" t="s">
        <v>39</v>
      </c>
    </row>
    <row r="973" ht="14.25" customHeight="1" spans="1:6">
      <c r="A973" s="153">
        <v>45139</v>
      </c>
      <c r="B973" s="154">
        <v>45154</v>
      </c>
      <c r="C973" s="155" t="s">
        <v>1017</v>
      </c>
      <c r="D973" s="156" t="s">
        <v>45</v>
      </c>
      <c r="E973" s="155" t="s">
        <v>34</v>
      </c>
      <c r="F973" s="155" t="s">
        <v>35</v>
      </c>
    </row>
    <row r="974" ht="14.25" customHeight="1" spans="1:6">
      <c r="A974" s="153">
        <v>45140</v>
      </c>
      <c r="B974" s="154">
        <v>45155</v>
      </c>
      <c r="C974" s="155" t="s">
        <v>1018</v>
      </c>
      <c r="D974" s="158" t="s">
        <v>129</v>
      </c>
      <c r="E974" s="155" t="s">
        <v>38</v>
      </c>
      <c r="F974" s="155" t="s">
        <v>39</v>
      </c>
    </row>
    <row r="975" ht="14.25" customHeight="1" spans="1:6">
      <c r="A975" s="153">
        <v>45141</v>
      </c>
      <c r="B975" s="154">
        <v>45156</v>
      </c>
      <c r="C975" s="155" t="s">
        <v>1019</v>
      </c>
      <c r="D975" s="158" t="s">
        <v>129</v>
      </c>
      <c r="E975" s="155" t="s">
        <v>34</v>
      </c>
      <c r="F975" s="155" t="s">
        <v>35</v>
      </c>
    </row>
    <row r="976" ht="14.25" customHeight="1" spans="1:6">
      <c r="A976" s="153">
        <v>45142</v>
      </c>
      <c r="B976" s="154">
        <v>45157</v>
      </c>
      <c r="C976" s="155" t="s">
        <v>1020</v>
      </c>
      <c r="D976" s="158" t="s">
        <v>129</v>
      </c>
      <c r="E976" s="155" t="s">
        <v>38</v>
      </c>
      <c r="F976" s="157" t="s">
        <v>39</v>
      </c>
    </row>
    <row r="977" ht="14.25" customHeight="1" spans="1:6">
      <c r="A977" s="153">
        <v>45143</v>
      </c>
      <c r="B977" s="154">
        <v>45158</v>
      </c>
      <c r="C977" s="155" t="s">
        <v>1021</v>
      </c>
      <c r="D977" s="158" t="s">
        <v>129</v>
      </c>
      <c r="E977" s="155" t="s">
        <v>34</v>
      </c>
      <c r="F977" s="155" t="s">
        <v>35</v>
      </c>
    </row>
    <row r="978" ht="14.25" customHeight="1" spans="1:6">
      <c r="A978" s="153">
        <v>45144</v>
      </c>
      <c r="B978" s="154">
        <v>45159</v>
      </c>
      <c r="C978" s="155" t="s">
        <v>1022</v>
      </c>
      <c r="D978" s="156" t="s">
        <v>129</v>
      </c>
      <c r="E978" s="155" t="s">
        <v>38</v>
      </c>
      <c r="F978" s="155" t="s">
        <v>39</v>
      </c>
    </row>
    <row r="979" ht="14.25" customHeight="1" spans="1:6">
      <c r="A979" s="153">
        <v>45145</v>
      </c>
      <c r="B979" s="154">
        <v>45160</v>
      </c>
      <c r="C979" s="155" t="s">
        <v>1023</v>
      </c>
      <c r="D979" s="156" t="s">
        <v>129</v>
      </c>
      <c r="E979" s="155" t="s">
        <v>34</v>
      </c>
      <c r="F979" s="155" t="s">
        <v>35</v>
      </c>
    </row>
    <row r="980" ht="14.25" customHeight="1" spans="1:6">
      <c r="A980" s="153">
        <v>45146</v>
      </c>
      <c r="B980" s="154">
        <v>45161</v>
      </c>
      <c r="C980" s="155" t="s">
        <v>1024</v>
      </c>
      <c r="D980" s="158" t="s">
        <v>129</v>
      </c>
      <c r="E980" s="155" t="s">
        <v>38</v>
      </c>
      <c r="F980" s="155" t="s">
        <v>57</v>
      </c>
    </row>
    <row r="981" ht="14.25" customHeight="1" spans="1:6">
      <c r="A981" s="153">
        <v>45147</v>
      </c>
      <c r="B981" s="154">
        <v>45162</v>
      </c>
      <c r="C981" s="155" t="s">
        <v>1025</v>
      </c>
      <c r="D981" s="158" t="s">
        <v>129</v>
      </c>
      <c r="E981" s="155" t="s">
        <v>34</v>
      </c>
      <c r="F981" s="155" t="s">
        <v>39</v>
      </c>
    </row>
    <row r="982" ht="14.25" customHeight="1" spans="1:6">
      <c r="A982" s="153">
        <v>45148</v>
      </c>
      <c r="B982" s="154">
        <v>45163</v>
      </c>
      <c r="C982" s="155" t="s">
        <v>1026</v>
      </c>
      <c r="D982" s="156" t="s">
        <v>129</v>
      </c>
      <c r="E982" s="155" t="s">
        <v>38</v>
      </c>
      <c r="F982" s="155" t="s">
        <v>39</v>
      </c>
    </row>
    <row r="983" ht="14.25" customHeight="1" spans="1:6">
      <c r="A983" s="153">
        <v>45149</v>
      </c>
      <c r="B983" s="154">
        <v>45164</v>
      </c>
      <c r="C983" s="155" t="s">
        <v>1027</v>
      </c>
      <c r="D983" s="156" t="s">
        <v>129</v>
      </c>
      <c r="E983" s="155" t="s">
        <v>34</v>
      </c>
      <c r="F983" s="155" t="s">
        <v>39</v>
      </c>
    </row>
    <row r="984" ht="14.25" customHeight="1" spans="1:6">
      <c r="A984" s="153">
        <v>45150</v>
      </c>
      <c r="B984" s="154">
        <v>45165</v>
      </c>
      <c r="C984" s="155" t="s">
        <v>1028</v>
      </c>
      <c r="D984" s="158" t="s">
        <v>129</v>
      </c>
      <c r="E984" s="155" t="s">
        <v>38</v>
      </c>
      <c r="F984" s="155" t="s">
        <v>35</v>
      </c>
    </row>
    <row r="985" ht="14.25" customHeight="1" spans="1:6">
      <c r="A985" s="153">
        <v>45151</v>
      </c>
      <c r="B985" s="154">
        <v>45166</v>
      </c>
      <c r="C985" s="155" t="s">
        <v>1029</v>
      </c>
      <c r="D985" s="158" t="s">
        <v>129</v>
      </c>
      <c r="E985" s="155" t="s">
        <v>34</v>
      </c>
      <c r="F985" s="155" t="s">
        <v>57</v>
      </c>
    </row>
    <row r="986" ht="14.25" customHeight="1" spans="1:6">
      <c r="A986" s="153">
        <v>45152</v>
      </c>
      <c r="B986" s="154">
        <v>45154</v>
      </c>
      <c r="C986" s="155" t="s">
        <v>1030</v>
      </c>
      <c r="D986" s="156" t="s">
        <v>45</v>
      </c>
      <c r="E986" s="155" t="s">
        <v>34</v>
      </c>
      <c r="F986" s="155" t="s">
        <v>35</v>
      </c>
    </row>
    <row r="987" ht="14.25" customHeight="1" spans="1:6">
      <c r="A987" s="153">
        <v>45139</v>
      </c>
      <c r="B987" s="154">
        <v>45156</v>
      </c>
      <c r="C987" s="155" t="s">
        <v>1031</v>
      </c>
      <c r="D987" s="156" t="s">
        <v>45</v>
      </c>
      <c r="E987" s="155" t="s">
        <v>34</v>
      </c>
      <c r="F987" s="155" t="s">
        <v>35</v>
      </c>
    </row>
    <row r="988" ht="14.25" customHeight="1" spans="1:6">
      <c r="A988" s="153">
        <v>45139</v>
      </c>
      <c r="B988" s="154">
        <v>45161</v>
      </c>
      <c r="C988" s="155" t="s">
        <v>1032</v>
      </c>
      <c r="D988" s="155" t="s">
        <v>42</v>
      </c>
      <c r="E988" s="155" t="s">
        <v>34</v>
      </c>
      <c r="F988" s="155" t="s">
        <v>35</v>
      </c>
    </row>
    <row r="989" ht="14.25" customHeight="1" spans="1:6">
      <c r="A989" s="153">
        <v>45139</v>
      </c>
      <c r="B989" s="154">
        <v>45168</v>
      </c>
      <c r="C989" s="155" t="s">
        <v>1033</v>
      </c>
      <c r="D989" s="155" t="s">
        <v>42</v>
      </c>
      <c r="E989" s="155" t="s">
        <v>34</v>
      </c>
      <c r="F989" s="155" t="s">
        <v>39</v>
      </c>
    </row>
    <row r="990" ht="14.25" customHeight="1" spans="1:6">
      <c r="A990" s="153">
        <v>45139</v>
      </c>
      <c r="B990" s="154">
        <v>45169</v>
      </c>
      <c r="C990" s="155" t="s">
        <v>1034</v>
      </c>
      <c r="D990" s="155" t="s">
        <v>62</v>
      </c>
      <c r="E990" s="155" t="s">
        <v>34</v>
      </c>
      <c r="F990" s="155" t="s">
        <v>39</v>
      </c>
    </row>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row r="1005" ht="14.25" customHeight="1"/>
    <row r="1006" ht="14.25" customHeight="1"/>
    <row r="1007" ht="14.25" customHeight="1"/>
    <row r="1008" ht="14.25" customHeight="1"/>
    <row r="1009" ht="14.25" customHeight="1"/>
    <row r="1010" ht="14.25" customHeight="1"/>
    <row r="1011" ht="14.25" customHeight="1"/>
    <row r="1012" ht="14.25" customHeight="1"/>
  </sheetData>
  <autoFilter ref="A1:F990">
    <extLst/>
  </autoFilter>
  <pageMargins left="0.7" right="0.7" top="0.75" bottom="0.75" header="0" footer="0"/>
  <pageSetup paperSize="1" orientation="landscape"/>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9"/>
  </sheetPr>
  <dimension ref="A1:V1000"/>
  <sheetViews>
    <sheetView showGridLines="0" workbookViewId="0">
      <selection activeCell="A1" sqref="A1"/>
    </sheetView>
  </sheetViews>
  <sheetFormatPr defaultColWidth="14.4285714285714" defaultRowHeight="15" customHeight="1"/>
  <cols>
    <col min="1" max="1" width="3.71428571428571" customWidth="1"/>
    <col min="2" max="2" width="10.4285714285714" customWidth="1"/>
    <col min="3" max="10" width="9.14285714285714" customWidth="1"/>
    <col min="11" max="11" width="20.8571428571429" customWidth="1"/>
    <col min="12" max="22" width="9.14285714285714" customWidth="1"/>
  </cols>
  <sheetData>
    <row r="1" ht="13.5" customHeight="1" spans="1:22">
      <c r="A1" s="20"/>
      <c r="B1" s="126" t="s">
        <v>1035</v>
      </c>
      <c r="C1" s="126"/>
      <c r="D1" s="126"/>
      <c r="E1" s="126"/>
      <c r="F1" s="126"/>
      <c r="G1" s="126"/>
      <c r="H1" s="126"/>
      <c r="I1" s="126"/>
      <c r="J1" s="126"/>
      <c r="K1" s="126"/>
      <c r="L1" s="20"/>
      <c r="M1" s="20"/>
      <c r="N1" s="20"/>
      <c r="O1" s="20"/>
      <c r="P1" s="20"/>
      <c r="Q1" s="20"/>
      <c r="R1" s="20"/>
      <c r="S1" s="20"/>
      <c r="T1" s="20"/>
      <c r="U1" s="20"/>
      <c r="V1" s="20"/>
    </row>
    <row r="2" ht="13.5" customHeight="1" spans="1:22">
      <c r="A2" s="20"/>
      <c r="B2" s="20"/>
      <c r="C2" s="20"/>
      <c r="D2" s="20"/>
      <c r="E2" s="20"/>
      <c r="F2" s="20"/>
      <c r="G2" s="20"/>
      <c r="H2" s="20"/>
      <c r="I2" s="20"/>
      <c r="J2" s="20"/>
      <c r="K2" s="20"/>
      <c r="L2" s="20"/>
      <c r="M2" s="20"/>
      <c r="N2" s="20"/>
      <c r="O2" s="20"/>
      <c r="P2" s="20"/>
      <c r="Q2" s="20"/>
      <c r="R2" s="20"/>
      <c r="S2" s="20"/>
      <c r="T2" s="20"/>
      <c r="U2" s="20"/>
      <c r="V2" s="20"/>
    </row>
    <row r="3" ht="13.5" customHeight="1" spans="1:22">
      <c r="A3" s="20"/>
      <c r="B3" s="127" t="s">
        <v>1036</v>
      </c>
      <c r="C3" s="128"/>
      <c r="D3" s="128"/>
      <c r="E3" s="128"/>
      <c r="F3" s="128"/>
      <c r="G3" s="128"/>
      <c r="H3" s="128"/>
      <c r="I3" s="128"/>
      <c r="J3" s="141" t="s">
        <v>1037</v>
      </c>
      <c r="K3" s="142"/>
      <c r="L3" s="20"/>
      <c r="M3" s="20"/>
      <c r="N3" s="20"/>
      <c r="O3" s="20"/>
      <c r="P3" s="20"/>
      <c r="Q3" s="20"/>
      <c r="R3" s="20"/>
      <c r="S3" s="20"/>
      <c r="T3" s="20"/>
      <c r="U3" s="20"/>
      <c r="V3" s="20"/>
    </row>
    <row r="4" ht="13.5" customHeight="1" spans="1:22">
      <c r="A4" s="20"/>
      <c r="B4" s="129" t="s">
        <v>1038</v>
      </c>
      <c r="C4" s="130"/>
      <c r="D4" s="130"/>
      <c r="E4" s="130"/>
      <c r="F4" s="130"/>
      <c r="G4" s="130"/>
      <c r="H4" s="130"/>
      <c r="I4" s="130"/>
      <c r="J4" s="20">
        <f>COUNTIFS(C9:C58,"",D9:D58,"",E9:E58,"")</f>
        <v>7</v>
      </c>
      <c r="K4" s="143"/>
      <c r="L4" s="20"/>
      <c r="M4" s="20"/>
      <c r="N4" s="20"/>
      <c r="O4" s="20"/>
      <c r="P4" s="20"/>
      <c r="Q4" s="20"/>
      <c r="R4" s="20"/>
      <c r="S4" s="20"/>
      <c r="T4" s="20"/>
      <c r="U4" s="20"/>
      <c r="V4" s="20"/>
    </row>
    <row r="5" ht="13.5" customHeight="1" spans="1:22">
      <c r="A5" s="20"/>
      <c r="B5" s="129" t="s">
        <v>1039</v>
      </c>
      <c r="C5" s="130"/>
      <c r="D5" s="130"/>
      <c r="E5" s="130"/>
      <c r="F5" s="130"/>
      <c r="G5" s="130"/>
      <c r="H5" s="130"/>
      <c r="I5" s="130"/>
      <c r="J5" s="144">
        <f>COUNTIFS(C9:C58,"&lt;&gt;",D9:D58,"&lt;&gt;",E9:E58,"")+COUNTIFS(C9:C58,"&lt;&gt;",D9:D58,"",E9:E58,"&lt;&gt;")+COUNTIFS(C9:C58,"",D9:D58,"&lt;&gt;",E9:E58,"&lt;&gt;")</f>
        <v>8</v>
      </c>
      <c r="K5" s="143"/>
      <c r="L5" s="20"/>
      <c r="M5" s="20"/>
      <c r="N5" s="20"/>
      <c r="O5" s="20"/>
      <c r="P5" s="20"/>
      <c r="Q5" s="20"/>
      <c r="R5" s="20"/>
      <c r="S5" s="20"/>
      <c r="T5" s="20"/>
      <c r="U5" s="20"/>
      <c r="V5" s="20"/>
    </row>
    <row r="6" ht="13.5" customHeight="1" spans="1:22">
      <c r="A6" s="20"/>
      <c r="B6" s="131" t="s">
        <v>1040</v>
      </c>
      <c r="C6" s="132"/>
      <c r="D6" s="132"/>
      <c r="E6" s="132"/>
      <c r="F6" s="132"/>
      <c r="G6" s="132"/>
      <c r="H6" s="132"/>
      <c r="I6" s="132"/>
      <c r="J6" s="145">
        <f>COUNTIFS(C9:C58,"R",D9:D58,"",E9:E58,"")+COUNTIFS(C9:C58,"",D9:D58,"R",E9:E58,"")+COUNTIFS(C9:C58,"",D9:D58,"",E9:E58,"R")+COUNTIFS(C9:C58,"",D9:D58,"",E9:E58,"")</f>
        <v>29</v>
      </c>
      <c r="K6" s="146"/>
      <c r="L6" s="20"/>
      <c r="M6" s="20"/>
      <c r="N6" s="20"/>
      <c r="O6" s="20"/>
      <c r="P6" s="20"/>
      <c r="Q6" s="20"/>
      <c r="R6" s="20"/>
      <c r="S6" s="20"/>
      <c r="T6" s="20"/>
      <c r="U6" s="20"/>
      <c r="V6" s="20"/>
    </row>
    <row r="7" ht="13.5" customHeight="1" spans="1:22">
      <c r="A7" s="20"/>
      <c r="B7" s="20"/>
      <c r="C7" s="20"/>
      <c r="D7" s="20"/>
      <c r="E7" s="20"/>
      <c r="F7" s="20"/>
      <c r="G7" s="20"/>
      <c r="H7" s="20"/>
      <c r="I7" s="20"/>
      <c r="J7" s="20"/>
      <c r="K7" s="20"/>
      <c r="L7" s="20"/>
      <c r="M7" s="20"/>
      <c r="N7" s="20"/>
      <c r="O7" s="20"/>
      <c r="P7" s="20"/>
      <c r="Q7" s="20"/>
      <c r="R7" s="20"/>
      <c r="S7" s="20"/>
      <c r="T7" s="20"/>
      <c r="U7" s="20"/>
      <c r="V7" s="20"/>
    </row>
    <row r="8" ht="13.5" customHeight="1" spans="1:22">
      <c r="A8" s="20"/>
      <c r="B8" s="133" t="s">
        <v>1041</v>
      </c>
      <c r="C8" s="133" t="s">
        <v>1042</v>
      </c>
      <c r="D8" s="133" t="s">
        <v>1043</v>
      </c>
      <c r="E8" s="134" t="s">
        <v>1044</v>
      </c>
      <c r="F8" s="20"/>
      <c r="G8" s="135" t="s">
        <v>1045</v>
      </c>
      <c r="H8" s="135"/>
      <c r="I8" s="135"/>
      <c r="J8" s="135"/>
      <c r="K8" s="135"/>
      <c r="L8" s="20"/>
      <c r="M8" s="20"/>
      <c r="N8" s="20"/>
      <c r="O8" s="20"/>
      <c r="P8" s="20"/>
      <c r="Q8" s="20"/>
      <c r="R8" s="20"/>
      <c r="S8" s="20"/>
      <c r="T8" s="20"/>
      <c r="U8" s="20"/>
      <c r="V8" s="20"/>
    </row>
    <row r="9" ht="13.5" customHeight="1" spans="1:22">
      <c r="A9" s="20"/>
      <c r="B9" s="136" t="s">
        <v>1046</v>
      </c>
      <c r="C9" s="137" t="s">
        <v>1047</v>
      </c>
      <c r="D9" s="137" t="s">
        <v>1048</v>
      </c>
      <c r="E9" s="138"/>
      <c r="G9" s="139" t="s">
        <v>1049</v>
      </c>
      <c r="H9" s="139"/>
      <c r="I9" s="139"/>
      <c r="J9" s="139"/>
      <c r="K9" s="139"/>
      <c r="L9" s="147"/>
      <c r="M9" s="20"/>
      <c r="N9" s="20"/>
      <c r="O9" s="20"/>
      <c r="P9" s="20"/>
      <c r="Q9" s="20"/>
      <c r="R9" s="20"/>
      <c r="S9" s="20"/>
      <c r="T9" s="20"/>
      <c r="U9" s="20"/>
      <c r="V9" s="20"/>
    </row>
    <row r="10" ht="13.5" customHeight="1" spans="1:22">
      <c r="A10" s="20"/>
      <c r="B10" s="136" t="s">
        <v>1050</v>
      </c>
      <c r="C10" s="137"/>
      <c r="D10" s="137" t="s">
        <v>1047</v>
      </c>
      <c r="E10" s="138"/>
      <c r="F10" s="20"/>
      <c r="G10" s="140" t="s">
        <v>1051</v>
      </c>
      <c r="H10" s="140"/>
      <c r="I10" s="140"/>
      <c r="J10" s="140"/>
      <c r="K10" s="140"/>
      <c r="L10" s="20"/>
      <c r="M10" s="20"/>
      <c r="N10" s="20"/>
      <c r="O10" s="20"/>
      <c r="P10" s="20"/>
      <c r="Q10" s="20"/>
      <c r="R10" s="20"/>
      <c r="S10" s="20"/>
      <c r="T10" s="20"/>
      <c r="U10" s="20"/>
      <c r="V10" s="20"/>
    </row>
    <row r="11" ht="13.5" customHeight="1" spans="1:22">
      <c r="A11" s="20"/>
      <c r="B11" s="136" t="s">
        <v>1052</v>
      </c>
      <c r="C11" s="137" t="s">
        <v>1048</v>
      </c>
      <c r="D11" s="137"/>
      <c r="E11" s="138"/>
      <c r="F11" s="20"/>
      <c r="G11" s="20"/>
      <c r="H11" s="20"/>
      <c r="I11" s="20"/>
      <c r="J11" s="20"/>
      <c r="K11" s="20"/>
      <c r="L11" s="20"/>
      <c r="M11" s="20"/>
      <c r="N11" s="20"/>
      <c r="O11" s="20"/>
      <c r="P11" s="20"/>
      <c r="Q11" s="20"/>
      <c r="R11" s="20"/>
      <c r="S11" s="20"/>
      <c r="T11" s="20"/>
      <c r="U11" s="20"/>
      <c r="V11" s="20"/>
    </row>
    <row r="12" ht="13.5" customHeight="1" spans="1:22">
      <c r="A12" s="20"/>
      <c r="B12" s="136" t="s">
        <v>1053</v>
      </c>
      <c r="C12" s="137" t="s">
        <v>1047</v>
      </c>
      <c r="D12" s="137" t="s">
        <v>1048</v>
      </c>
      <c r="E12" s="138"/>
      <c r="F12" s="20"/>
      <c r="G12" s="20"/>
      <c r="H12" s="20"/>
      <c r="I12" s="20"/>
      <c r="J12" s="20"/>
      <c r="K12" s="20"/>
      <c r="L12" s="20"/>
      <c r="M12" s="20"/>
      <c r="N12" s="20"/>
      <c r="O12" s="20"/>
      <c r="P12" s="20"/>
      <c r="Q12" s="20"/>
      <c r="R12" s="20"/>
      <c r="S12" s="20"/>
      <c r="T12" s="20"/>
      <c r="U12" s="20"/>
      <c r="V12" s="20"/>
    </row>
    <row r="13" ht="13.5" customHeight="1" spans="1:22">
      <c r="A13" s="20"/>
      <c r="B13" s="136" t="s">
        <v>1054</v>
      </c>
      <c r="C13" s="137"/>
      <c r="D13" s="137"/>
      <c r="E13" s="138" t="s">
        <v>1048</v>
      </c>
      <c r="F13" s="20"/>
      <c r="G13" s="96"/>
      <c r="H13" s="20"/>
      <c r="I13" s="20"/>
      <c r="J13" s="148"/>
      <c r="K13" s="20"/>
      <c r="L13" s="96"/>
      <c r="M13" s="20"/>
      <c r="N13" s="20"/>
      <c r="O13" s="20"/>
      <c r="P13" s="20"/>
      <c r="Q13" s="20"/>
      <c r="R13" s="20"/>
      <c r="S13" s="20"/>
      <c r="T13" s="20"/>
      <c r="U13" s="20"/>
      <c r="V13" s="20"/>
    </row>
    <row r="14" ht="13.5" customHeight="1" spans="1:22">
      <c r="A14" s="20"/>
      <c r="B14" s="136" t="s">
        <v>1055</v>
      </c>
      <c r="C14" s="137"/>
      <c r="D14" s="137" t="s">
        <v>1047</v>
      </c>
      <c r="E14" s="138"/>
      <c r="F14" s="20"/>
      <c r="G14" s="20"/>
      <c r="H14" s="96"/>
      <c r="I14" s="20"/>
      <c r="J14" s="20"/>
      <c r="K14" s="20"/>
      <c r="L14" s="20"/>
      <c r="M14" s="20"/>
      <c r="N14" s="20"/>
      <c r="O14" s="20"/>
      <c r="P14" s="20"/>
      <c r="Q14" s="20"/>
      <c r="R14" s="20"/>
      <c r="S14" s="20"/>
      <c r="T14" s="20"/>
      <c r="U14" s="20"/>
      <c r="V14" s="20"/>
    </row>
    <row r="15" ht="13.5" customHeight="1" spans="1:22">
      <c r="A15" s="20"/>
      <c r="B15" s="136" t="s">
        <v>1056</v>
      </c>
      <c r="C15" s="137"/>
      <c r="D15" s="137"/>
      <c r="E15" s="138" t="s">
        <v>1047</v>
      </c>
      <c r="F15" s="20"/>
      <c r="G15" s="20"/>
      <c r="I15" s="96"/>
      <c r="J15" s="20"/>
      <c r="K15" s="20"/>
      <c r="L15" s="20"/>
      <c r="M15" s="20"/>
      <c r="N15" s="20"/>
      <c r="O15" s="20"/>
      <c r="P15" s="20"/>
      <c r="Q15" s="20"/>
      <c r="R15" s="20"/>
      <c r="S15" s="20"/>
      <c r="T15" s="20"/>
      <c r="U15" s="20"/>
      <c r="V15" s="20"/>
    </row>
    <row r="16" ht="13.5" customHeight="1" spans="1:22">
      <c r="A16" s="20"/>
      <c r="B16" s="136" t="s">
        <v>1057</v>
      </c>
      <c r="C16" s="137"/>
      <c r="D16" s="137"/>
      <c r="E16" s="138"/>
      <c r="F16" s="20"/>
      <c r="G16" s="20"/>
      <c r="H16" s="20"/>
      <c r="I16" s="96"/>
      <c r="J16" s="20"/>
      <c r="K16" s="20"/>
      <c r="L16" s="20"/>
      <c r="M16" s="20"/>
      <c r="N16" s="20"/>
      <c r="O16" s="20"/>
      <c r="P16" s="96"/>
      <c r="Q16" s="20"/>
      <c r="R16" s="20"/>
      <c r="S16" s="20"/>
      <c r="T16" s="20"/>
      <c r="U16" s="20"/>
      <c r="V16" s="20"/>
    </row>
    <row r="17" ht="13.5" customHeight="1" spans="1:22">
      <c r="A17" s="20"/>
      <c r="B17" s="136" t="s">
        <v>1058</v>
      </c>
      <c r="C17" s="137"/>
      <c r="D17" s="137" t="s">
        <v>1047</v>
      </c>
      <c r="E17" s="138"/>
      <c r="F17" s="20"/>
      <c r="G17" s="20"/>
      <c r="H17" s="20"/>
      <c r="I17" s="96"/>
      <c r="J17" s="20"/>
      <c r="K17" s="149"/>
      <c r="L17" s="20"/>
      <c r="M17" s="20"/>
      <c r="N17" s="20"/>
      <c r="O17" s="20"/>
      <c r="P17" s="96"/>
      <c r="Q17" s="20"/>
      <c r="R17" s="20"/>
      <c r="S17" s="20"/>
      <c r="T17" s="20"/>
      <c r="U17" s="20"/>
      <c r="V17" s="20"/>
    </row>
    <row r="18" ht="13.5" customHeight="1" spans="1:22">
      <c r="A18" s="20"/>
      <c r="B18" s="136" t="s">
        <v>1059</v>
      </c>
      <c r="C18" s="137"/>
      <c r="D18" s="137"/>
      <c r="E18" s="138" t="s">
        <v>1048</v>
      </c>
      <c r="F18" s="20"/>
      <c r="G18" s="20"/>
      <c r="H18" s="20"/>
      <c r="I18" s="96"/>
      <c r="J18" s="20"/>
      <c r="K18" s="20"/>
      <c r="L18" s="20"/>
      <c r="M18" s="20"/>
      <c r="N18" s="20"/>
      <c r="O18" s="20"/>
      <c r="P18" s="20"/>
      <c r="Q18" s="20"/>
      <c r="R18" s="20"/>
      <c r="S18" s="20"/>
      <c r="T18" s="20"/>
      <c r="U18" s="20"/>
      <c r="V18" s="20"/>
    </row>
    <row r="19" ht="13.5" customHeight="1" spans="1:22">
      <c r="A19" s="20"/>
      <c r="B19" s="136" t="s">
        <v>1060</v>
      </c>
      <c r="C19" s="137"/>
      <c r="D19" s="137"/>
      <c r="E19" s="138" t="s">
        <v>1047</v>
      </c>
      <c r="F19" s="20"/>
      <c r="G19" s="20"/>
      <c r="H19" s="20"/>
      <c r="I19" s="96"/>
      <c r="J19" s="20"/>
      <c r="K19" s="20"/>
      <c r="L19" s="20"/>
      <c r="M19" s="20"/>
      <c r="N19" s="20"/>
      <c r="O19" s="20"/>
      <c r="P19" s="20"/>
      <c r="Q19" s="20"/>
      <c r="R19" s="20"/>
      <c r="S19" s="20"/>
      <c r="T19" s="20"/>
      <c r="U19" s="20"/>
      <c r="V19" s="20"/>
    </row>
    <row r="20" ht="13.5" customHeight="1" spans="1:22">
      <c r="A20" s="20"/>
      <c r="B20" s="136" t="s">
        <v>1061</v>
      </c>
      <c r="C20" s="137" t="s">
        <v>1048</v>
      </c>
      <c r="D20" s="137"/>
      <c r="E20" s="138"/>
      <c r="F20" s="20"/>
      <c r="G20" s="20"/>
      <c r="H20" s="20"/>
      <c r="I20" s="96"/>
      <c r="J20" s="20"/>
      <c r="K20" s="20"/>
      <c r="L20" s="20"/>
      <c r="M20" s="20"/>
      <c r="N20" s="20"/>
      <c r="O20" s="20"/>
      <c r="P20" s="20"/>
      <c r="Q20" s="20"/>
      <c r="R20" s="20"/>
      <c r="S20" s="20"/>
      <c r="T20" s="20"/>
      <c r="U20" s="20"/>
      <c r="V20" s="20"/>
    </row>
    <row r="21" ht="13.5" customHeight="1" spans="1:22">
      <c r="A21" s="20"/>
      <c r="B21" s="136" t="s">
        <v>1062</v>
      </c>
      <c r="C21" s="137"/>
      <c r="D21" s="137" t="s">
        <v>1047</v>
      </c>
      <c r="E21" s="138"/>
      <c r="F21" s="20"/>
      <c r="G21" s="20"/>
      <c r="H21" s="20"/>
      <c r="I21" s="20"/>
      <c r="J21" s="96"/>
      <c r="K21" s="20"/>
      <c r="L21" s="20"/>
      <c r="M21" s="20"/>
      <c r="N21" s="20"/>
      <c r="O21" s="20"/>
      <c r="P21" s="20"/>
      <c r="Q21" s="20"/>
      <c r="R21" s="20"/>
      <c r="S21" s="20"/>
      <c r="T21" s="20"/>
      <c r="U21" s="20"/>
      <c r="V21" s="20"/>
    </row>
    <row r="22" ht="13.5" customHeight="1" spans="1:22">
      <c r="A22" s="20"/>
      <c r="B22" s="136" t="s">
        <v>1063</v>
      </c>
      <c r="C22" s="137"/>
      <c r="D22" s="137"/>
      <c r="E22" s="138" t="s">
        <v>1048</v>
      </c>
      <c r="F22" s="20"/>
      <c r="G22" s="20"/>
      <c r="H22" s="20"/>
      <c r="I22" s="20"/>
      <c r="J22" s="96"/>
      <c r="K22" s="20"/>
      <c r="L22" s="20"/>
      <c r="M22" s="20"/>
      <c r="N22" s="20"/>
      <c r="O22" s="20"/>
      <c r="P22" s="20"/>
      <c r="Q22" s="20"/>
      <c r="R22" s="20"/>
      <c r="S22" s="20"/>
      <c r="T22" s="20"/>
      <c r="U22" s="20"/>
      <c r="V22" s="20"/>
    </row>
    <row r="23" ht="13.5" customHeight="1" spans="1:22">
      <c r="A23" s="20"/>
      <c r="B23" s="136" t="s">
        <v>1064</v>
      </c>
      <c r="C23" s="137"/>
      <c r="D23" s="137" t="s">
        <v>1048</v>
      </c>
      <c r="E23" s="138"/>
      <c r="F23" s="20"/>
      <c r="G23" s="20"/>
      <c r="H23" s="20"/>
      <c r="I23" s="20"/>
      <c r="J23" s="96"/>
      <c r="K23" s="96"/>
      <c r="L23" s="20"/>
      <c r="M23" s="20"/>
      <c r="N23" s="20"/>
      <c r="O23" s="20"/>
      <c r="P23" s="20"/>
      <c r="Q23" s="20"/>
      <c r="R23" s="20"/>
      <c r="S23" s="20"/>
      <c r="T23" s="20"/>
      <c r="U23" s="20"/>
      <c r="V23" s="20"/>
    </row>
    <row r="24" ht="13.5" customHeight="1" spans="1:22">
      <c r="A24" s="20"/>
      <c r="B24" s="136" t="s">
        <v>1065</v>
      </c>
      <c r="C24" s="137" t="s">
        <v>1047</v>
      </c>
      <c r="D24" s="137"/>
      <c r="E24" s="138"/>
      <c r="F24" s="20"/>
      <c r="G24" s="20"/>
      <c r="H24" s="20"/>
      <c r="I24" s="20"/>
      <c r="J24" s="96"/>
      <c r="K24" s="20"/>
      <c r="L24" s="20"/>
      <c r="M24" s="20"/>
      <c r="N24" s="96"/>
      <c r="O24" s="20"/>
      <c r="P24" s="20"/>
      <c r="Q24" s="20"/>
      <c r="R24" s="20"/>
      <c r="S24" s="20"/>
      <c r="T24" s="20"/>
      <c r="U24" s="20"/>
      <c r="V24" s="20"/>
    </row>
    <row r="25" ht="13.5" customHeight="1" spans="1:22">
      <c r="A25" s="20"/>
      <c r="B25" s="136" t="s">
        <v>1066</v>
      </c>
      <c r="C25" s="137"/>
      <c r="D25" s="137"/>
      <c r="E25" s="138"/>
      <c r="F25" s="20"/>
      <c r="G25" s="20"/>
      <c r="H25" s="20"/>
      <c r="I25" s="20"/>
      <c r="J25" s="20"/>
      <c r="K25" s="20"/>
      <c r="L25" s="20"/>
      <c r="M25" s="20"/>
      <c r="N25" s="20"/>
      <c r="O25" s="20"/>
      <c r="P25" s="20"/>
      <c r="Q25" s="20"/>
      <c r="R25" s="20"/>
      <c r="S25" s="20"/>
      <c r="T25" s="20"/>
      <c r="U25" s="20"/>
      <c r="V25" s="20"/>
    </row>
    <row r="26" ht="13.5" customHeight="1" spans="1:22">
      <c r="A26" s="20"/>
      <c r="B26" s="136" t="s">
        <v>1067</v>
      </c>
      <c r="C26" s="137" t="s">
        <v>1048</v>
      </c>
      <c r="D26" s="137"/>
      <c r="E26" s="138"/>
      <c r="F26" s="20"/>
      <c r="G26" s="20"/>
      <c r="H26" s="20"/>
      <c r="I26" s="20"/>
      <c r="J26" s="20"/>
      <c r="K26" s="96"/>
      <c r="L26" s="20"/>
      <c r="M26" s="20"/>
      <c r="N26" s="20"/>
      <c r="O26" s="20"/>
      <c r="P26" s="20"/>
      <c r="Q26" s="20"/>
      <c r="R26" s="20"/>
      <c r="S26" s="20"/>
      <c r="T26" s="20"/>
      <c r="U26" s="20"/>
      <c r="V26" s="20"/>
    </row>
    <row r="27" ht="13.5" customHeight="1" spans="1:22">
      <c r="A27" s="20"/>
      <c r="B27" s="136" t="s">
        <v>1068</v>
      </c>
      <c r="C27" s="137"/>
      <c r="D27" s="137" t="s">
        <v>1047</v>
      </c>
      <c r="E27" s="138"/>
      <c r="F27" s="20"/>
      <c r="G27" s="20"/>
      <c r="H27" s="20"/>
      <c r="I27" s="20"/>
      <c r="J27" s="20"/>
      <c r="K27" s="96"/>
      <c r="L27" s="20"/>
      <c r="M27" s="20"/>
      <c r="N27" s="20"/>
      <c r="O27" s="20"/>
      <c r="P27" s="20"/>
      <c r="Q27" s="20"/>
      <c r="R27" s="20"/>
      <c r="S27" s="20"/>
      <c r="T27" s="20"/>
      <c r="U27" s="20"/>
      <c r="V27" s="20"/>
    </row>
    <row r="28" ht="13.5" customHeight="1" spans="1:22">
      <c r="A28" s="20"/>
      <c r="B28" s="136" t="s">
        <v>1069</v>
      </c>
      <c r="C28" s="137"/>
      <c r="D28" s="137" t="s">
        <v>1048</v>
      </c>
      <c r="E28" s="138"/>
      <c r="F28" s="20"/>
      <c r="G28" s="20"/>
      <c r="H28" s="20"/>
      <c r="I28" s="20"/>
      <c r="J28" s="96"/>
      <c r="K28" s="96"/>
      <c r="L28" s="20"/>
      <c r="M28" s="20"/>
      <c r="N28" s="20"/>
      <c r="O28" s="20"/>
      <c r="P28" s="20"/>
      <c r="Q28" s="20"/>
      <c r="R28" s="20"/>
      <c r="S28" s="20"/>
      <c r="T28" s="20"/>
      <c r="U28" s="20"/>
      <c r="V28" s="20"/>
    </row>
    <row r="29" ht="13.5" customHeight="1" spans="1:22">
      <c r="A29" s="20"/>
      <c r="B29" s="136" t="s">
        <v>1070</v>
      </c>
      <c r="C29" s="137"/>
      <c r="D29" s="137" t="s">
        <v>1047</v>
      </c>
      <c r="E29" s="138"/>
      <c r="F29" s="20"/>
      <c r="G29" s="20"/>
      <c r="H29" s="20"/>
      <c r="I29" s="20"/>
      <c r="J29" s="20"/>
      <c r="K29" s="20"/>
      <c r="L29" s="20"/>
      <c r="M29" s="20"/>
      <c r="N29" s="20"/>
      <c r="O29" s="20"/>
      <c r="P29" s="20"/>
      <c r="Q29" s="20"/>
      <c r="R29" s="20"/>
      <c r="S29" s="20"/>
      <c r="T29" s="20"/>
      <c r="U29" s="20"/>
      <c r="V29" s="20"/>
    </row>
    <row r="30" ht="13.5" customHeight="1" spans="1:22">
      <c r="A30" s="20"/>
      <c r="B30" s="136" t="s">
        <v>1071</v>
      </c>
      <c r="C30" s="137"/>
      <c r="D30" s="137" t="s">
        <v>1048</v>
      </c>
      <c r="E30" s="138" t="s">
        <v>1048</v>
      </c>
      <c r="F30" s="20"/>
      <c r="G30" s="20"/>
      <c r="H30" s="20"/>
      <c r="I30" s="20"/>
      <c r="J30" s="20"/>
      <c r="K30" s="20"/>
      <c r="L30" s="20"/>
      <c r="M30" s="20"/>
      <c r="N30" s="20"/>
      <c r="O30" s="20"/>
      <c r="P30" s="20"/>
      <c r="Q30" s="20"/>
      <c r="R30" s="20"/>
      <c r="S30" s="20"/>
      <c r="T30" s="20"/>
      <c r="U30" s="20"/>
      <c r="V30" s="20"/>
    </row>
    <row r="31" ht="13.5" customHeight="1" spans="1:22">
      <c r="A31" s="20"/>
      <c r="B31" s="136" t="s">
        <v>1072</v>
      </c>
      <c r="C31" s="137" t="s">
        <v>1047</v>
      </c>
      <c r="D31" s="137"/>
      <c r="E31" s="138"/>
      <c r="F31" s="20"/>
      <c r="G31" s="20"/>
      <c r="H31" s="20"/>
      <c r="I31" s="20"/>
      <c r="J31" s="96"/>
      <c r="K31" s="20"/>
      <c r="L31" s="20"/>
      <c r="M31" s="20"/>
      <c r="N31" s="20"/>
      <c r="O31" s="20"/>
      <c r="P31" s="20"/>
      <c r="Q31" s="20"/>
      <c r="R31" s="20"/>
      <c r="S31" s="20"/>
      <c r="T31" s="20"/>
      <c r="U31" s="20"/>
      <c r="V31" s="20"/>
    </row>
    <row r="32" ht="13.5" customHeight="1" spans="1:22">
      <c r="A32" s="20"/>
      <c r="B32" s="136" t="s">
        <v>1050</v>
      </c>
      <c r="C32" s="137"/>
      <c r="D32" s="137"/>
      <c r="E32" s="138" t="s">
        <v>1048</v>
      </c>
      <c r="F32" s="20"/>
      <c r="G32" s="20"/>
      <c r="H32" s="20"/>
      <c r="I32" s="20"/>
      <c r="J32" s="96"/>
      <c r="K32" s="20"/>
      <c r="L32" s="20"/>
      <c r="M32" s="20"/>
      <c r="N32" s="20"/>
      <c r="O32" s="20"/>
      <c r="P32" s="20"/>
      <c r="Q32" s="20"/>
      <c r="R32" s="20"/>
      <c r="S32" s="20"/>
      <c r="T32" s="20"/>
      <c r="U32" s="20"/>
      <c r="V32" s="20"/>
    </row>
    <row r="33" ht="13.5" customHeight="1" spans="1:22">
      <c r="A33" s="20"/>
      <c r="B33" s="136" t="s">
        <v>1073</v>
      </c>
      <c r="C33" s="137"/>
      <c r="D33" s="137"/>
      <c r="E33" s="138"/>
      <c r="F33" s="20"/>
      <c r="G33" s="20"/>
      <c r="H33" s="20"/>
      <c r="I33" s="20"/>
      <c r="J33" s="96"/>
      <c r="K33" s="20"/>
      <c r="L33" s="20"/>
      <c r="M33" s="20"/>
      <c r="N33" s="20"/>
      <c r="O33" s="20"/>
      <c r="P33" s="20"/>
      <c r="Q33" s="20"/>
      <c r="R33" s="20"/>
      <c r="S33" s="20"/>
      <c r="T33" s="20"/>
      <c r="U33" s="20"/>
      <c r="V33" s="20"/>
    </row>
    <row r="34" ht="13.5" customHeight="1" spans="1:22">
      <c r="A34" s="20"/>
      <c r="B34" s="136" t="s">
        <v>1074</v>
      </c>
      <c r="C34" s="137"/>
      <c r="D34" s="137" t="s">
        <v>1047</v>
      </c>
      <c r="E34" s="138"/>
      <c r="F34" s="20"/>
      <c r="G34" s="20"/>
      <c r="H34" s="20"/>
      <c r="I34" s="20"/>
      <c r="J34" s="96"/>
      <c r="K34" s="20"/>
      <c r="L34" s="20"/>
      <c r="M34" s="20"/>
      <c r="N34" s="20"/>
      <c r="O34" s="20"/>
      <c r="P34" s="20"/>
      <c r="Q34" s="20"/>
      <c r="R34" s="20"/>
      <c r="S34" s="20"/>
      <c r="T34" s="20"/>
      <c r="U34" s="20"/>
      <c r="V34" s="20"/>
    </row>
    <row r="35" ht="13.5" customHeight="1" spans="1:22">
      <c r="A35" s="20"/>
      <c r="B35" s="136" t="s">
        <v>1075</v>
      </c>
      <c r="C35" s="137" t="s">
        <v>1048</v>
      </c>
      <c r="D35" s="137"/>
      <c r="E35" s="138" t="s">
        <v>1048</v>
      </c>
      <c r="F35" s="20"/>
      <c r="G35" s="20"/>
      <c r="H35" s="20"/>
      <c r="I35" s="20"/>
      <c r="J35" s="20"/>
      <c r="K35" s="20"/>
      <c r="L35" s="20"/>
      <c r="M35" s="20"/>
      <c r="N35" s="20"/>
      <c r="O35" s="20"/>
      <c r="P35" s="20"/>
      <c r="Q35" s="20"/>
      <c r="R35" s="20"/>
      <c r="S35" s="20"/>
      <c r="T35" s="20"/>
      <c r="U35" s="20"/>
      <c r="V35" s="20"/>
    </row>
    <row r="36" ht="13.5" customHeight="1" spans="1:22">
      <c r="A36" s="20"/>
      <c r="B36" s="136" t="s">
        <v>1076</v>
      </c>
      <c r="C36" s="137"/>
      <c r="D36" s="137"/>
      <c r="E36" s="138" t="s">
        <v>1047</v>
      </c>
      <c r="F36" s="20"/>
      <c r="G36" s="20"/>
      <c r="H36" s="20"/>
      <c r="I36" s="20"/>
      <c r="J36" s="20"/>
      <c r="K36" s="20"/>
      <c r="L36" s="20"/>
      <c r="M36" s="20"/>
      <c r="N36" s="20"/>
      <c r="O36" s="20"/>
      <c r="P36" s="20"/>
      <c r="Q36" s="20"/>
      <c r="R36" s="20"/>
      <c r="S36" s="20"/>
      <c r="T36" s="20"/>
      <c r="U36" s="20"/>
      <c r="V36" s="20"/>
    </row>
    <row r="37" ht="13.5" customHeight="1" spans="1:22">
      <c r="A37" s="20"/>
      <c r="B37" s="136" t="s">
        <v>1077</v>
      </c>
      <c r="C37" s="137" t="s">
        <v>1047</v>
      </c>
      <c r="D37" s="137"/>
      <c r="E37" s="138"/>
      <c r="F37" s="20"/>
      <c r="G37" s="20"/>
      <c r="H37" s="20"/>
      <c r="I37" s="20"/>
      <c r="J37" s="20"/>
      <c r="K37" s="20"/>
      <c r="L37" s="20"/>
      <c r="M37" s="20"/>
      <c r="N37" s="20"/>
      <c r="O37" s="20"/>
      <c r="P37" s="20"/>
      <c r="Q37" s="20"/>
      <c r="R37" s="20"/>
      <c r="S37" s="20"/>
      <c r="T37" s="20"/>
      <c r="U37" s="20"/>
      <c r="V37" s="20"/>
    </row>
    <row r="38" ht="13.5" customHeight="1" spans="1:22">
      <c r="A38" s="20"/>
      <c r="B38" s="136" t="s">
        <v>1078</v>
      </c>
      <c r="C38" s="137"/>
      <c r="D38" s="137" t="s">
        <v>1048</v>
      </c>
      <c r="E38" s="138"/>
      <c r="F38" s="20"/>
      <c r="G38" s="20"/>
      <c r="H38" s="20"/>
      <c r="I38" s="96"/>
      <c r="J38" s="20"/>
      <c r="K38" s="20"/>
      <c r="L38" s="20"/>
      <c r="M38" s="20"/>
      <c r="N38" s="20"/>
      <c r="O38" s="20"/>
      <c r="P38" s="20"/>
      <c r="Q38" s="20"/>
      <c r="R38" s="20"/>
      <c r="S38" s="20"/>
      <c r="T38" s="20"/>
      <c r="U38" s="20"/>
      <c r="V38" s="20"/>
    </row>
    <row r="39" ht="13.5" customHeight="1" spans="1:22">
      <c r="A39" s="20"/>
      <c r="B39" s="136" t="s">
        <v>1079</v>
      </c>
      <c r="C39" s="137"/>
      <c r="D39" s="137"/>
      <c r="E39" s="138" t="s">
        <v>1047</v>
      </c>
      <c r="F39" s="20"/>
      <c r="G39" s="20"/>
      <c r="H39" s="20"/>
      <c r="I39" s="96"/>
      <c r="J39" s="20"/>
      <c r="K39" s="20"/>
      <c r="L39" s="20"/>
      <c r="M39" s="20"/>
      <c r="N39" s="20"/>
      <c r="O39" s="20"/>
      <c r="P39" s="96"/>
      <c r="Q39" s="20"/>
      <c r="R39" s="20"/>
      <c r="S39" s="20"/>
      <c r="T39" s="20"/>
      <c r="U39" s="20"/>
      <c r="V39" s="20"/>
    </row>
    <row r="40" ht="13.5" customHeight="1" spans="1:22">
      <c r="A40" s="20"/>
      <c r="B40" s="136" t="s">
        <v>1080</v>
      </c>
      <c r="C40" s="137" t="s">
        <v>1047</v>
      </c>
      <c r="D40" s="137"/>
      <c r="E40" s="138"/>
      <c r="F40" s="20"/>
      <c r="G40" s="20"/>
      <c r="H40" s="20"/>
      <c r="I40" s="20"/>
      <c r="J40" s="20"/>
      <c r="K40" s="20"/>
      <c r="L40" s="20"/>
      <c r="M40" s="20"/>
      <c r="N40" s="20"/>
      <c r="O40" s="20"/>
      <c r="P40" s="20"/>
      <c r="Q40" s="20"/>
      <c r="R40" s="20"/>
      <c r="S40" s="20"/>
      <c r="T40" s="20"/>
      <c r="U40" s="20"/>
      <c r="V40" s="20"/>
    </row>
    <row r="41" ht="13.5" customHeight="1" spans="1:22">
      <c r="A41" s="20"/>
      <c r="B41" s="136" t="s">
        <v>1081</v>
      </c>
      <c r="C41" s="137" t="s">
        <v>1048</v>
      </c>
      <c r="D41" s="137"/>
      <c r="E41" s="138"/>
      <c r="F41" s="20"/>
      <c r="G41" s="20"/>
      <c r="H41" s="20"/>
      <c r="I41" s="20"/>
      <c r="J41" s="20"/>
      <c r="K41" s="20"/>
      <c r="L41" s="20"/>
      <c r="M41" s="20"/>
      <c r="N41" s="20"/>
      <c r="O41" s="20"/>
      <c r="P41" s="20"/>
      <c r="Q41" s="20"/>
      <c r="R41" s="20"/>
      <c r="S41" s="20"/>
      <c r="T41" s="20"/>
      <c r="U41" s="20"/>
      <c r="V41" s="20"/>
    </row>
    <row r="42" ht="13.5" customHeight="1" spans="1:22">
      <c r="A42" s="20"/>
      <c r="B42" s="136" t="s">
        <v>1082</v>
      </c>
      <c r="C42" s="137"/>
      <c r="D42" s="137" t="s">
        <v>1048</v>
      </c>
      <c r="E42" s="138" t="s">
        <v>1047</v>
      </c>
      <c r="F42" s="20"/>
      <c r="G42" s="20"/>
      <c r="H42" s="20"/>
      <c r="I42" s="20"/>
      <c r="J42" s="20"/>
      <c r="K42" s="20"/>
      <c r="L42" s="20"/>
      <c r="M42" s="20"/>
      <c r="N42" s="20"/>
      <c r="O42" s="20"/>
      <c r="P42" s="20"/>
      <c r="Q42" s="20"/>
      <c r="R42" s="20"/>
      <c r="S42" s="20"/>
      <c r="T42" s="20"/>
      <c r="U42" s="20"/>
      <c r="V42" s="20"/>
    </row>
    <row r="43" ht="13.5" customHeight="1" spans="1:22">
      <c r="A43" s="20"/>
      <c r="B43" s="136" t="s">
        <v>1083</v>
      </c>
      <c r="C43" s="137"/>
      <c r="D43" s="137" t="s">
        <v>1047</v>
      </c>
      <c r="E43" s="138"/>
      <c r="F43" s="20"/>
      <c r="G43" s="20"/>
      <c r="H43" s="20"/>
      <c r="I43" s="20"/>
      <c r="J43" s="20"/>
      <c r="K43" s="20"/>
      <c r="L43" s="20"/>
      <c r="M43" s="20"/>
      <c r="N43" s="20"/>
      <c r="O43" s="20"/>
      <c r="P43" s="20"/>
      <c r="Q43" s="20"/>
      <c r="R43" s="20"/>
      <c r="S43" s="20"/>
      <c r="T43" s="20"/>
      <c r="U43" s="20"/>
      <c r="V43" s="20"/>
    </row>
    <row r="44" ht="13.5" customHeight="1" spans="1:22">
      <c r="A44" s="20"/>
      <c r="B44" s="136" t="s">
        <v>1084</v>
      </c>
      <c r="C44" s="137" t="s">
        <v>1047</v>
      </c>
      <c r="D44" s="137"/>
      <c r="E44" s="138"/>
      <c r="F44" s="20"/>
      <c r="G44" s="20"/>
      <c r="H44" s="20"/>
      <c r="I44" s="20"/>
      <c r="J44" s="20"/>
      <c r="K44" s="20"/>
      <c r="L44" s="20"/>
      <c r="M44" s="20"/>
      <c r="N44" s="20"/>
      <c r="O44" s="20"/>
      <c r="P44" s="20"/>
      <c r="Q44" s="20"/>
      <c r="R44" s="20"/>
      <c r="S44" s="20"/>
      <c r="T44" s="20"/>
      <c r="U44" s="20"/>
      <c r="V44" s="20"/>
    </row>
    <row r="45" ht="13.5" customHeight="1" spans="1:22">
      <c r="A45" s="20"/>
      <c r="B45" s="136" t="s">
        <v>1085</v>
      </c>
      <c r="C45" s="137"/>
      <c r="D45" s="137" t="s">
        <v>1047</v>
      </c>
      <c r="E45" s="138" t="s">
        <v>1048</v>
      </c>
      <c r="F45" s="20"/>
      <c r="G45" s="20"/>
      <c r="H45" s="20"/>
      <c r="I45" s="20"/>
      <c r="J45" s="20"/>
      <c r="K45" s="20"/>
      <c r="L45" s="20"/>
      <c r="M45" s="20"/>
      <c r="N45" s="20"/>
      <c r="O45" s="20"/>
      <c r="P45" s="20"/>
      <c r="Q45" s="20"/>
      <c r="R45" s="20"/>
      <c r="S45" s="20"/>
      <c r="T45" s="20"/>
      <c r="U45" s="20"/>
      <c r="V45" s="20"/>
    </row>
    <row r="46" ht="13.5" customHeight="1" spans="1:22">
      <c r="A46" s="20"/>
      <c r="B46" s="136" t="s">
        <v>1086</v>
      </c>
      <c r="C46" s="137"/>
      <c r="D46" s="137"/>
      <c r="E46" s="138" t="s">
        <v>1047</v>
      </c>
      <c r="F46" s="20"/>
      <c r="G46" s="20"/>
      <c r="H46" s="20"/>
      <c r="I46" s="20"/>
      <c r="J46" s="20"/>
      <c r="K46" s="20"/>
      <c r="L46" s="20"/>
      <c r="M46" s="20"/>
      <c r="N46" s="20"/>
      <c r="O46" s="20"/>
      <c r="P46" s="20"/>
      <c r="Q46" s="20"/>
      <c r="R46" s="20"/>
      <c r="S46" s="20"/>
      <c r="T46" s="20"/>
      <c r="U46" s="20"/>
      <c r="V46" s="20"/>
    </row>
    <row r="47" ht="13.5" customHeight="1" spans="1:22">
      <c r="A47" s="20"/>
      <c r="B47" s="136" t="s">
        <v>1053</v>
      </c>
      <c r="C47" s="137" t="s">
        <v>1048</v>
      </c>
      <c r="D47" s="137"/>
      <c r="E47" s="138"/>
      <c r="F47" s="20"/>
      <c r="G47" s="20"/>
      <c r="H47" s="20"/>
      <c r="I47" s="20"/>
      <c r="J47" s="20"/>
      <c r="K47" s="20"/>
      <c r="L47" s="20"/>
      <c r="M47" s="20"/>
      <c r="N47" s="20"/>
      <c r="O47" s="20"/>
      <c r="P47" s="20"/>
      <c r="Q47" s="20"/>
      <c r="R47" s="20"/>
      <c r="S47" s="20"/>
      <c r="T47" s="20"/>
      <c r="U47" s="20"/>
      <c r="V47" s="20"/>
    </row>
    <row r="48" ht="13.5" customHeight="1" spans="1:22">
      <c r="A48" s="20"/>
      <c r="B48" s="136" t="s">
        <v>1087</v>
      </c>
      <c r="C48" s="137" t="s">
        <v>1047</v>
      </c>
      <c r="D48" s="137"/>
      <c r="E48" s="138"/>
      <c r="F48" s="20"/>
      <c r="G48" s="20"/>
      <c r="H48" s="20"/>
      <c r="I48" s="20"/>
      <c r="J48" s="20"/>
      <c r="K48" s="20"/>
      <c r="L48" s="20"/>
      <c r="M48" s="20"/>
      <c r="N48" s="20"/>
      <c r="O48" s="20"/>
      <c r="P48" s="20"/>
      <c r="Q48" s="20"/>
      <c r="R48" s="20"/>
      <c r="S48" s="20"/>
      <c r="T48" s="20"/>
      <c r="U48" s="20"/>
      <c r="V48" s="20"/>
    </row>
    <row r="49" ht="13.5" customHeight="1" spans="1:22">
      <c r="A49" s="20"/>
      <c r="B49" s="136" t="s">
        <v>1088</v>
      </c>
      <c r="C49" s="137"/>
      <c r="D49" s="137"/>
      <c r="E49" s="138"/>
      <c r="F49" s="20"/>
      <c r="G49" s="20"/>
      <c r="H49" s="20"/>
      <c r="I49" s="20"/>
      <c r="J49" s="20"/>
      <c r="K49" s="20"/>
      <c r="L49" s="20"/>
      <c r="M49" s="20"/>
      <c r="N49" s="20"/>
      <c r="O49" s="20"/>
      <c r="P49" s="20"/>
      <c r="Q49" s="20"/>
      <c r="R49" s="20"/>
      <c r="S49" s="20"/>
      <c r="T49" s="20"/>
      <c r="U49" s="20"/>
      <c r="V49" s="20"/>
    </row>
    <row r="50" ht="13.5" customHeight="1" spans="1:22">
      <c r="A50" s="20"/>
      <c r="B50" s="136" t="s">
        <v>1089</v>
      </c>
      <c r="C50" s="137"/>
      <c r="D50" s="137"/>
      <c r="E50" s="138" t="s">
        <v>1047</v>
      </c>
      <c r="F50" s="20"/>
      <c r="G50" s="20"/>
      <c r="H50" s="20"/>
      <c r="I50" s="20"/>
      <c r="J50" s="20"/>
      <c r="K50" s="20"/>
      <c r="L50" s="20"/>
      <c r="M50" s="20"/>
      <c r="N50" s="20"/>
      <c r="O50" s="20"/>
      <c r="P50" s="20"/>
      <c r="Q50" s="20"/>
      <c r="R50" s="20"/>
      <c r="S50" s="20"/>
      <c r="T50" s="20"/>
      <c r="U50" s="20"/>
      <c r="V50" s="20"/>
    </row>
    <row r="51" ht="13.5" customHeight="1" spans="1:22">
      <c r="A51" s="20"/>
      <c r="B51" s="136" t="s">
        <v>1090</v>
      </c>
      <c r="C51" s="137" t="s">
        <v>1047</v>
      </c>
      <c r="D51" s="137"/>
      <c r="E51" s="138"/>
      <c r="F51" s="20"/>
      <c r="G51" s="20"/>
      <c r="H51" s="20"/>
      <c r="I51" s="20"/>
      <c r="J51" s="20"/>
      <c r="K51" s="20"/>
      <c r="L51" s="20"/>
      <c r="M51" s="20"/>
      <c r="N51" s="20"/>
      <c r="O51" s="20"/>
      <c r="P51" s="20"/>
      <c r="Q51" s="20"/>
      <c r="R51" s="20"/>
      <c r="S51" s="20"/>
      <c r="T51" s="20"/>
      <c r="U51" s="20"/>
      <c r="V51" s="20"/>
    </row>
    <row r="52" ht="13.5" customHeight="1" spans="1:22">
      <c r="A52" s="20"/>
      <c r="B52" s="136" t="s">
        <v>1091</v>
      </c>
      <c r="C52" s="137"/>
      <c r="D52" s="137" t="s">
        <v>1048</v>
      </c>
      <c r="E52" s="138"/>
      <c r="F52" s="20"/>
      <c r="G52" s="20"/>
      <c r="H52" s="20"/>
      <c r="I52" s="20"/>
      <c r="J52" s="20"/>
      <c r="K52" s="20"/>
      <c r="L52" s="20"/>
      <c r="M52" s="20"/>
      <c r="N52" s="20"/>
      <c r="O52" s="20"/>
      <c r="P52" s="20"/>
      <c r="Q52" s="20"/>
      <c r="R52" s="20"/>
      <c r="S52" s="20"/>
      <c r="T52" s="20"/>
      <c r="U52" s="20"/>
      <c r="V52" s="20"/>
    </row>
    <row r="53" ht="13.5" customHeight="1" spans="1:22">
      <c r="A53" s="20"/>
      <c r="B53" s="136" t="s">
        <v>1092</v>
      </c>
      <c r="C53" s="137"/>
      <c r="D53" s="137"/>
      <c r="E53" s="138"/>
      <c r="F53" s="20"/>
      <c r="G53" s="20"/>
      <c r="H53" s="20"/>
      <c r="I53" s="20"/>
      <c r="J53" s="20"/>
      <c r="K53" s="20"/>
      <c r="L53" s="20"/>
      <c r="M53" s="20"/>
      <c r="N53" s="20"/>
      <c r="O53" s="20"/>
      <c r="P53" s="20"/>
      <c r="Q53" s="20"/>
      <c r="R53" s="20"/>
      <c r="S53" s="20"/>
      <c r="T53" s="20"/>
      <c r="U53" s="20"/>
      <c r="V53" s="20"/>
    </row>
    <row r="54" ht="13.5" customHeight="1" spans="1:22">
      <c r="A54" s="20"/>
      <c r="B54" s="136" t="s">
        <v>1093</v>
      </c>
      <c r="C54" s="137"/>
      <c r="D54" s="137" t="s">
        <v>1047</v>
      </c>
      <c r="E54" s="138"/>
      <c r="F54" s="20"/>
      <c r="G54" s="20"/>
      <c r="H54" s="20"/>
      <c r="I54" s="20"/>
      <c r="J54" s="20"/>
      <c r="K54" s="20"/>
      <c r="L54" s="20"/>
      <c r="M54" s="20"/>
      <c r="N54" s="20"/>
      <c r="O54" s="20"/>
      <c r="P54" s="20"/>
      <c r="Q54" s="20"/>
      <c r="R54" s="20"/>
      <c r="S54" s="20"/>
      <c r="T54" s="20"/>
      <c r="U54" s="20"/>
      <c r="V54" s="20"/>
    </row>
    <row r="55" ht="13.5" customHeight="1" spans="1:22">
      <c r="A55" s="20"/>
      <c r="B55" s="136" t="s">
        <v>1094</v>
      </c>
      <c r="C55" s="137"/>
      <c r="D55" s="137"/>
      <c r="E55" s="138"/>
      <c r="F55" s="20"/>
      <c r="G55" s="20"/>
      <c r="H55" s="20"/>
      <c r="I55" s="20"/>
      <c r="J55" s="20"/>
      <c r="K55" s="20"/>
      <c r="L55" s="20"/>
      <c r="M55" s="20"/>
      <c r="N55" s="20"/>
      <c r="O55" s="20"/>
      <c r="P55" s="20"/>
      <c r="Q55" s="20"/>
      <c r="R55" s="20"/>
      <c r="S55" s="20"/>
      <c r="T55" s="20"/>
      <c r="U55" s="20"/>
      <c r="V55" s="20"/>
    </row>
    <row r="56" ht="13.5" customHeight="1" spans="1:22">
      <c r="A56" s="20"/>
      <c r="B56" s="136" t="s">
        <v>1095</v>
      </c>
      <c r="C56" s="137" t="s">
        <v>1048</v>
      </c>
      <c r="D56" s="137"/>
      <c r="E56" s="138" t="s">
        <v>1047</v>
      </c>
      <c r="F56" s="20"/>
      <c r="G56" s="20"/>
      <c r="H56" s="20"/>
      <c r="I56" s="20"/>
      <c r="J56" s="20"/>
      <c r="K56" s="20"/>
      <c r="L56" s="20"/>
      <c r="M56" s="20"/>
      <c r="N56" s="20"/>
      <c r="O56" s="20"/>
      <c r="P56" s="20"/>
      <c r="Q56" s="20"/>
      <c r="R56" s="20"/>
      <c r="S56" s="20"/>
      <c r="T56" s="20"/>
      <c r="U56" s="20"/>
      <c r="V56" s="20"/>
    </row>
    <row r="57" ht="13.5" customHeight="1" spans="1:22">
      <c r="A57" s="20"/>
      <c r="B57" s="136" t="s">
        <v>1096</v>
      </c>
      <c r="C57" s="137"/>
      <c r="D57" s="137"/>
      <c r="E57" s="138"/>
      <c r="F57" s="20"/>
      <c r="G57" s="20"/>
      <c r="H57" s="20"/>
      <c r="I57" s="20"/>
      <c r="J57" s="20"/>
      <c r="K57" s="20"/>
      <c r="L57" s="20"/>
      <c r="M57" s="20"/>
      <c r="N57" s="20"/>
      <c r="O57" s="20"/>
      <c r="P57" s="20"/>
      <c r="Q57" s="20"/>
      <c r="R57" s="20"/>
      <c r="S57" s="20"/>
      <c r="T57" s="20"/>
      <c r="U57" s="20"/>
      <c r="V57" s="20"/>
    </row>
    <row r="58" ht="13.5" customHeight="1" spans="1:22">
      <c r="A58" s="20"/>
      <c r="B58" s="136" t="s">
        <v>1097</v>
      </c>
      <c r="C58" s="137" t="s">
        <v>1047</v>
      </c>
      <c r="D58" s="137" t="s">
        <v>1048</v>
      </c>
      <c r="E58" s="138"/>
      <c r="F58" s="20"/>
      <c r="G58" s="20"/>
      <c r="H58" s="20"/>
      <c r="I58" s="20"/>
      <c r="J58" s="20"/>
      <c r="K58" s="20"/>
      <c r="L58" s="20"/>
      <c r="M58" s="20"/>
      <c r="N58" s="20"/>
      <c r="O58" s="20"/>
      <c r="P58" s="20"/>
      <c r="Q58" s="20"/>
      <c r="R58" s="20"/>
      <c r="S58" s="20"/>
      <c r="T58" s="20"/>
      <c r="U58" s="20"/>
      <c r="V58" s="20"/>
    </row>
    <row r="59" ht="13.5" customHeight="1" spans="1:22">
      <c r="A59" s="20"/>
      <c r="B59" s="20"/>
      <c r="C59" s="20"/>
      <c r="D59" s="20"/>
      <c r="E59" s="20"/>
      <c r="F59" s="20"/>
      <c r="G59" s="20"/>
      <c r="H59" s="20"/>
      <c r="I59" s="20"/>
      <c r="J59" s="20"/>
      <c r="K59" s="20"/>
      <c r="L59" s="20"/>
      <c r="M59" s="20"/>
      <c r="N59" s="20"/>
      <c r="O59" s="20"/>
      <c r="P59" s="20"/>
      <c r="Q59" s="20"/>
      <c r="R59" s="20"/>
      <c r="S59" s="20"/>
      <c r="T59" s="20"/>
      <c r="U59" s="20"/>
      <c r="V59" s="20"/>
    </row>
    <row r="60" ht="13.5" customHeight="1" spans="1:22">
      <c r="A60" s="20"/>
      <c r="B60" s="20"/>
      <c r="C60" s="20"/>
      <c r="D60" s="20"/>
      <c r="E60" s="20"/>
      <c r="F60" s="98"/>
      <c r="G60" s="20"/>
      <c r="H60" s="20"/>
      <c r="I60" s="20"/>
      <c r="J60" s="20"/>
      <c r="K60" s="20"/>
      <c r="L60" s="20"/>
      <c r="M60" s="20"/>
      <c r="N60" s="20"/>
      <c r="O60" s="20"/>
      <c r="P60" s="20"/>
      <c r="Q60" s="20"/>
      <c r="R60" s="20"/>
      <c r="S60" s="20"/>
      <c r="T60" s="20"/>
      <c r="U60" s="20"/>
      <c r="V60" s="20"/>
    </row>
    <row r="61" ht="13.5" customHeight="1" spans="1:22">
      <c r="A61" s="20"/>
      <c r="B61" s="98">
        <f>SUMPRODUCT((ISBLANK(A9:A$58))*(ISBLANK(B9:B$58))*(ISBLANK(C9:C$58)))</f>
        <v>0</v>
      </c>
      <c r="C61" s="20"/>
      <c r="D61" s="20"/>
      <c r="E61" s="20"/>
      <c r="F61" s="20"/>
      <c r="G61" s="20"/>
      <c r="H61" s="20"/>
      <c r="I61" s="20"/>
      <c r="J61" s="20"/>
      <c r="K61" s="20"/>
      <c r="L61" s="20"/>
      <c r="M61" s="20"/>
      <c r="N61" s="20"/>
      <c r="O61" s="20"/>
      <c r="P61" s="20"/>
      <c r="Q61" s="20"/>
      <c r="R61" s="20"/>
      <c r="S61" s="20"/>
      <c r="T61" s="20"/>
      <c r="U61" s="20"/>
      <c r="V61" s="20"/>
    </row>
    <row r="62" ht="13.5" customHeight="1" spans="1:22">
      <c r="A62" s="20"/>
      <c r="B62" s="20"/>
      <c r="C62" s="20"/>
      <c r="D62" s="20"/>
      <c r="E62" s="20"/>
      <c r="F62" s="20"/>
      <c r="G62" s="20"/>
      <c r="H62" s="20"/>
      <c r="I62" s="20"/>
      <c r="J62" s="20"/>
      <c r="K62" s="20"/>
      <c r="L62" s="20"/>
      <c r="M62" s="20"/>
      <c r="N62" s="20"/>
      <c r="O62" s="20"/>
      <c r="P62" s="20"/>
      <c r="Q62" s="20"/>
      <c r="R62" s="20"/>
      <c r="S62" s="20"/>
      <c r="T62" s="20"/>
      <c r="U62" s="20"/>
      <c r="V62" s="20"/>
    </row>
    <row r="63" ht="13.5" customHeight="1" spans="1:22">
      <c r="A63" s="20"/>
      <c r="B63" s="20"/>
      <c r="C63" s="20"/>
      <c r="D63" s="20"/>
      <c r="E63" s="20"/>
      <c r="F63" s="20"/>
      <c r="G63" s="20"/>
      <c r="H63" s="20"/>
      <c r="I63" s="20"/>
      <c r="J63" s="20"/>
      <c r="K63" s="20"/>
      <c r="L63" s="20"/>
      <c r="M63" s="20"/>
      <c r="N63" s="20"/>
      <c r="O63" s="20"/>
      <c r="P63" s="20"/>
      <c r="Q63" s="20"/>
      <c r="R63" s="20"/>
      <c r="S63" s="20"/>
      <c r="T63" s="20"/>
      <c r="U63" s="20"/>
      <c r="V63" s="20"/>
    </row>
    <row r="64" ht="13.5" customHeight="1" spans="1:22">
      <c r="A64" s="20"/>
      <c r="B64" s="20"/>
      <c r="C64" s="20"/>
      <c r="D64" s="20"/>
      <c r="E64" s="20"/>
      <c r="F64" s="20"/>
      <c r="G64" s="20"/>
      <c r="H64" s="20"/>
      <c r="I64" s="20"/>
      <c r="J64" s="20"/>
      <c r="K64" s="20"/>
      <c r="L64" s="20"/>
      <c r="M64" s="20"/>
      <c r="N64" s="20"/>
      <c r="O64" s="20"/>
      <c r="P64" s="20"/>
      <c r="Q64" s="20"/>
      <c r="R64" s="20"/>
      <c r="S64" s="20"/>
      <c r="T64" s="20"/>
      <c r="U64" s="20"/>
      <c r="V64" s="20"/>
    </row>
    <row r="65" ht="13.5" customHeight="1" spans="1:22">
      <c r="A65" s="20"/>
      <c r="B65" s="20"/>
      <c r="C65" s="20"/>
      <c r="D65" s="20"/>
      <c r="E65" s="20"/>
      <c r="F65" s="20"/>
      <c r="G65" s="20"/>
      <c r="H65" s="20"/>
      <c r="I65" s="20"/>
      <c r="J65" s="20"/>
      <c r="K65" s="20"/>
      <c r="L65" s="20"/>
      <c r="M65" s="20"/>
      <c r="N65" s="20"/>
      <c r="O65" s="20"/>
      <c r="P65" s="20"/>
      <c r="Q65" s="20"/>
      <c r="R65" s="20"/>
      <c r="S65" s="20"/>
      <c r="T65" s="20"/>
      <c r="U65" s="20"/>
      <c r="V65" s="20"/>
    </row>
    <row r="66" ht="13.5" customHeight="1" spans="1:22">
      <c r="A66" s="20"/>
      <c r="B66" s="20"/>
      <c r="C66" s="20"/>
      <c r="D66" s="20"/>
      <c r="E66" s="20"/>
      <c r="F66" s="20"/>
      <c r="G66" s="20"/>
      <c r="H66" s="20"/>
      <c r="I66" s="20"/>
      <c r="J66" s="20"/>
      <c r="K66" s="20"/>
      <c r="L66" s="20"/>
      <c r="M66" s="20"/>
      <c r="N66" s="20"/>
      <c r="O66" s="20"/>
      <c r="P66" s="20"/>
      <c r="Q66" s="20"/>
      <c r="R66" s="20"/>
      <c r="S66" s="20"/>
      <c r="T66" s="20"/>
      <c r="U66" s="20"/>
      <c r="V66" s="20"/>
    </row>
    <row r="67" ht="13.5" customHeight="1" spans="1:22">
      <c r="A67" s="20"/>
      <c r="B67" s="20"/>
      <c r="C67" s="20"/>
      <c r="D67" s="20"/>
      <c r="E67" s="20"/>
      <c r="F67" s="20"/>
      <c r="G67" s="20"/>
      <c r="H67" s="20"/>
      <c r="I67" s="20"/>
      <c r="J67" s="20"/>
      <c r="K67" s="20"/>
      <c r="L67" s="20"/>
      <c r="M67" s="20"/>
      <c r="N67" s="20"/>
      <c r="O67" s="20"/>
      <c r="P67" s="20"/>
      <c r="Q67" s="20"/>
      <c r="R67" s="20"/>
      <c r="S67" s="20"/>
      <c r="T67" s="20"/>
      <c r="U67" s="20"/>
      <c r="V67" s="20"/>
    </row>
    <row r="68" ht="13.5" customHeight="1" spans="1:22">
      <c r="A68" s="20"/>
      <c r="B68" s="20"/>
      <c r="C68" s="20"/>
      <c r="D68" s="20"/>
      <c r="E68" s="20"/>
      <c r="F68" s="20"/>
      <c r="G68" s="20"/>
      <c r="H68" s="20"/>
      <c r="I68" s="20"/>
      <c r="J68" s="20"/>
      <c r="K68" s="20"/>
      <c r="L68" s="20"/>
      <c r="M68" s="20"/>
      <c r="N68" s="20"/>
      <c r="O68" s="20"/>
      <c r="P68" s="20"/>
      <c r="Q68" s="20"/>
      <c r="R68" s="20"/>
      <c r="S68" s="20"/>
      <c r="T68" s="20"/>
      <c r="U68" s="20"/>
      <c r="V68" s="20"/>
    </row>
    <row r="69" ht="13.5" customHeight="1" spans="1:22">
      <c r="A69" s="20"/>
      <c r="B69" s="20"/>
      <c r="C69" s="20"/>
      <c r="D69" s="20"/>
      <c r="E69" s="20"/>
      <c r="F69" s="20"/>
      <c r="G69" s="20"/>
      <c r="H69" s="20"/>
      <c r="I69" s="20"/>
      <c r="J69" s="20"/>
      <c r="K69" s="20"/>
      <c r="L69" s="20"/>
      <c r="M69" s="20"/>
      <c r="N69" s="20"/>
      <c r="O69" s="20"/>
      <c r="P69" s="20"/>
      <c r="Q69" s="20"/>
      <c r="R69" s="20"/>
      <c r="S69" s="20"/>
      <c r="T69" s="20"/>
      <c r="U69" s="20"/>
      <c r="V69" s="20"/>
    </row>
    <row r="70" ht="13.5" customHeight="1" spans="1:22">
      <c r="A70" s="20"/>
      <c r="B70" s="20"/>
      <c r="C70" s="20"/>
      <c r="D70" s="20"/>
      <c r="E70" s="20"/>
      <c r="F70" s="20"/>
      <c r="G70" s="20"/>
      <c r="H70" s="20"/>
      <c r="I70" s="20"/>
      <c r="J70" s="20"/>
      <c r="K70" s="20"/>
      <c r="L70" s="20"/>
      <c r="M70" s="20"/>
      <c r="N70" s="20"/>
      <c r="O70" s="20"/>
      <c r="P70" s="20"/>
      <c r="Q70" s="20"/>
      <c r="R70" s="20"/>
      <c r="S70" s="20"/>
      <c r="T70" s="20"/>
      <c r="U70" s="20"/>
      <c r="V70" s="20"/>
    </row>
    <row r="71" ht="13.5" customHeight="1" spans="1:22">
      <c r="A71" s="20"/>
      <c r="B71" s="20"/>
      <c r="C71" s="20"/>
      <c r="D71" s="20"/>
      <c r="E71" s="20"/>
      <c r="F71" s="20"/>
      <c r="G71" s="20"/>
      <c r="H71" s="20"/>
      <c r="I71" s="20"/>
      <c r="J71" s="20"/>
      <c r="K71" s="20"/>
      <c r="L71" s="20"/>
      <c r="M71" s="20"/>
      <c r="N71" s="20"/>
      <c r="O71" s="20"/>
      <c r="P71" s="20"/>
      <c r="Q71" s="20"/>
      <c r="R71" s="20"/>
      <c r="S71" s="20"/>
      <c r="T71" s="20"/>
      <c r="U71" s="20"/>
      <c r="V71" s="20"/>
    </row>
    <row r="72" ht="13.5" customHeight="1" spans="1:22">
      <c r="A72" s="20"/>
      <c r="B72" s="20"/>
      <c r="C72" s="20"/>
      <c r="D72" s="20"/>
      <c r="E72" s="20"/>
      <c r="F72" s="20"/>
      <c r="G72" s="20"/>
      <c r="H72" s="20"/>
      <c r="I72" s="20"/>
      <c r="J72" s="20"/>
      <c r="K72" s="20"/>
      <c r="L72" s="20"/>
      <c r="M72" s="20"/>
      <c r="N72" s="20"/>
      <c r="O72" s="20"/>
      <c r="P72" s="20"/>
      <c r="Q72" s="20"/>
      <c r="R72" s="20"/>
      <c r="S72" s="20"/>
      <c r="T72" s="20"/>
      <c r="U72" s="20"/>
      <c r="V72" s="20"/>
    </row>
    <row r="73" ht="13.5" customHeight="1" spans="1:22">
      <c r="A73" s="20"/>
      <c r="B73" s="20"/>
      <c r="C73" s="20"/>
      <c r="D73" s="20"/>
      <c r="E73" s="20"/>
      <c r="F73" s="20"/>
      <c r="G73" s="20"/>
      <c r="H73" s="20"/>
      <c r="I73" s="20"/>
      <c r="J73" s="20"/>
      <c r="K73" s="20"/>
      <c r="L73" s="20"/>
      <c r="M73" s="20"/>
      <c r="N73" s="20"/>
      <c r="O73" s="20"/>
      <c r="P73" s="20"/>
      <c r="Q73" s="20"/>
      <c r="R73" s="20"/>
      <c r="S73" s="20"/>
      <c r="T73" s="20"/>
      <c r="U73" s="20"/>
      <c r="V73" s="20"/>
    </row>
    <row r="74" ht="13.5" customHeight="1" spans="1:22">
      <c r="A74" s="20"/>
      <c r="B74" s="20"/>
      <c r="C74" s="20"/>
      <c r="D74" s="20"/>
      <c r="E74" s="20"/>
      <c r="F74" s="20"/>
      <c r="G74" s="20"/>
      <c r="H74" s="20"/>
      <c r="I74" s="20"/>
      <c r="J74" s="20"/>
      <c r="K74" s="20"/>
      <c r="L74" s="20"/>
      <c r="M74" s="20"/>
      <c r="N74" s="20"/>
      <c r="O74" s="20"/>
      <c r="P74" s="20"/>
      <c r="Q74" s="20"/>
      <c r="R74" s="20"/>
      <c r="S74" s="20"/>
      <c r="T74" s="20"/>
      <c r="U74" s="20"/>
      <c r="V74" s="20"/>
    </row>
    <row r="75" ht="13.5" customHeight="1" spans="1:22">
      <c r="A75" s="20"/>
      <c r="B75" s="20"/>
      <c r="C75" s="20"/>
      <c r="D75" s="20"/>
      <c r="E75" s="20"/>
      <c r="F75" s="20"/>
      <c r="G75" s="20"/>
      <c r="H75" s="20"/>
      <c r="I75" s="20"/>
      <c r="J75" s="20"/>
      <c r="K75" s="20"/>
      <c r="L75" s="20"/>
      <c r="M75" s="20"/>
      <c r="N75" s="20"/>
      <c r="O75" s="20"/>
      <c r="P75" s="20"/>
      <c r="Q75" s="20"/>
      <c r="R75" s="20"/>
      <c r="S75" s="20"/>
      <c r="T75" s="20"/>
      <c r="U75" s="20"/>
      <c r="V75" s="20"/>
    </row>
    <row r="76" ht="13.5" customHeight="1" spans="1:22">
      <c r="A76" s="20"/>
      <c r="B76" s="20"/>
      <c r="C76" s="20"/>
      <c r="D76" s="20"/>
      <c r="E76" s="20"/>
      <c r="F76" s="20"/>
      <c r="G76" s="20"/>
      <c r="H76" s="20"/>
      <c r="I76" s="20"/>
      <c r="J76" s="20"/>
      <c r="K76" s="20"/>
      <c r="L76" s="20"/>
      <c r="M76" s="20"/>
      <c r="N76" s="20"/>
      <c r="O76" s="20"/>
      <c r="P76" s="20"/>
      <c r="Q76" s="20"/>
      <c r="R76" s="20"/>
      <c r="S76" s="20"/>
      <c r="T76" s="20"/>
      <c r="U76" s="20"/>
      <c r="V76" s="20"/>
    </row>
    <row r="77" ht="13.5" customHeight="1" spans="1:22">
      <c r="A77" s="20"/>
      <c r="B77" s="20"/>
      <c r="C77" s="20"/>
      <c r="D77" s="20"/>
      <c r="E77" s="20"/>
      <c r="F77" s="20"/>
      <c r="G77" s="20"/>
      <c r="H77" s="20"/>
      <c r="I77" s="20"/>
      <c r="J77" s="20"/>
      <c r="K77" s="20"/>
      <c r="L77" s="20"/>
      <c r="M77" s="20"/>
      <c r="N77" s="20"/>
      <c r="O77" s="20"/>
      <c r="P77" s="20"/>
      <c r="Q77" s="20"/>
      <c r="R77" s="20"/>
      <c r="S77" s="20"/>
      <c r="T77" s="20"/>
      <c r="U77" s="20"/>
      <c r="V77" s="20"/>
    </row>
    <row r="78" ht="13.5" customHeight="1" spans="1:22">
      <c r="A78" s="20"/>
      <c r="B78" s="20"/>
      <c r="C78" s="20"/>
      <c r="D78" s="20"/>
      <c r="E78" s="20"/>
      <c r="F78" s="20"/>
      <c r="G78" s="20"/>
      <c r="H78" s="20"/>
      <c r="I78" s="20"/>
      <c r="J78" s="20"/>
      <c r="K78" s="20"/>
      <c r="L78" s="20"/>
      <c r="M78" s="20"/>
      <c r="N78" s="20"/>
      <c r="O78" s="20"/>
      <c r="P78" s="20"/>
      <c r="Q78" s="20"/>
      <c r="R78" s="20"/>
      <c r="S78" s="20"/>
      <c r="T78" s="20"/>
      <c r="U78" s="20"/>
      <c r="V78" s="20"/>
    </row>
    <row r="79" ht="13.5" customHeight="1" spans="1:22">
      <c r="A79" s="20"/>
      <c r="B79" s="20"/>
      <c r="C79" s="20"/>
      <c r="D79" s="20"/>
      <c r="E79" s="20"/>
      <c r="F79" s="20"/>
      <c r="G79" s="20"/>
      <c r="H79" s="20"/>
      <c r="I79" s="20"/>
      <c r="J79" s="20"/>
      <c r="K79" s="20"/>
      <c r="L79" s="20"/>
      <c r="M79" s="20"/>
      <c r="N79" s="20"/>
      <c r="O79" s="20"/>
      <c r="P79" s="20"/>
      <c r="Q79" s="20"/>
      <c r="R79" s="20"/>
      <c r="S79" s="20"/>
      <c r="T79" s="20"/>
      <c r="U79" s="20"/>
      <c r="V79" s="20"/>
    </row>
    <row r="80" ht="13.5" customHeight="1" spans="1:22">
      <c r="A80" s="20"/>
      <c r="B80" s="20"/>
      <c r="C80" s="20"/>
      <c r="D80" s="20"/>
      <c r="E80" s="20"/>
      <c r="F80" s="20"/>
      <c r="G80" s="20"/>
      <c r="H80" s="20"/>
      <c r="I80" s="20"/>
      <c r="J80" s="20"/>
      <c r="K80" s="20"/>
      <c r="L80" s="20"/>
      <c r="M80" s="20"/>
      <c r="N80" s="20"/>
      <c r="O80" s="20"/>
      <c r="P80" s="20"/>
      <c r="Q80" s="20"/>
      <c r="R80" s="20"/>
      <c r="S80" s="20"/>
      <c r="T80" s="20"/>
      <c r="U80" s="20"/>
      <c r="V80" s="20"/>
    </row>
    <row r="81" ht="13.5" customHeight="1" spans="1:22">
      <c r="A81" s="20"/>
      <c r="B81" s="20"/>
      <c r="C81" s="20"/>
      <c r="D81" s="20"/>
      <c r="E81" s="20"/>
      <c r="F81" s="20"/>
      <c r="G81" s="20"/>
      <c r="H81" s="20"/>
      <c r="I81" s="20"/>
      <c r="J81" s="20"/>
      <c r="K81" s="20"/>
      <c r="L81" s="20"/>
      <c r="M81" s="20"/>
      <c r="N81" s="20"/>
      <c r="O81" s="20"/>
      <c r="P81" s="20"/>
      <c r="Q81" s="20"/>
      <c r="R81" s="20"/>
      <c r="S81" s="20"/>
      <c r="T81" s="20"/>
      <c r="U81" s="20"/>
      <c r="V81" s="20"/>
    </row>
    <row r="82" ht="13.5" customHeight="1" spans="1:22">
      <c r="A82" s="20"/>
      <c r="B82" s="20"/>
      <c r="C82" s="20"/>
      <c r="D82" s="20"/>
      <c r="E82" s="20"/>
      <c r="F82" s="20"/>
      <c r="G82" s="20"/>
      <c r="H82" s="20"/>
      <c r="I82" s="20"/>
      <c r="J82" s="20"/>
      <c r="K82" s="20"/>
      <c r="L82" s="20"/>
      <c r="M82" s="20"/>
      <c r="N82" s="20"/>
      <c r="O82" s="20"/>
      <c r="P82" s="20"/>
      <c r="Q82" s="20"/>
      <c r="R82" s="20"/>
      <c r="S82" s="20"/>
      <c r="T82" s="20"/>
      <c r="U82" s="20"/>
      <c r="V82" s="20"/>
    </row>
    <row r="83" ht="13.5" customHeight="1" spans="1:22">
      <c r="A83" s="20"/>
      <c r="B83" s="20"/>
      <c r="C83" s="20"/>
      <c r="D83" s="20"/>
      <c r="E83" s="20"/>
      <c r="F83" s="20"/>
      <c r="G83" s="20"/>
      <c r="H83" s="20"/>
      <c r="I83" s="20"/>
      <c r="J83" s="20"/>
      <c r="K83" s="20"/>
      <c r="L83" s="20"/>
      <c r="M83" s="20"/>
      <c r="N83" s="20"/>
      <c r="O83" s="20"/>
      <c r="P83" s="20"/>
      <c r="Q83" s="20"/>
      <c r="R83" s="20"/>
      <c r="S83" s="20"/>
      <c r="T83" s="20"/>
      <c r="U83" s="20"/>
      <c r="V83" s="20"/>
    </row>
    <row r="84" ht="13.5" customHeight="1" spans="1:22">
      <c r="A84" s="20"/>
      <c r="B84" s="20"/>
      <c r="C84" s="20"/>
      <c r="D84" s="20"/>
      <c r="E84" s="20"/>
      <c r="F84" s="20"/>
      <c r="G84" s="20"/>
      <c r="H84" s="20"/>
      <c r="I84" s="20"/>
      <c r="J84" s="20"/>
      <c r="K84" s="20"/>
      <c r="L84" s="20"/>
      <c r="M84" s="20"/>
      <c r="N84" s="20"/>
      <c r="O84" s="20"/>
      <c r="P84" s="20"/>
      <c r="Q84" s="20"/>
      <c r="R84" s="20"/>
      <c r="S84" s="20"/>
      <c r="T84" s="20"/>
      <c r="U84" s="20"/>
      <c r="V84" s="20"/>
    </row>
    <row r="85" ht="13.5" customHeight="1" spans="1:22">
      <c r="A85" s="20"/>
      <c r="B85" s="20"/>
      <c r="C85" s="20"/>
      <c r="D85" s="20"/>
      <c r="E85" s="20"/>
      <c r="F85" s="20"/>
      <c r="G85" s="20"/>
      <c r="H85" s="20"/>
      <c r="I85" s="20"/>
      <c r="J85" s="20"/>
      <c r="K85" s="20"/>
      <c r="L85" s="20"/>
      <c r="M85" s="20"/>
      <c r="N85" s="20"/>
      <c r="O85" s="20"/>
      <c r="P85" s="20"/>
      <c r="Q85" s="20"/>
      <c r="R85" s="20"/>
      <c r="S85" s="20"/>
      <c r="T85" s="20"/>
      <c r="U85" s="20"/>
      <c r="V85" s="20"/>
    </row>
    <row r="86" ht="13.5" customHeight="1" spans="1:22">
      <c r="A86" s="20"/>
      <c r="B86" s="20"/>
      <c r="C86" s="20"/>
      <c r="D86" s="20"/>
      <c r="E86" s="20"/>
      <c r="F86" s="20"/>
      <c r="G86" s="20"/>
      <c r="H86" s="20"/>
      <c r="I86" s="20"/>
      <c r="J86" s="20"/>
      <c r="K86" s="20"/>
      <c r="L86" s="20"/>
      <c r="M86" s="20"/>
      <c r="N86" s="20"/>
      <c r="O86" s="20"/>
      <c r="P86" s="20"/>
      <c r="Q86" s="20"/>
      <c r="R86" s="20"/>
      <c r="S86" s="20"/>
      <c r="T86" s="20"/>
      <c r="U86" s="20"/>
      <c r="V86" s="20"/>
    </row>
    <row r="87" ht="13.5" customHeight="1" spans="1:22">
      <c r="A87" s="20"/>
      <c r="B87" s="20"/>
      <c r="C87" s="20"/>
      <c r="D87" s="20"/>
      <c r="E87" s="20"/>
      <c r="F87" s="20"/>
      <c r="G87" s="20"/>
      <c r="H87" s="20"/>
      <c r="I87" s="20"/>
      <c r="J87" s="20"/>
      <c r="K87" s="20"/>
      <c r="L87" s="20"/>
      <c r="M87" s="20"/>
      <c r="N87" s="20"/>
      <c r="O87" s="20"/>
      <c r="P87" s="20"/>
      <c r="Q87" s="20"/>
      <c r="R87" s="20"/>
      <c r="S87" s="20"/>
      <c r="T87" s="20"/>
      <c r="U87" s="20"/>
      <c r="V87" s="20"/>
    </row>
    <row r="88" ht="13.5" customHeight="1" spans="1:22">
      <c r="A88" s="20"/>
      <c r="B88" s="20"/>
      <c r="C88" s="20"/>
      <c r="D88" s="20"/>
      <c r="E88" s="20"/>
      <c r="F88" s="20"/>
      <c r="G88" s="20"/>
      <c r="H88" s="20"/>
      <c r="I88" s="20"/>
      <c r="J88" s="20"/>
      <c r="K88" s="20"/>
      <c r="L88" s="20"/>
      <c r="M88" s="20"/>
      <c r="N88" s="20"/>
      <c r="O88" s="20"/>
      <c r="P88" s="20"/>
      <c r="Q88" s="20"/>
      <c r="R88" s="20"/>
      <c r="S88" s="20"/>
      <c r="T88" s="20"/>
      <c r="U88" s="20"/>
      <c r="V88" s="20"/>
    </row>
    <row r="89" ht="13.5" customHeight="1" spans="1:22">
      <c r="A89" s="20"/>
      <c r="B89" s="20"/>
      <c r="C89" s="20"/>
      <c r="D89" s="20"/>
      <c r="E89" s="20"/>
      <c r="F89" s="20"/>
      <c r="G89" s="20"/>
      <c r="H89" s="20"/>
      <c r="I89" s="20"/>
      <c r="J89" s="20"/>
      <c r="K89" s="20"/>
      <c r="L89" s="20"/>
      <c r="M89" s="20"/>
      <c r="N89" s="20"/>
      <c r="O89" s="20"/>
      <c r="P89" s="20"/>
      <c r="Q89" s="20"/>
      <c r="R89" s="20"/>
      <c r="S89" s="20"/>
      <c r="T89" s="20"/>
      <c r="U89" s="20"/>
      <c r="V89" s="20"/>
    </row>
    <row r="90" ht="13.5" customHeight="1" spans="1:22">
      <c r="A90" s="20"/>
      <c r="B90" s="20"/>
      <c r="C90" s="20"/>
      <c r="D90" s="20"/>
      <c r="E90" s="20"/>
      <c r="F90" s="20"/>
      <c r="G90" s="20"/>
      <c r="H90" s="20"/>
      <c r="I90" s="20"/>
      <c r="J90" s="20"/>
      <c r="K90" s="20"/>
      <c r="L90" s="20"/>
      <c r="M90" s="20"/>
      <c r="N90" s="20"/>
      <c r="O90" s="20"/>
      <c r="P90" s="20"/>
      <c r="Q90" s="20"/>
      <c r="R90" s="20"/>
      <c r="S90" s="20"/>
      <c r="T90" s="20"/>
      <c r="U90" s="20"/>
      <c r="V90" s="20"/>
    </row>
    <row r="91" ht="13.5" customHeight="1" spans="1:22">
      <c r="A91" s="20"/>
      <c r="B91" s="20"/>
      <c r="C91" s="20"/>
      <c r="D91" s="20"/>
      <c r="E91" s="20"/>
      <c r="F91" s="20"/>
      <c r="G91" s="20"/>
      <c r="H91" s="20"/>
      <c r="I91" s="20"/>
      <c r="J91" s="20"/>
      <c r="K91" s="20"/>
      <c r="L91" s="20"/>
      <c r="M91" s="20"/>
      <c r="N91" s="20"/>
      <c r="O91" s="20"/>
      <c r="P91" s="20"/>
      <c r="Q91" s="20"/>
      <c r="R91" s="20"/>
      <c r="S91" s="20"/>
      <c r="T91" s="20"/>
      <c r="U91" s="20"/>
      <c r="V91" s="20"/>
    </row>
    <row r="92" ht="13.5" customHeight="1" spans="1:22">
      <c r="A92" s="20"/>
      <c r="B92" s="20"/>
      <c r="C92" s="20"/>
      <c r="D92" s="20"/>
      <c r="E92" s="20"/>
      <c r="F92" s="20"/>
      <c r="G92" s="20"/>
      <c r="H92" s="20"/>
      <c r="I92" s="20"/>
      <c r="J92" s="20"/>
      <c r="K92" s="20"/>
      <c r="L92" s="20"/>
      <c r="M92" s="20"/>
      <c r="N92" s="20"/>
      <c r="O92" s="20"/>
      <c r="P92" s="20"/>
      <c r="Q92" s="20"/>
      <c r="R92" s="20"/>
      <c r="S92" s="20"/>
      <c r="T92" s="20"/>
      <c r="U92" s="20"/>
      <c r="V92" s="20"/>
    </row>
    <row r="93" ht="13.5" customHeight="1" spans="1:22">
      <c r="A93" s="20"/>
      <c r="B93" s="20"/>
      <c r="C93" s="20"/>
      <c r="D93" s="20"/>
      <c r="E93" s="20"/>
      <c r="F93" s="20"/>
      <c r="G93" s="20"/>
      <c r="H93" s="20"/>
      <c r="I93" s="20"/>
      <c r="J93" s="20"/>
      <c r="K93" s="20"/>
      <c r="L93" s="20"/>
      <c r="M93" s="20"/>
      <c r="N93" s="20"/>
      <c r="O93" s="20"/>
      <c r="P93" s="20"/>
      <c r="Q93" s="20"/>
      <c r="R93" s="20"/>
      <c r="S93" s="20"/>
      <c r="T93" s="20"/>
      <c r="U93" s="20"/>
      <c r="V93" s="20"/>
    </row>
    <row r="94" ht="13.5" customHeight="1" spans="1:22">
      <c r="A94" s="20"/>
      <c r="B94" s="20"/>
      <c r="C94" s="20"/>
      <c r="D94" s="20"/>
      <c r="E94" s="20"/>
      <c r="F94" s="20"/>
      <c r="G94" s="20"/>
      <c r="H94" s="20"/>
      <c r="I94" s="20"/>
      <c r="J94" s="20"/>
      <c r="K94" s="20"/>
      <c r="L94" s="20"/>
      <c r="M94" s="20"/>
      <c r="N94" s="20"/>
      <c r="O94" s="20"/>
      <c r="P94" s="20"/>
      <c r="Q94" s="20"/>
      <c r="R94" s="20"/>
      <c r="S94" s="20"/>
      <c r="T94" s="20"/>
      <c r="U94" s="20"/>
      <c r="V94" s="20"/>
    </row>
    <row r="95" ht="13.5" customHeight="1" spans="1:22">
      <c r="A95" s="20"/>
      <c r="B95" s="20"/>
      <c r="C95" s="20"/>
      <c r="D95" s="20"/>
      <c r="E95" s="20"/>
      <c r="F95" s="20"/>
      <c r="G95" s="20"/>
      <c r="H95" s="20"/>
      <c r="I95" s="20"/>
      <c r="J95" s="20"/>
      <c r="K95" s="20"/>
      <c r="L95" s="20"/>
      <c r="M95" s="20"/>
      <c r="N95" s="20"/>
      <c r="O95" s="20"/>
      <c r="P95" s="20"/>
      <c r="Q95" s="20"/>
      <c r="R95" s="20"/>
      <c r="S95" s="20"/>
      <c r="T95" s="20"/>
      <c r="U95" s="20"/>
      <c r="V95" s="20"/>
    </row>
    <row r="96" ht="13.5" customHeight="1" spans="1:22">
      <c r="A96" s="20"/>
      <c r="B96" s="20"/>
      <c r="C96" s="20"/>
      <c r="D96" s="20"/>
      <c r="E96" s="20"/>
      <c r="F96" s="20"/>
      <c r="G96" s="20"/>
      <c r="H96" s="20"/>
      <c r="I96" s="20"/>
      <c r="J96" s="20"/>
      <c r="K96" s="20"/>
      <c r="L96" s="20"/>
      <c r="M96" s="20"/>
      <c r="N96" s="20"/>
      <c r="O96" s="20"/>
      <c r="P96" s="20"/>
      <c r="Q96" s="20"/>
      <c r="R96" s="20"/>
      <c r="S96" s="20"/>
      <c r="T96" s="20"/>
      <c r="U96" s="20"/>
      <c r="V96" s="20"/>
    </row>
    <row r="97" ht="13.5" customHeight="1" spans="1:22">
      <c r="A97" s="20"/>
      <c r="B97" s="20"/>
      <c r="C97" s="20"/>
      <c r="D97" s="20"/>
      <c r="E97" s="20"/>
      <c r="F97" s="20"/>
      <c r="G97" s="20"/>
      <c r="H97" s="20"/>
      <c r="I97" s="20"/>
      <c r="J97" s="20"/>
      <c r="K97" s="20"/>
      <c r="L97" s="20"/>
      <c r="M97" s="20"/>
      <c r="N97" s="20"/>
      <c r="O97" s="20"/>
      <c r="P97" s="20"/>
      <c r="Q97" s="20"/>
      <c r="R97" s="20"/>
      <c r="S97" s="20"/>
      <c r="T97" s="20"/>
      <c r="U97" s="20"/>
      <c r="V97" s="20"/>
    </row>
    <row r="98" ht="13.5" customHeight="1" spans="1:22">
      <c r="A98" s="20"/>
      <c r="B98" s="20"/>
      <c r="C98" s="20"/>
      <c r="D98" s="20"/>
      <c r="E98" s="20"/>
      <c r="F98" s="20"/>
      <c r="G98" s="20"/>
      <c r="H98" s="20"/>
      <c r="I98" s="20"/>
      <c r="J98" s="20"/>
      <c r="K98" s="20"/>
      <c r="L98" s="20"/>
      <c r="M98" s="20"/>
      <c r="N98" s="20"/>
      <c r="O98" s="20"/>
      <c r="P98" s="20"/>
      <c r="Q98" s="20"/>
      <c r="R98" s="20"/>
      <c r="S98" s="20"/>
      <c r="T98" s="20"/>
      <c r="U98" s="20"/>
      <c r="V98" s="20"/>
    </row>
    <row r="99" ht="13.5" customHeight="1" spans="1:22">
      <c r="A99" s="20"/>
      <c r="B99" s="20"/>
      <c r="C99" s="20"/>
      <c r="D99" s="20"/>
      <c r="E99" s="20"/>
      <c r="F99" s="20"/>
      <c r="G99" s="20"/>
      <c r="H99" s="20"/>
      <c r="I99" s="20"/>
      <c r="J99" s="20"/>
      <c r="K99" s="20"/>
      <c r="L99" s="20"/>
      <c r="M99" s="20"/>
      <c r="N99" s="20"/>
      <c r="O99" s="20"/>
      <c r="P99" s="20"/>
      <c r="Q99" s="20"/>
      <c r="R99" s="20"/>
      <c r="S99" s="20"/>
      <c r="T99" s="20"/>
      <c r="U99" s="20"/>
      <c r="V99" s="20"/>
    </row>
    <row r="100" ht="13.5" customHeight="1" spans="1:22">
      <c r="A100" s="20"/>
      <c r="B100" s="20"/>
      <c r="C100" s="20"/>
      <c r="D100" s="20"/>
      <c r="E100" s="20"/>
      <c r="F100" s="20"/>
      <c r="G100" s="20"/>
      <c r="H100" s="20"/>
      <c r="I100" s="20"/>
      <c r="J100" s="20"/>
      <c r="K100" s="20"/>
      <c r="L100" s="20"/>
      <c r="M100" s="20"/>
      <c r="N100" s="20"/>
      <c r="O100" s="20"/>
      <c r="P100" s="20"/>
      <c r="Q100" s="20"/>
      <c r="R100" s="20"/>
      <c r="S100" s="20"/>
      <c r="T100" s="20"/>
      <c r="U100" s="20"/>
      <c r="V100" s="20"/>
    </row>
    <row r="101" ht="13.5" customHeight="1" spans="1:22">
      <c r="A101" s="20"/>
      <c r="B101" s="20"/>
      <c r="C101" s="20"/>
      <c r="D101" s="20"/>
      <c r="E101" s="20"/>
      <c r="F101" s="20"/>
      <c r="G101" s="20"/>
      <c r="H101" s="20"/>
      <c r="I101" s="20"/>
      <c r="J101" s="20"/>
      <c r="K101" s="20"/>
      <c r="L101" s="20"/>
      <c r="M101" s="20"/>
      <c r="N101" s="20"/>
      <c r="O101" s="20"/>
      <c r="P101" s="20"/>
      <c r="Q101" s="20"/>
      <c r="R101" s="20"/>
      <c r="S101" s="20"/>
      <c r="T101" s="20"/>
      <c r="U101" s="20"/>
      <c r="V101" s="20"/>
    </row>
    <row r="102" ht="13.5" customHeight="1" spans="1:22">
      <c r="A102" s="20"/>
      <c r="B102" s="20"/>
      <c r="C102" s="20"/>
      <c r="D102" s="20"/>
      <c r="E102" s="20"/>
      <c r="F102" s="20"/>
      <c r="G102" s="20"/>
      <c r="H102" s="20"/>
      <c r="I102" s="20"/>
      <c r="J102" s="20"/>
      <c r="K102" s="20"/>
      <c r="L102" s="20"/>
      <c r="M102" s="20"/>
      <c r="N102" s="20"/>
      <c r="O102" s="20"/>
      <c r="P102" s="20"/>
      <c r="Q102" s="20"/>
      <c r="R102" s="20"/>
      <c r="S102" s="20"/>
      <c r="T102" s="20"/>
      <c r="U102" s="20"/>
      <c r="V102" s="20"/>
    </row>
    <row r="103" ht="13.5" customHeight="1" spans="1:22">
      <c r="A103" s="20"/>
      <c r="B103" s="20"/>
      <c r="C103" s="20"/>
      <c r="D103" s="20"/>
      <c r="E103" s="20"/>
      <c r="F103" s="20"/>
      <c r="G103" s="20"/>
      <c r="H103" s="20"/>
      <c r="I103" s="20"/>
      <c r="J103" s="20"/>
      <c r="K103" s="20"/>
      <c r="L103" s="20"/>
      <c r="M103" s="20"/>
      <c r="N103" s="20"/>
      <c r="O103" s="20"/>
      <c r="P103" s="20"/>
      <c r="Q103" s="20"/>
      <c r="R103" s="20"/>
      <c r="S103" s="20"/>
      <c r="T103" s="20"/>
      <c r="U103" s="20"/>
      <c r="V103" s="20"/>
    </row>
    <row r="104" ht="13.5" customHeight="1" spans="1:22">
      <c r="A104" s="20"/>
      <c r="B104" s="20"/>
      <c r="C104" s="20"/>
      <c r="D104" s="20"/>
      <c r="E104" s="20"/>
      <c r="F104" s="20"/>
      <c r="G104" s="20"/>
      <c r="H104" s="20"/>
      <c r="I104" s="20"/>
      <c r="J104" s="20"/>
      <c r="K104" s="20"/>
      <c r="L104" s="20"/>
      <c r="M104" s="20"/>
      <c r="N104" s="20"/>
      <c r="O104" s="20"/>
      <c r="P104" s="20"/>
      <c r="Q104" s="20"/>
      <c r="R104" s="20"/>
      <c r="S104" s="20"/>
      <c r="T104" s="20"/>
      <c r="U104" s="20"/>
      <c r="V104" s="20"/>
    </row>
    <row r="105" ht="13.5" customHeight="1" spans="1:22">
      <c r="A105" s="20"/>
      <c r="B105" s="20"/>
      <c r="C105" s="20"/>
      <c r="D105" s="20"/>
      <c r="E105" s="20"/>
      <c r="F105" s="20"/>
      <c r="G105" s="20"/>
      <c r="H105" s="20"/>
      <c r="I105" s="20"/>
      <c r="J105" s="20"/>
      <c r="K105" s="20"/>
      <c r="L105" s="20"/>
      <c r="M105" s="20"/>
      <c r="N105" s="20"/>
      <c r="O105" s="20"/>
      <c r="P105" s="20"/>
      <c r="Q105" s="20"/>
      <c r="R105" s="20"/>
      <c r="S105" s="20"/>
      <c r="T105" s="20"/>
      <c r="U105" s="20"/>
      <c r="V105" s="20"/>
    </row>
    <row r="106" ht="13.5" customHeight="1" spans="1:22">
      <c r="A106" s="20"/>
      <c r="B106" s="20"/>
      <c r="C106" s="20"/>
      <c r="D106" s="20"/>
      <c r="E106" s="20"/>
      <c r="F106" s="20"/>
      <c r="G106" s="20"/>
      <c r="H106" s="20"/>
      <c r="I106" s="20"/>
      <c r="J106" s="20"/>
      <c r="K106" s="20"/>
      <c r="L106" s="20"/>
      <c r="M106" s="20"/>
      <c r="N106" s="20"/>
      <c r="O106" s="20"/>
      <c r="P106" s="20"/>
      <c r="Q106" s="20"/>
      <c r="R106" s="20"/>
      <c r="S106" s="20"/>
      <c r="T106" s="20"/>
      <c r="U106" s="20"/>
      <c r="V106" s="20"/>
    </row>
    <row r="107" ht="13.5" customHeight="1" spans="1:22">
      <c r="A107" s="20"/>
      <c r="B107" s="20"/>
      <c r="C107" s="20"/>
      <c r="D107" s="20"/>
      <c r="E107" s="20"/>
      <c r="F107" s="20"/>
      <c r="G107" s="20"/>
      <c r="H107" s="20"/>
      <c r="I107" s="20"/>
      <c r="J107" s="20"/>
      <c r="K107" s="20"/>
      <c r="L107" s="20"/>
      <c r="M107" s="20"/>
      <c r="N107" s="20"/>
      <c r="O107" s="20"/>
      <c r="P107" s="20"/>
      <c r="Q107" s="20"/>
      <c r="R107" s="20"/>
      <c r="S107" s="20"/>
      <c r="T107" s="20"/>
      <c r="U107" s="20"/>
      <c r="V107" s="20"/>
    </row>
    <row r="108" ht="13.5" customHeight="1" spans="1:22">
      <c r="A108" s="20"/>
      <c r="B108" s="20"/>
      <c r="C108" s="20"/>
      <c r="D108" s="20"/>
      <c r="E108" s="20"/>
      <c r="F108" s="20"/>
      <c r="G108" s="20"/>
      <c r="H108" s="20"/>
      <c r="I108" s="20"/>
      <c r="J108" s="20"/>
      <c r="K108" s="20"/>
      <c r="L108" s="20"/>
      <c r="M108" s="20"/>
      <c r="N108" s="20"/>
      <c r="O108" s="20"/>
      <c r="P108" s="20"/>
      <c r="Q108" s="20"/>
      <c r="R108" s="20"/>
      <c r="S108" s="20"/>
      <c r="T108" s="20"/>
      <c r="U108" s="20"/>
      <c r="V108" s="20"/>
    </row>
    <row r="109" ht="13.5" customHeight="1" spans="1:22">
      <c r="A109" s="20"/>
      <c r="B109" s="20"/>
      <c r="C109" s="20"/>
      <c r="D109" s="20"/>
      <c r="E109" s="20"/>
      <c r="F109" s="20"/>
      <c r="G109" s="20"/>
      <c r="H109" s="20"/>
      <c r="I109" s="20"/>
      <c r="J109" s="20"/>
      <c r="K109" s="20"/>
      <c r="L109" s="20"/>
      <c r="M109" s="20"/>
      <c r="N109" s="20"/>
      <c r="O109" s="20"/>
      <c r="P109" s="20"/>
      <c r="Q109" s="20"/>
      <c r="R109" s="20"/>
      <c r="S109" s="20"/>
      <c r="T109" s="20"/>
      <c r="U109" s="20"/>
      <c r="V109" s="20"/>
    </row>
    <row r="110" ht="13.5" customHeight="1" spans="1:22">
      <c r="A110" s="20"/>
      <c r="B110" s="20"/>
      <c r="C110" s="20"/>
      <c r="D110" s="20"/>
      <c r="E110" s="20"/>
      <c r="F110" s="20"/>
      <c r="G110" s="20"/>
      <c r="H110" s="20"/>
      <c r="I110" s="20"/>
      <c r="J110" s="20"/>
      <c r="K110" s="20"/>
      <c r="L110" s="20"/>
      <c r="M110" s="20"/>
      <c r="N110" s="20"/>
      <c r="O110" s="20"/>
      <c r="P110" s="20"/>
      <c r="Q110" s="20"/>
      <c r="R110" s="20"/>
      <c r="S110" s="20"/>
      <c r="T110" s="20"/>
      <c r="U110" s="20"/>
      <c r="V110" s="20"/>
    </row>
    <row r="111" ht="13.5" customHeight="1" spans="1:22">
      <c r="A111" s="20"/>
      <c r="B111" s="20"/>
      <c r="C111" s="20"/>
      <c r="D111" s="20"/>
      <c r="E111" s="20"/>
      <c r="F111" s="20"/>
      <c r="G111" s="20"/>
      <c r="H111" s="20"/>
      <c r="I111" s="20"/>
      <c r="J111" s="20"/>
      <c r="K111" s="20"/>
      <c r="L111" s="20"/>
      <c r="M111" s="20"/>
      <c r="N111" s="20"/>
      <c r="O111" s="20"/>
      <c r="P111" s="20"/>
      <c r="Q111" s="20"/>
      <c r="R111" s="20"/>
      <c r="S111" s="20"/>
      <c r="T111" s="20"/>
      <c r="U111" s="20"/>
      <c r="V111" s="20"/>
    </row>
    <row r="112" ht="13.5" customHeight="1" spans="1:22">
      <c r="A112" s="20"/>
      <c r="B112" s="20"/>
      <c r="C112" s="20"/>
      <c r="D112" s="20"/>
      <c r="E112" s="20"/>
      <c r="F112" s="20"/>
      <c r="G112" s="20"/>
      <c r="H112" s="20"/>
      <c r="I112" s="20"/>
      <c r="J112" s="20"/>
      <c r="K112" s="20"/>
      <c r="L112" s="20"/>
      <c r="M112" s="20"/>
      <c r="N112" s="20"/>
      <c r="O112" s="20"/>
      <c r="P112" s="20"/>
      <c r="Q112" s="20"/>
      <c r="R112" s="20"/>
      <c r="S112" s="20"/>
      <c r="T112" s="20"/>
      <c r="U112" s="20"/>
      <c r="V112" s="20"/>
    </row>
    <row r="113" ht="13.5" customHeight="1" spans="1:22">
      <c r="A113" s="20"/>
      <c r="B113" s="20"/>
      <c r="C113" s="20"/>
      <c r="D113" s="20"/>
      <c r="E113" s="20"/>
      <c r="F113" s="20"/>
      <c r="G113" s="20"/>
      <c r="H113" s="20"/>
      <c r="I113" s="20"/>
      <c r="J113" s="20"/>
      <c r="K113" s="20"/>
      <c r="L113" s="20"/>
      <c r="M113" s="20"/>
      <c r="N113" s="20"/>
      <c r="O113" s="20"/>
      <c r="P113" s="20"/>
      <c r="Q113" s="20"/>
      <c r="R113" s="20"/>
      <c r="S113" s="20"/>
      <c r="T113" s="20"/>
      <c r="U113" s="20"/>
      <c r="V113" s="20"/>
    </row>
    <row r="114" ht="13.5" customHeight="1" spans="1:22">
      <c r="A114" s="20"/>
      <c r="B114" s="20"/>
      <c r="C114" s="20"/>
      <c r="D114" s="20"/>
      <c r="E114" s="20"/>
      <c r="F114" s="20"/>
      <c r="G114" s="20"/>
      <c r="H114" s="20"/>
      <c r="I114" s="20"/>
      <c r="J114" s="20"/>
      <c r="K114" s="20"/>
      <c r="L114" s="20"/>
      <c r="M114" s="20"/>
      <c r="N114" s="20"/>
      <c r="O114" s="20"/>
      <c r="P114" s="20"/>
      <c r="Q114" s="20"/>
      <c r="R114" s="20"/>
      <c r="S114" s="20"/>
      <c r="T114" s="20"/>
      <c r="U114" s="20"/>
      <c r="V114" s="20"/>
    </row>
    <row r="115" ht="13.5" customHeight="1" spans="1:22">
      <c r="A115" s="20"/>
      <c r="B115" s="20"/>
      <c r="C115" s="20"/>
      <c r="D115" s="20"/>
      <c r="E115" s="20"/>
      <c r="F115" s="20"/>
      <c r="G115" s="20"/>
      <c r="H115" s="20"/>
      <c r="I115" s="20"/>
      <c r="J115" s="20"/>
      <c r="K115" s="20"/>
      <c r="L115" s="20"/>
      <c r="M115" s="20"/>
      <c r="N115" s="20"/>
      <c r="O115" s="20"/>
      <c r="P115" s="20"/>
      <c r="Q115" s="20"/>
      <c r="R115" s="20"/>
      <c r="S115" s="20"/>
      <c r="T115" s="20"/>
      <c r="U115" s="20"/>
      <c r="V115" s="20"/>
    </row>
    <row r="116" ht="13.5" customHeight="1" spans="1:22">
      <c r="A116" s="20"/>
      <c r="B116" s="20"/>
      <c r="C116" s="20"/>
      <c r="D116" s="20"/>
      <c r="E116" s="20"/>
      <c r="F116" s="20"/>
      <c r="G116" s="20"/>
      <c r="H116" s="20"/>
      <c r="I116" s="20"/>
      <c r="J116" s="20"/>
      <c r="K116" s="20"/>
      <c r="L116" s="20"/>
      <c r="M116" s="20"/>
      <c r="N116" s="20"/>
      <c r="O116" s="20"/>
      <c r="P116" s="20"/>
      <c r="Q116" s="20"/>
      <c r="R116" s="20"/>
      <c r="S116" s="20"/>
      <c r="T116" s="20"/>
      <c r="U116" s="20"/>
      <c r="V116" s="20"/>
    </row>
    <row r="117" ht="13.5" customHeight="1" spans="1:22">
      <c r="A117" s="20"/>
      <c r="B117" s="20"/>
      <c r="C117" s="20"/>
      <c r="D117" s="20"/>
      <c r="E117" s="20"/>
      <c r="F117" s="20"/>
      <c r="G117" s="20"/>
      <c r="H117" s="20"/>
      <c r="I117" s="20"/>
      <c r="J117" s="20"/>
      <c r="K117" s="20"/>
      <c r="L117" s="20"/>
      <c r="M117" s="20"/>
      <c r="N117" s="20"/>
      <c r="O117" s="20"/>
      <c r="P117" s="20"/>
      <c r="Q117" s="20"/>
      <c r="R117" s="20"/>
      <c r="S117" s="20"/>
      <c r="T117" s="20"/>
      <c r="U117" s="20"/>
      <c r="V117" s="20"/>
    </row>
    <row r="118" ht="13.5" customHeight="1" spans="1:22">
      <c r="A118" s="20"/>
      <c r="B118" s="20"/>
      <c r="C118" s="20"/>
      <c r="D118" s="20"/>
      <c r="E118" s="20"/>
      <c r="F118" s="20"/>
      <c r="G118" s="20"/>
      <c r="H118" s="20"/>
      <c r="I118" s="20"/>
      <c r="J118" s="20"/>
      <c r="K118" s="20"/>
      <c r="L118" s="20"/>
      <c r="M118" s="20"/>
      <c r="N118" s="20"/>
      <c r="O118" s="20"/>
      <c r="P118" s="20"/>
      <c r="Q118" s="20"/>
      <c r="R118" s="20"/>
      <c r="S118" s="20"/>
      <c r="T118" s="20"/>
      <c r="U118" s="20"/>
      <c r="V118" s="20"/>
    </row>
    <row r="119" ht="13.5" customHeight="1" spans="1:22">
      <c r="A119" s="20"/>
      <c r="B119" s="20"/>
      <c r="C119" s="20"/>
      <c r="D119" s="20"/>
      <c r="E119" s="20"/>
      <c r="F119" s="20"/>
      <c r="G119" s="20"/>
      <c r="H119" s="20"/>
      <c r="I119" s="20"/>
      <c r="J119" s="20"/>
      <c r="K119" s="20"/>
      <c r="L119" s="20"/>
      <c r="M119" s="20"/>
      <c r="N119" s="20"/>
      <c r="O119" s="20"/>
      <c r="P119" s="20"/>
      <c r="Q119" s="20"/>
      <c r="R119" s="20"/>
      <c r="S119" s="20"/>
      <c r="T119" s="20"/>
      <c r="U119" s="20"/>
      <c r="V119" s="20"/>
    </row>
    <row r="120" ht="13.5" customHeight="1" spans="1:22">
      <c r="A120" s="20"/>
      <c r="B120" s="20"/>
      <c r="C120" s="20"/>
      <c r="D120" s="20"/>
      <c r="E120" s="20"/>
      <c r="F120" s="20"/>
      <c r="G120" s="20"/>
      <c r="H120" s="20"/>
      <c r="I120" s="20"/>
      <c r="J120" s="20"/>
      <c r="K120" s="20"/>
      <c r="L120" s="20"/>
      <c r="M120" s="20"/>
      <c r="N120" s="20"/>
      <c r="O120" s="20"/>
      <c r="P120" s="20"/>
      <c r="Q120" s="20"/>
      <c r="R120" s="20"/>
      <c r="S120" s="20"/>
      <c r="T120" s="20"/>
      <c r="U120" s="20"/>
      <c r="V120" s="20"/>
    </row>
    <row r="121" ht="13.5" customHeight="1" spans="1:22">
      <c r="A121" s="20"/>
      <c r="B121" s="20"/>
      <c r="C121" s="20"/>
      <c r="D121" s="20"/>
      <c r="E121" s="20"/>
      <c r="F121" s="20"/>
      <c r="G121" s="20"/>
      <c r="H121" s="20"/>
      <c r="I121" s="20"/>
      <c r="J121" s="20"/>
      <c r="K121" s="20"/>
      <c r="L121" s="20"/>
      <c r="M121" s="20"/>
      <c r="N121" s="20"/>
      <c r="O121" s="20"/>
      <c r="P121" s="20"/>
      <c r="Q121" s="20"/>
      <c r="R121" s="20"/>
      <c r="S121" s="20"/>
      <c r="T121" s="20"/>
      <c r="U121" s="20"/>
      <c r="V121" s="20"/>
    </row>
    <row r="122" ht="13.5" customHeight="1" spans="1:22">
      <c r="A122" s="20"/>
      <c r="B122" s="20"/>
      <c r="C122" s="20"/>
      <c r="D122" s="20"/>
      <c r="E122" s="20"/>
      <c r="F122" s="20"/>
      <c r="G122" s="20"/>
      <c r="H122" s="20"/>
      <c r="I122" s="20"/>
      <c r="J122" s="20"/>
      <c r="K122" s="20"/>
      <c r="L122" s="20"/>
      <c r="M122" s="20"/>
      <c r="N122" s="20"/>
      <c r="O122" s="20"/>
      <c r="P122" s="20"/>
      <c r="Q122" s="20"/>
      <c r="R122" s="20"/>
      <c r="S122" s="20"/>
      <c r="T122" s="20"/>
      <c r="U122" s="20"/>
      <c r="V122" s="20"/>
    </row>
    <row r="123" ht="13.5" customHeight="1" spans="1:22">
      <c r="A123" s="20"/>
      <c r="B123" s="20"/>
      <c r="C123" s="20"/>
      <c r="D123" s="20"/>
      <c r="E123" s="20"/>
      <c r="F123" s="20"/>
      <c r="G123" s="20"/>
      <c r="H123" s="20"/>
      <c r="I123" s="20"/>
      <c r="J123" s="20"/>
      <c r="K123" s="20"/>
      <c r="L123" s="20"/>
      <c r="M123" s="20"/>
      <c r="N123" s="20"/>
      <c r="O123" s="20"/>
      <c r="P123" s="20"/>
      <c r="Q123" s="20"/>
      <c r="R123" s="20"/>
      <c r="S123" s="20"/>
      <c r="T123" s="20"/>
      <c r="U123" s="20"/>
      <c r="V123" s="20"/>
    </row>
    <row r="124" ht="13.5" customHeight="1" spans="1:22">
      <c r="A124" s="20"/>
      <c r="B124" s="20"/>
      <c r="C124" s="20"/>
      <c r="D124" s="20"/>
      <c r="E124" s="20"/>
      <c r="F124" s="20"/>
      <c r="G124" s="20"/>
      <c r="H124" s="20"/>
      <c r="I124" s="20"/>
      <c r="J124" s="20"/>
      <c r="K124" s="20"/>
      <c r="L124" s="20"/>
      <c r="M124" s="20"/>
      <c r="N124" s="20"/>
      <c r="O124" s="20"/>
      <c r="P124" s="20"/>
      <c r="Q124" s="20"/>
      <c r="R124" s="20"/>
      <c r="S124" s="20"/>
      <c r="T124" s="20"/>
      <c r="U124" s="20"/>
      <c r="V124" s="20"/>
    </row>
    <row r="125" ht="13.5" customHeight="1" spans="1:22">
      <c r="A125" s="20"/>
      <c r="B125" s="20"/>
      <c r="C125" s="20"/>
      <c r="D125" s="20"/>
      <c r="E125" s="20"/>
      <c r="F125" s="20"/>
      <c r="G125" s="20"/>
      <c r="H125" s="20"/>
      <c r="I125" s="20"/>
      <c r="J125" s="20"/>
      <c r="K125" s="20"/>
      <c r="L125" s="20"/>
      <c r="M125" s="20"/>
      <c r="N125" s="20"/>
      <c r="O125" s="20"/>
      <c r="P125" s="20"/>
      <c r="Q125" s="20"/>
      <c r="R125" s="20"/>
      <c r="S125" s="20"/>
      <c r="T125" s="20"/>
      <c r="U125" s="20"/>
      <c r="V125" s="20"/>
    </row>
    <row r="126" ht="13.5" customHeight="1" spans="1:22">
      <c r="A126" s="20"/>
      <c r="B126" s="20"/>
      <c r="C126" s="20"/>
      <c r="D126" s="20"/>
      <c r="E126" s="20"/>
      <c r="F126" s="20"/>
      <c r="G126" s="20"/>
      <c r="H126" s="20"/>
      <c r="I126" s="20"/>
      <c r="J126" s="20"/>
      <c r="K126" s="20"/>
      <c r="L126" s="20"/>
      <c r="M126" s="20"/>
      <c r="N126" s="20"/>
      <c r="O126" s="20"/>
      <c r="P126" s="20"/>
      <c r="Q126" s="20"/>
      <c r="R126" s="20"/>
      <c r="S126" s="20"/>
      <c r="T126" s="20"/>
      <c r="U126" s="20"/>
      <c r="V126" s="20"/>
    </row>
    <row r="127" ht="13.5" customHeight="1" spans="1:22">
      <c r="A127" s="20"/>
      <c r="B127" s="20"/>
      <c r="C127" s="20"/>
      <c r="D127" s="20"/>
      <c r="E127" s="20"/>
      <c r="F127" s="20"/>
      <c r="G127" s="20"/>
      <c r="H127" s="20"/>
      <c r="I127" s="20"/>
      <c r="J127" s="20"/>
      <c r="K127" s="20"/>
      <c r="L127" s="20"/>
      <c r="M127" s="20"/>
      <c r="N127" s="20"/>
      <c r="O127" s="20"/>
      <c r="P127" s="20"/>
      <c r="Q127" s="20"/>
      <c r="R127" s="20"/>
      <c r="S127" s="20"/>
      <c r="T127" s="20"/>
      <c r="U127" s="20"/>
      <c r="V127" s="20"/>
    </row>
    <row r="128" ht="13.5" customHeight="1" spans="1:22">
      <c r="A128" s="20"/>
      <c r="B128" s="20"/>
      <c r="C128" s="20"/>
      <c r="D128" s="20"/>
      <c r="E128" s="20"/>
      <c r="F128" s="20"/>
      <c r="G128" s="20"/>
      <c r="H128" s="20"/>
      <c r="I128" s="20"/>
      <c r="J128" s="20"/>
      <c r="K128" s="20"/>
      <c r="L128" s="20"/>
      <c r="M128" s="20"/>
      <c r="N128" s="20"/>
      <c r="O128" s="20"/>
      <c r="P128" s="20"/>
      <c r="Q128" s="20"/>
      <c r="R128" s="20"/>
      <c r="S128" s="20"/>
      <c r="T128" s="20"/>
      <c r="U128" s="20"/>
      <c r="V128" s="20"/>
    </row>
    <row r="129" ht="13.5" customHeight="1" spans="1:22">
      <c r="A129" s="20"/>
      <c r="B129" s="20"/>
      <c r="C129" s="20"/>
      <c r="D129" s="20"/>
      <c r="E129" s="20"/>
      <c r="F129" s="20"/>
      <c r="G129" s="20"/>
      <c r="H129" s="20"/>
      <c r="I129" s="20"/>
      <c r="J129" s="20"/>
      <c r="K129" s="20"/>
      <c r="L129" s="20"/>
      <c r="M129" s="20"/>
      <c r="N129" s="20"/>
      <c r="O129" s="20"/>
      <c r="P129" s="20"/>
      <c r="Q129" s="20"/>
      <c r="R129" s="20"/>
      <c r="S129" s="20"/>
      <c r="T129" s="20"/>
      <c r="U129" s="20"/>
      <c r="V129" s="20"/>
    </row>
    <row r="130" ht="13.5" customHeight="1" spans="1:22">
      <c r="A130" s="20"/>
      <c r="B130" s="20"/>
      <c r="C130" s="20"/>
      <c r="D130" s="20"/>
      <c r="E130" s="20"/>
      <c r="F130" s="20"/>
      <c r="G130" s="20"/>
      <c r="H130" s="20"/>
      <c r="I130" s="20"/>
      <c r="J130" s="20"/>
      <c r="K130" s="20"/>
      <c r="L130" s="20"/>
      <c r="M130" s="20"/>
      <c r="N130" s="20"/>
      <c r="O130" s="20"/>
      <c r="P130" s="20"/>
      <c r="Q130" s="20"/>
      <c r="R130" s="20"/>
      <c r="S130" s="20"/>
      <c r="T130" s="20"/>
      <c r="U130" s="20"/>
      <c r="V130" s="20"/>
    </row>
    <row r="131" ht="13.5" customHeight="1" spans="1:22">
      <c r="A131" s="20"/>
      <c r="B131" s="20"/>
      <c r="C131" s="20"/>
      <c r="D131" s="20"/>
      <c r="E131" s="20"/>
      <c r="F131" s="20"/>
      <c r="G131" s="20"/>
      <c r="H131" s="20"/>
      <c r="I131" s="20"/>
      <c r="J131" s="20"/>
      <c r="K131" s="20"/>
      <c r="L131" s="20"/>
      <c r="M131" s="20"/>
      <c r="N131" s="20"/>
      <c r="O131" s="20"/>
      <c r="P131" s="20"/>
      <c r="Q131" s="20"/>
      <c r="R131" s="20"/>
      <c r="S131" s="20"/>
      <c r="T131" s="20"/>
      <c r="U131" s="20"/>
      <c r="V131" s="20"/>
    </row>
    <row r="132" ht="13.5" customHeight="1" spans="1:22">
      <c r="A132" s="20"/>
      <c r="B132" s="20"/>
      <c r="C132" s="20"/>
      <c r="D132" s="20"/>
      <c r="E132" s="20"/>
      <c r="F132" s="20"/>
      <c r="G132" s="20"/>
      <c r="H132" s="20"/>
      <c r="I132" s="20"/>
      <c r="J132" s="20"/>
      <c r="K132" s="20"/>
      <c r="L132" s="20"/>
      <c r="M132" s="20"/>
      <c r="N132" s="20"/>
      <c r="O132" s="20"/>
      <c r="P132" s="20"/>
      <c r="Q132" s="20"/>
      <c r="R132" s="20"/>
      <c r="S132" s="20"/>
      <c r="T132" s="20"/>
      <c r="U132" s="20"/>
      <c r="V132" s="20"/>
    </row>
    <row r="133" ht="13.5" customHeight="1" spans="1:22">
      <c r="A133" s="20"/>
      <c r="B133" s="20"/>
      <c r="C133" s="20"/>
      <c r="D133" s="20"/>
      <c r="E133" s="20"/>
      <c r="F133" s="20"/>
      <c r="G133" s="20"/>
      <c r="H133" s="20"/>
      <c r="I133" s="20"/>
      <c r="J133" s="20"/>
      <c r="K133" s="20"/>
      <c r="L133" s="20"/>
      <c r="M133" s="20"/>
      <c r="N133" s="20"/>
      <c r="O133" s="20"/>
      <c r="P133" s="20"/>
      <c r="Q133" s="20"/>
      <c r="R133" s="20"/>
      <c r="S133" s="20"/>
      <c r="T133" s="20"/>
      <c r="U133" s="20"/>
      <c r="V133" s="20"/>
    </row>
    <row r="134" ht="13.5" customHeight="1" spans="1:22">
      <c r="A134" s="20"/>
      <c r="B134" s="20"/>
      <c r="C134" s="20"/>
      <c r="D134" s="20"/>
      <c r="E134" s="20"/>
      <c r="F134" s="20"/>
      <c r="G134" s="20"/>
      <c r="H134" s="20"/>
      <c r="I134" s="20"/>
      <c r="J134" s="20"/>
      <c r="K134" s="20"/>
      <c r="L134" s="20"/>
      <c r="M134" s="20"/>
      <c r="N134" s="20"/>
      <c r="O134" s="20"/>
      <c r="P134" s="20"/>
      <c r="Q134" s="20"/>
      <c r="R134" s="20"/>
      <c r="S134" s="20"/>
      <c r="T134" s="20"/>
      <c r="U134" s="20"/>
      <c r="V134" s="20"/>
    </row>
    <row r="135" ht="13.5" customHeight="1" spans="1:22">
      <c r="A135" s="20"/>
      <c r="B135" s="20"/>
      <c r="C135" s="20"/>
      <c r="D135" s="20"/>
      <c r="E135" s="20"/>
      <c r="F135" s="20"/>
      <c r="G135" s="20"/>
      <c r="H135" s="20"/>
      <c r="I135" s="20"/>
      <c r="J135" s="20"/>
      <c r="K135" s="20"/>
      <c r="L135" s="20"/>
      <c r="M135" s="20"/>
      <c r="N135" s="20"/>
      <c r="O135" s="20"/>
      <c r="P135" s="20"/>
      <c r="Q135" s="20"/>
      <c r="R135" s="20"/>
      <c r="S135" s="20"/>
      <c r="T135" s="20"/>
      <c r="U135" s="20"/>
      <c r="V135" s="20"/>
    </row>
    <row r="136" ht="13.5" customHeight="1" spans="1:22">
      <c r="A136" s="20"/>
      <c r="B136" s="20"/>
      <c r="C136" s="20"/>
      <c r="D136" s="20"/>
      <c r="E136" s="20"/>
      <c r="F136" s="20"/>
      <c r="G136" s="20"/>
      <c r="H136" s="20"/>
      <c r="I136" s="20"/>
      <c r="J136" s="20"/>
      <c r="K136" s="20"/>
      <c r="L136" s="20"/>
      <c r="M136" s="20"/>
      <c r="N136" s="20"/>
      <c r="O136" s="20"/>
      <c r="P136" s="20"/>
      <c r="Q136" s="20"/>
      <c r="R136" s="20"/>
      <c r="S136" s="20"/>
      <c r="T136" s="20"/>
      <c r="U136" s="20"/>
      <c r="V136" s="20"/>
    </row>
    <row r="137" ht="13.5" customHeight="1" spans="1:22">
      <c r="A137" s="20"/>
      <c r="B137" s="20"/>
      <c r="C137" s="20"/>
      <c r="D137" s="20"/>
      <c r="E137" s="20"/>
      <c r="F137" s="20"/>
      <c r="G137" s="20"/>
      <c r="H137" s="20"/>
      <c r="I137" s="20"/>
      <c r="J137" s="20"/>
      <c r="K137" s="20"/>
      <c r="L137" s="20"/>
      <c r="M137" s="20"/>
      <c r="N137" s="20"/>
      <c r="O137" s="20"/>
      <c r="P137" s="20"/>
      <c r="Q137" s="20"/>
      <c r="R137" s="20"/>
      <c r="S137" s="20"/>
      <c r="T137" s="20"/>
      <c r="U137" s="20"/>
      <c r="V137" s="20"/>
    </row>
    <row r="138" ht="13.5" customHeight="1" spans="1:22">
      <c r="A138" s="20"/>
      <c r="B138" s="20"/>
      <c r="C138" s="20"/>
      <c r="D138" s="20"/>
      <c r="E138" s="20"/>
      <c r="F138" s="20"/>
      <c r="G138" s="20"/>
      <c r="H138" s="20"/>
      <c r="I138" s="20"/>
      <c r="J138" s="20"/>
      <c r="K138" s="20"/>
      <c r="L138" s="20"/>
      <c r="M138" s="20"/>
      <c r="N138" s="20"/>
      <c r="O138" s="20"/>
      <c r="P138" s="20"/>
      <c r="Q138" s="20"/>
      <c r="R138" s="20"/>
      <c r="S138" s="20"/>
      <c r="T138" s="20"/>
      <c r="U138" s="20"/>
      <c r="V138" s="20"/>
    </row>
    <row r="139" ht="13.5" customHeight="1" spans="1:22">
      <c r="A139" s="20"/>
      <c r="B139" s="20"/>
      <c r="C139" s="20"/>
      <c r="D139" s="20"/>
      <c r="E139" s="20"/>
      <c r="F139" s="20"/>
      <c r="G139" s="20"/>
      <c r="H139" s="20"/>
      <c r="I139" s="20"/>
      <c r="J139" s="20"/>
      <c r="K139" s="20"/>
      <c r="L139" s="20"/>
      <c r="M139" s="20"/>
      <c r="N139" s="20"/>
      <c r="O139" s="20"/>
      <c r="P139" s="20"/>
      <c r="Q139" s="20"/>
      <c r="R139" s="20"/>
      <c r="S139" s="20"/>
      <c r="T139" s="20"/>
      <c r="U139" s="20"/>
      <c r="V139" s="20"/>
    </row>
    <row r="140" ht="13.5" customHeight="1" spans="1:22">
      <c r="A140" s="20"/>
      <c r="B140" s="20"/>
      <c r="C140" s="20"/>
      <c r="D140" s="20"/>
      <c r="E140" s="20"/>
      <c r="F140" s="20"/>
      <c r="G140" s="20"/>
      <c r="H140" s="20"/>
      <c r="I140" s="20"/>
      <c r="J140" s="20"/>
      <c r="K140" s="20"/>
      <c r="L140" s="20"/>
      <c r="M140" s="20"/>
      <c r="N140" s="20"/>
      <c r="O140" s="20"/>
      <c r="P140" s="20"/>
      <c r="Q140" s="20"/>
      <c r="R140" s="20"/>
      <c r="S140" s="20"/>
      <c r="T140" s="20"/>
      <c r="U140" s="20"/>
      <c r="V140" s="20"/>
    </row>
    <row r="141" ht="13.5" customHeight="1" spans="1:22">
      <c r="A141" s="20"/>
      <c r="B141" s="20"/>
      <c r="C141" s="20"/>
      <c r="D141" s="20"/>
      <c r="E141" s="20"/>
      <c r="F141" s="20"/>
      <c r="G141" s="20"/>
      <c r="H141" s="20"/>
      <c r="I141" s="20"/>
      <c r="J141" s="20"/>
      <c r="K141" s="20"/>
      <c r="L141" s="20"/>
      <c r="M141" s="20"/>
      <c r="N141" s="20"/>
      <c r="O141" s="20"/>
      <c r="P141" s="20"/>
      <c r="Q141" s="20"/>
      <c r="R141" s="20"/>
      <c r="S141" s="20"/>
      <c r="T141" s="20"/>
      <c r="U141" s="20"/>
      <c r="V141" s="20"/>
    </row>
    <row r="142" ht="13.5" customHeight="1" spans="1:22">
      <c r="A142" s="20"/>
      <c r="B142" s="20"/>
      <c r="C142" s="20"/>
      <c r="D142" s="20"/>
      <c r="E142" s="20"/>
      <c r="F142" s="20"/>
      <c r="G142" s="20"/>
      <c r="H142" s="20"/>
      <c r="I142" s="20"/>
      <c r="J142" s="20"/>
      <c r="K142" s="20"/>
      <c r="L142" s="20"/>
      <c r="M142" s="20"/>
      <c r="N142" s="20"/>
      <c r="O142" s="20"/>
      <c r="P142" s="20"/>
      <c r="Q142" s="20"/>
      <c r="R142" s="20"/>
      <c r="S142" s="20"/>
      <c r="T142" s="20"/>
      <c r="U142" s="20"/>
      <c r="V142" s="20"/>
    </row>
    <row r="143" ht="13.5" customHeight="1" spans="1:22">
      <c r="A143" s="20"/>
      <c r="B143" s="20"/>
      <c r="C143" s="20"/>
      <c r="D143" s="20"/>
      <c r="E143" s="20"/>
      <c r="F143" s="20"/>
      <c r="G143" s="20"/>
      <c r="H143" s="20"/>
      <c r="I143" s="20"/>
      <c r="J143" s="20"/>
      <c r="K143" s="20"/>
      <c r="L143" s="20"/>
      <c r="M143" s="20"/>
      <c r="N143" s="20"/>
      <c r="O143" s="20"/>
      <c r="P143" s="20"/>
      <c r="Q143" s="20"/>
      <c r="R143" s="20"/>
      <c r="S143" s="20"/>
      <c r="T143" s="20"/>
      <c r="U143" s="20"/>
      <c r="V143" s="20"/>
    </row>
    <row r="144" ht="13.5" customHeight="1" spans="1:22">
      <c r="A144" s="20"/>
      <c r="B144" s="20"/>
      <c r="C144" s="20"/>
      <c r="D144" s="20"/>
      <c r="E144" s="20"/>
      <c r="F144" s="20"/>
      <c r="G144" s="20"/>
      <c r="H144" s="20"/>
      <c r="I144" s="20"/>
      <c r="J144" s="20"/>
      <c r="K144" s="20"/>
      <c r="L144" s="20"/>
      <c r="M144" s="20"/>
      <c r="N144" s="20"/>
      <c r="O144" s="20"/>
      <c r="P144" s="20"/>
      <c r="Q144" s="20"/>
      <c r="R144" s="20"/>
      <c r="S144" s="20"/>
      <c r="T144" s="20"/>
      <c r="U144" s="20"/>
      <c r="V144" s="20"/>
    </row>
    <row r="145" ht="13.5" customHeight="1" spans="1:22">
      <c r="A145" s="20"/>
      <c r="B145" s="20"/>
      <c r="C145" s="20"/>
      <c r="D145" s="20"/>
      <c r="E145" s="20"/>
      <c r="F145" s="20"/>
      <c r="G145" s="20"/>
      <c r="H145" s="20"/>
      <c r="I145" s="20"/>
      <c r="J145" s="20"/>
      <c r="K145" s="20"/>
      <c r="L145" s="20"/>
      <c r="M145" s="20"/>
      <c r="N145" s="20"/>
      <c r="O145" s="20"/>
      <c r="P145" s="20"/>
      <c r="Q145" s="20"/>
      <c r="R145" s="20"/>
      <c r="S145" s="20"/>
      <c r="T145" s="20"/>
      <c r="U145" s="20"/>
      <c r="V145" s="20"/>
    </row>
    <row r="146" ht="13.5" customHeight="1" spans="1:22">
      <c r="A146" s="20"/>
      <c r="B146" s="20"/>
      <c r="C146" s="20"/>
      <c r="D146" s="20"/>
      <c r="E146" s="20"/>
      <c r="F146" s="20"/>
      <c r="G146" s="20"/>
      <c r="H146" s="20"/>
      <c r="I146" s="20"/>
      <c r="J146" s="20"/>
      <c r="K146" s="20"/>
      <c r="L146" s="20"/>
      <c r="M146" s="20"/>
      <c r="N146" s="20"/>
      <c r="O146" s="20"/>
      <c r="P146" s="20"/>
      <c r="Q146" s="20"/>
      <c r="R146" s="20"/>
      <c r="S146" s="20"/>
      <c r="T146" s="20"/>
      <c r="U146" s="20"/>
      <c r="V146" s="20"/>
    </row>
    <row r="147" ht="13.5" customHeight="1" spans="1:22">
      <c r="A147" s="20"/>
      <c r="B147" s="20"/>
      <c r="C147" s="20"/>
      <c r="D147" s="20"/>
      <c r="E147" s="20"/>
      <c r="F147" s="20"/>
      <c r="G147" s="20"/>
      <c r="H147" s="20"/>
      <c r="I147" s="20"/>
      <c r="J147" s="20"/>
      <c r="K147" s="20"/>
      <c r="L147" s="20"/>
      <c r="M147" s="20"/>
      <c r="N147" s="20"/>
      <c r="O147" s="20"/>
      <c r="P147" s="20"/>
      <c r="Q147" s="20"/>
      <c r="R147" s="20"/>
      <c r="S147" s="20"/>
      <c r="T147" s="20"/>
      <c r="U147" s="20"/>
      <c r="V147" s="20"/>
    </row>
    <row r="148" ht="13.5" customHeight="1" spans="1:22">
      <c r="A148" s="20"/>
      <c r="B148" s="20"/>
      <c r="C148" s="20"/>
      <c r="D148" s="20"/>
      <c r="E148" s="20"/>
      <c r="F148" s="20"/>
      <c r="G148" s="20"/>
      <c r="H148" s="20"/>
      <c r="I148" s="20"/>
      <c r="J148" s="20"/>
      <c r="K148" s="20"/>
      <c r="L148" s="20"/>
      <c r="M148" s="20"/>
      <c r="N148" s="20"/>
      <c r="O148" s="20"/>
      <c r="P148" s="20"/>
      <c r="Q148" s="20"/>
      <c r="R148" s="20"/>
      <c r="S148" s="20"/>
      <c r="T148" s="20"/>
      <c r="U148" s="20"/>
      <c r="V148" s="20"/>
    </row>
    <row r="149" ht="13.5" customHeight="1" spans="1:22">
      <c r="A149" s="20"/>
      <c r="B149" s="20"/>
      <c r="C149" s="20"/>
      <c r="D149" s="20"/>
      <c r="E149" s="20"/>
      <c r="F149" s="20"/>
      <c r="G149" s="20"/>
      <c r="H149" s="20"/>
      <c r="I149" s="20"/>
      <c r="J149" s="20"/>
      <c r="K149" s="20"/>
      <c r="L149" s="20"/>
      <c r="M149" s="20"/>
      <c r="N149" s="20"/>
      <c r="O149" s="20"/>
      <c r="P149" s="20"/>
      <c r="Q149" s="20"/>
      <c r="R149" s="20"/>
      <c r="S149" s="20"/>
      <c r="T149" s="20"/>
      <c r="U149" s="20"/>
      <c r="V149" s="20"/>
    </row>
    <row r="150" ht="13.5" customHeight="1" spans="1:22">
      <c r="A150" s="20"/>
      <c r="B150" s="20"/>
      <c r="C150" s="20"/>
      <c r="D150" s="20"/>
      <c r="E150" s="20"/>
      <c r="F150" s="20"/>
      <c r="G150" s="20"/>
      <c r="H150" s="20"/>
      <c r="I150" s="20"/>
      <c r="J150" s="20"/>
      <c r="K150" s="20"/>
      <c r="L150" s="20"/>
      <c r="M150" s="20"/>
      <c r="N150" s="20"/>
      <c r="O150" s="20"/>
      <c r="P150" s="20"/>
      <c r="Q150" s="20"/>
      <c r="R150" s="20"/>
      <c r="S150" s="20"/>
      <c r="T150" s="20"/>
      <c r="U150" s="20"/>
      <c r="V150" s="20"/>
    </row>
    <row r="151" ht="13.5" customHeight="1" spans="1:22">
      <c r="A151" s="20"/>
      <c r="B151" s="20"/>
      <c r="C151" s="20"/>
      <c r="D151" s="20"/>
      <c r="E151" s="20"/>
      <c r="F151" s="20"/>
      <c r="G151" s="20"/>
      <c r="H151" s="20"/>
      <c r="I151" s="20"/>
      <c r="J151" s="20"/>
      <c r="K151" s="20"/>
      <c r="L151" s="20"/>
      <c r="M151" s="20"/>
      <c r="N151" s="20"/>
      <c r="O151" s="20"/>
      <c r="P151" s="20"/>
      <c r="Q151" s="20"/>
      <c r="R151" s="20"/>
      <c r="S151" s="20"/>
      <c r="T151" s="20"/>
      <c r="U151" s="20"/>
      <c r="V151" s="20"/>
    </row>
    <row r="152" ht="13.5" customHeight="1" spans="1:22">
      <c r="A152" s="20"/>
      <c r="B152" s="20"/>
      <c r="C152" s="20"/>
      <c r="D152" s="20"/>
      <c r="E152" s="20"/>
      <c r="F152" s="20"/>
      <c r="G152" s="20"/>
      <c r="H152" s="20"/>
      <c r="I152" s="20"/>
      <c r="J152" s="20"/>
      <c r="K152" s="20"/>
      <c r="L152" s="20"/>
      <c r="M152" s="20"/>
      <c r="N152" s="20"/>
      <c r="O152" s="20"/>
      <c r="P152" s="20"/>
      <c r="Q152" s="20"/>
      <c r="R152" s="20"/>
      <c r="S152" s="20"/>
      <c r="T152" s="20"/>
      <c r="U152" s="20"/>
      <c r="V152" s="20"/>
    </row>
    <row r="153" ht="13.5" customHeight="1" spans="1:22">
      <c r="A153" s="20"/>
      <c r="B153" s="20"/>
      <c r="C153" s="20"/>
      <c r="D153" s="20"/>
      <c r="E153" s="20"/>
      <c r="F153" s="20"/>
      <c r="G153" s="20"/>
      <c r="H153" s="20"/>
      <c r="I153" s="20"/>
      <c r="J153" s="20"/>
      <c r="K153" s="20"/>
      <c r="L153" s="20"/>
      <c r="M153" s="20"/>
      <c r="N153" s="20"/>
      <c r="O153" s="20"/>
      <c r="P153" s="20"/>
      <c r="Q153" s="20"/>
      <c r="R153" s="20"/>
      <c r="S153" s="20"/>
      <c r="T153" s="20"/>
      <c r="U153" s="20"/>
      <c r="V153" s="20"/>
    </row>
    <row r="154" ht="13.5" customHeight="1" spans="1:22">
      <c r="A154" s="20"/>
      <c r="B154" s="20"/>
      <c r="C154" s="20"/>
      <c r="D154" s="20"/>
      <c r="E154" s="20"/>
      <c r="F154" s="20"/>
      <c r="G154" s="20"/>
      <c r="H154" s="20"/>
      <c r="I154" s="20"/>
      <c r="J154" s="20"/>
      <c r="K154" s="20"/>
      <c r="L154" s="20"/>
      <c r="M154" s="20"/>
      <c r="N154" s="20"/>
      <c r="O154" s="20"/>
      <c r="P154" s="20"/>
      <c r="Q154" s="20"/>
      <c r="R154" s="20"/>
      <c r="S154" s="20"/>
      <c r="T154" s="20"/>
      <c r="U154" s="20"/>
      <c r="V154" s="20"/>
    </row>
    <row r="155" ht="13.5" customHeight="1" spans="1:22">
      <c r="A155" s="20"/>
      <c r="B155" s="20"/>
      <c r="C155" s="20"/>
      <c r="D155" s="20"/>
      <c r="E155" s="20"/>
      <c r="F155" s="20"/>
      <c r="G155" s="20"/>
      <c r="H155" s="20"/>
      <c r="I155" s="20"/>
      <c r="J155" s="20"/>
      <c r="K155" s="20"/>
      <c r="L155" s="20"/>
      <c r="M155" s="20"/>
      <c r="N155" s="20"/>
      <c r="O155" s="20"/>
      <c r="P155" s="20"/>
      <c r="Q155" s="20"/>
      <c r="R155" s="20"/>
      <c r="S155" s="20"/>
      <c r="T155" s="20"/>
      <c r="U155" s="20"/>
      <c r="V155" s="20"/>
    </row>
    <row r="156" ht="13.5" customHeight="1" spans="1:22">
      <c r="A156" s="20"/>
      <c r="B156" s="20"/>
      <c r="C156" s="20"/>
      <c r="D156" s="20"/>
      <c r="E156" s="20"/>
      <c r="F156" s="20"/>
      <c r="G156" s="20"/>
      <c r="H156" s="20"/>
      <c r="I156" s="20"/>
      <c r="J156" s="20"/>
      <c r="K156" s="20"/>
      <c r="L156" s="20"/>
      <c r="M156" s="20"/>
      <c r="N156" s="20"/>
      <c r="O156" s="20"/>
      <c r="P156" s="20"/>
      <c r="Q156" s="20"/>
      <c r="R156" s="20"/>
      <c r="S156" s="20"/>
      <c r="T156" s="20"/>
      <c r="U156" s="20"/>
      <c r="V156" s="20"/>
    </row>
    <row r="157" ht="13.5" customHeight="1" spans="1:22">
      <c r="A157" s="20"/>
      <c r="B157" s="20"/>
      <c r="C157" s="20"/>
      <c r="D157" s="20"/>
      <c r="E157" s="20"/>
      <c r="F157" s="20"/>
      <c r="G157" s="20"/>
      <c r="H157" s="20"/>
      <c r="I157" s="20"/>
      <c r="J157" s="20"/>
      <c r="K157" s="20"/>
      <c r="L157" s="20"/>
      <c r="M157" s="20"/>
      <c r="N157" s="20"/>
      <c r="O157" s="20"/>
      <c r="P157" s="20"/>
      <c r="Q157" s="20"/>
      <c r="R157" s="20"/>
      <c r="S157" s="20"/>
      <c r="T157" s="20"/>
      <c r="U157" s="20"/>
      <c r="V157" s="20"/>
    </row>
    <row r="158" ht="13.5" customHeight="1" spans="1:22">
      <c r="A158" s="20"/>
      <c r="B158" s="20"/>
      <c r="C158" s="20"/>
      <c r="D158" s="20"/>
      <c r="E158" s="20"/>
      <c r="F158" s="20"/>
      <c r="G158" s="20"/>
      <c r="H158" s="20"/>
      <c r="I158" s="20"/>
      <c r="J158" s="20"/>
      <c r="K158" s="20"/>
      <c r="L158" s="20"/>
      <c r="M158" s="20"/>
      <c r="N158" s="20"/>
      <c r="O158" s="20"/>
      <c r="P158" s="20"/>
      <c r="Q158" s="20"/>
      <c r="R158" s="20"/>
      <c r="S158" s="20"/>
      <c r="T158" s="20"/>
      <c r="U158" s="20"/>
      <c r="V158" s="20"/>
    </row>
    <row r="159" ht="13.5" customHeight="1" spans="1:22">
      <c r="A159" s="20"/>
      <c r="B159" s="20"/>
      <c r="C159" s="20"/>
      <c r="D159" s="20"/>
      <c r="E159" s="20"/>
      <c r="F159" s="20"/>
      <c r="G159" s="20"/>
      <c r="H159" s="20"/>
      <c r="I159" s="20"/>
      <c r="J159" s="20"/>
      <c r="K159" s="20"/>
      <c r="L159" s="20"/>
      <c r="M159" s="20"/>
      <c r="N159" s="20"/>
      <c r="O159" s="20"/>
      <c r="P159" s="20"/>
      <c r="Q159" s="20"/>
      <c r="R159" s="20"/>
      <c r="S159" s="20"/>
      <c r="T159" s="20"/>
      <c r="U159" s="20"/>
      <c r="V159" s="20"/>
    </row>
    <row r="160" ht="13.5" customHeight="1" spans="1:22">
      <c r="A160" s="20"/>
      <c r="B160" s="20"/>
      <c r="C160" s="20"/>
      <c r="D160" s="20"/>
      <c r="E160" s="20"/>
      <c r="F160" s="20"/>
      <c r="G160" s="20"/>
      <c r="H160" s="20"/>
      <c r="I160" s="20"/>
      <c r="J160" s="20"/>
      <c r="K160" s="20"/>
      <c r="L160" s="20"/>
      <c r="M160" s="20"/>
      <c r="N160" s="20"/>
      <c r="O160" s="20"/>
      <c r="P160" s="20"/>
      <c r="Q160" s="20"/>
      <c r="R160" s="20"/>
      <c r="S160" s="20"/>
      <c r="T160" s="20"/>
      <c r="U160" s="20"/>
      <c r="V160" s="20"/>
    </row>
    <row r="161" ht="13.5" customHeight="1" spans="1:22">
      <c r="A161" s="20"/>
      <c r="B161" s="20"/>
      <c r="C161" s="20"/>
      <c r="D161" s="20"/>
      <c r="E161" s="20"/>
      <c r="F161" s="20"/>
      <c r="G161" s="20"/>
      <c r="H161" s="20"/>
      <c r="I161" s="20"/>
      <c r="J161" s="20"/>
      <c r="K161" s="20"/>
      <c r="L161" s="20"/>
      <c r="M161" s="20"/>
      <c r="N161" s="20"/>
      <c r="O161" s="20"/>
      <c r="P161" s="20"/>
      <c r="Q161" s="20"/>
      <c r="R161" s="20"/>
      <c r="S161" s="20"/>
      <c r="T161" s="20"/>
      <c r="U161" s="20"/>
      <c r="V161" s="20"/>
    </row>
    <row r="162" ht="13.5" customHeight="1" spans="1:22">
      <c r="A162" s="20"/>
      <c r="B162" s="20"/>
      <c r="C162" s="20"/>
      <c r="D162" s="20"/>
      <c r="E162" s="20"/>
      <c r="F162" s="20"/>
      <c r="G162" s="20"/>
      <c r="H162" s="20"/>
      <c r="I162" s="20"/>
      <c r="J162" s="20"/>
      <c r="K162" s="20"/>
      <c r="L162" s="20"/>
      <c r="M162" s="20"/>
      <c r="N162" s="20"/>
      <c r="O162" s="20"/>
      <c r="P162" s="20"/>
      <c r="Q162" s="20"/>
      <c r="R162" s="20"/>
      <c r="S162" s="20"/>
      <c r="T162" s="20"/>
      <c r="U162" s="20"/>
      <c r="V162" s="20"/>
    </row>
    <row r="163" ht="13.5" customHeight="1" spans="1:22">
      <c r="A163" s="20"/>
      <c r="B163" s="20"/>
      <c r="C163" s="20"/>
      <c r="D163" s="20"/>
      <c r="E163" s="20"/>
      <c r="F163" s="20"/>
      <c r="G163" s="20"/>
      <c r="H163" s="20"/>
      <c r="I163" s="20"/>
      <c r="J163" s="20"/>
      <c r="K163" s="20"/>
      <c r="L163" s="20"/>
      <c r="M163" s="20"/>
      <c r="N163" s="20"/>
      <c r="O163" s="20"/>
      <c r="P163" s="20"/>
      <c r="Q163" s="20"/>
      <c r="R163" s="20"/>
      <c r="S163" s="20"/>
      <c r="T163" s="20"/>
      <c r="U163" s="20"/>
      <c r="V163" s="20"/>
    </row>
    <row r="164" ht="13.5" customHeight="1" spans="1:22">
      <c r="A164" s="20"/>
      <c r="B164" s="20"/>
      <c r="C164" s="20"/>
      <c r="D164" s="20"/>
      <c r="E164" s="20"/>
      <c r="F164" s="20"/>
      <c r="G164" s="20"/>
      <c r="H164" s="20"/>
      <c r="I164" s="20"/>
      <c r="J164" s="20"/>
      <c r="K164" s="20"/>
      <c r="L164" s="20"/>
      <c r="M164" s="20"/>
      <c r="N164" s="20"/>
      <c r="O164" s="20"/>
      <c r="P164" s="20"/>
      <c r="Q164" s="20"/>
      <c r="R164" s="20"/>
      <c r="S164" s="20"/>
      <c r="T164" s="20"/>
      <c r="U164" s="20"/>
      <c r="V164" s="20"/>
    </row>
    <row r="165" ht="13.5" customHeight="1" spans="1:22">
      <c r="A165" s="20"/>
      <c r="B165" s="20"/>
      <c r="C165" s="20"/>
      <c r="D165" s="20"/>
      <c r="E165" s="20"/>
      <c r="F165" s="20"/>
      <c r="G165" s="20"/>
      <c r="H165" s="20"/>
      <c r="I165" s="20"/>
      <c r="J165" s="20"/>
      <c r="K165" s="20"/>
      <c r="L165" s="20"/>
      <c r="M165" s="20"/>
      <c r="N165" s="20"/>
      <c r="O165" s="20"/>
      <c r="P165" s="20"/>
      <c r="Q165" s="20"/>
      <c r="R165" s="20"/>
      <c r="S165" s="20"/>
      <c r="T165" s="20"/>
      <c r="U165" s="20"/>
      <c r="V165" s="20"/>
    </row>
    <row r="166" ht="13.5" customHeight="1" spans="1:22">
      <c r="A166" s="20"/>
      <c r="B166" s="20"/>
      <c r="C166" s="20"/>
      <c r="D166" s="20"/>
      <c r="E166" s="20"/>
      <c r="F166" s="20"/>
      <c r="G166" s="20"/>
      <c r="H166" s="20"/>
      <c r="I166" s="20"/>
      <c r="J166" s="20"/>
      <c r="K166" s="20"/>
      <c r="L166" s="20"/>
      <c r="M166" s="20"/>
      <c r="N166" s="20"/>
      <c r="O166" s="20"/>
      <c r="P166" s="20"/>
      <c r="Q166" s="20"/>
      <c r="R166" s="20"/>
      <c r="S166" s="20"/>
      <c r="T166" s="20"/>
      <c r="U166" s="20"/>
      <c r="V166" s="20"/>
    </row>
    <row r="167" ht="13.5" customHeight="1" spans="1:22">
      <c r="A167" s="20"/>
      <c r="B167" s="20"/>
      <c r="C167" s="20"/>
      <c r="D167" s="20"/>
      <c r="E167" s="20"/>
      <c r="F167" s="20"/>
      <c r="G167" s="20"/>
      <c r="H167" s="20"/>
      <c r="I167" s="20"/>
      <c r="J167" s="20"/>
      <c r="K167" s="20"/>
      <c r="L167" s="20"/>
      <c r="M167" s="20"/>
      <c r="N167" s="20"/>
      <c r="O167" s="20"/>
      <c r="P167" s="20"/>
      <c r="Q167" s="20"/>
      <c r="R167" s="20"/>
      <c r="S167" s="20"/>
      <c r="T167" s="20"/>
      <c r="U167" s="20"/>
      <c r="V167" s="20"/>
    </row>
    <row r="168" ht="13.5" customHeight="1" spans="1:22">
      <c r="A168" s="20"/>
      <c r="B168" s="20"/>
      <c r="C168" s="20"/>
      <c r="D168" s="20"/>
      <c r="E168" s="20"/>
      <c r="F168" s="20"/>
      <c r="G168" s="20"/>
      <c r="H168" s="20"/>
      <c r="I168" s="20"/>
      <c r="J168" s="20"/>
      <c r="K168" s="20"/>
      <c r="L168" s="20"/>
      <c r="M168" s="20"/>
      <c r="N168" s="20"/>
      <c r="O168" s="20"/>
      <c r="P168" s="20"/>
      <c r="Q168" s="20"/>
      <c r="R168" s="20"/>
      <c r="S168" s="20"/>
      <c r="T168" s="20"/>
      <c r="U168" s="20"/>
      <c r="V168" s="20"/>
    </row>
    <row r="169" ht="13.5" customHeight="1" spans="1:22">
      <c r="A169" s="20"/>
      <c r="B169" s="20"/>
      <c r="C169" s="20"/>
      <c r="D169" s="20"/>
      <c r="E169" s="20"/>
      <c r="F169" s="20"/>
      <c r="G169" s="20"/>
      <c r="H169" s="20"/>
      <c r="I169" s="20"/>
      <c r="J169" s="20"/>
      <c r="K169" s="20"/>
      <c r="L169" s="20"/>
      <c r="M169" s="20"/>
      <c r="N169" s="20"/>
      <c r="O169" s="20"/>
      <c r="P169" s="20"/>
      <c r="Q169" s="20"/>
      <c r="R169" s="20"/>
      <c r="S169" s="20"/>
      <c r="T169" s="20"/>
      <c r="U169" s="20"/>
      <c r="V169" s="20"/>
    </row>
    <row r="170" ht="13.5" customHeight="1" spans="1:22">
      <c r="A170" s="20"/>
      <c r="B170" s="20"/>
      <c r="C170" s="20"/>
      <c r="D170" s="20"/>
      <c r="E170" s="20"/>
      <c r="F170" s="20"/>
      <c r="G170" s="20"/>
      <c r="H170" s="20"/>
      <c r="I170" s="20"/>
      <c r="J170" s="20"/>
      <c r="K170" s="20"/>
      <c r="L170" s="20"/>
      <c r="M170" s="20"/>
      <c r="N170" s="20"/>
      <c r="O170" s="20"/>
      <c r="P170" s="20"/>
      <c r="Q170" s="20"/>
      <c r="R170" s="20"/>
      <c r="S170" s="20"/>
      <c r="T170" s="20"/>
      <c r="U170" s="20"/>
      <c r="V170" s="20"/>
    </row>
    <row r="171" ht="13.5" customHeight="1" spans="1:22">
      <c r="A171" s="20"/>
      <c r="B171" s="20"/>
      <c r="C171" s="20"/>
      <c r="D171" s="20"/>
      <c r="E171" s="20"/>
      <c r="F171" s="20"/>
      <c r="G171" s="20"/>
      <c r="H171" s="20"/>
      <c r="I171" s="20"/>
      <c r="J171" s="20"/>
      <c r="K171" s="20"/>
      <c r="L171" s="20"/>
      <c r="M171" s="20"/>
      <c r="N171" s="20"/>
      <c r="O171" s="20"/>
      <c r="P171" s="20"/>
      <c r="Q171" s="20"/>
      <c r="R171" s="20"/>
      <c r="S171" s="20"/>
      <c r="T171" s="20"/>
      <c r="U171" s="20"/>
      <c r="V171" s="20"/>
    </row>
    <row r="172" ht="13.5" customHeight="1" spans="1:22">
      <c r="A172" s="20"/>
      <c r="B172" s="20"/>
      <c r="C172" s="20"/>
      <c r="D172" s="20"/>
      <c r="E172" s="20"/>
      <c r="F172" s="20"/>
      <c r="G172" s="20"/>
      <c r="H172" s="20"/>
      <c r="I172" s="20"/>
      <c r="J172" s="20"/>
      <c r="K172" s="20"/>
      <c r="L172" s="20"/>
      <c r="M172" s="20"/>
      <c r="N172" s="20"/>
      <c r="O172" s="20"/>
      <c r="P172" s="20"/>
      <c r="Q172" s="20"/>
      <c r="R172" s="20"/>
      <c r="S172" s="20"/>
      <c r="T172" s="20"/>
      <c r="U172" s="20"/>
      <c r="V172" s="20"/>
    </row>
    <row r="173" ht="13.5" customHeight="1" spans="1:22">
      <c r="A173" s="20"/>
      <c r="B173" s="20"/>
      <c r="C173" s="20"/>
      <c r="D173" s="20"/>
      <c r="E173" s="20"/>
      <c r="F173" s="20"/>
      <c r="G173" s="20"/>
      <c r="H173" s="20"/>
      <c r="I173" s="20"/>
      <c r="J173" s="20"/>
      <c r="K173" s="20"/>
      <c r="L173" s="20"/>
      <c r="M173" s="20"/>
      <c r="N173" s="20"/>
      <c r="O173" s="20"/>
      <c r="P173" s="20"/>
      <c r="Q173" s="20"/>
      <c r="R173" s="20"/>
      <c r="S173" s="20"/>
      <c r="T173" s="20"/>
      <c r="U173" s="20"/>
      <c r="V173" s="20"/>
    </row>
    <row r="174" ht="13.5" customHeight="1" spans="1:22">
      <c r="A174" s="20"/>
      <c r="B174" s="20"/>
      <c r="C174" s="20"/>
      <c r="D174" s="20"/>
      <c r="E174" s="20"/>
      <c r="F174" s="20"/>
      <c r="G174" s="20"/>
      <c r="H174" s="20"/>
      <c r="I174" s="20"/>
      <c r="J174" s="20"/>
      <c r="K174" s="20"/>
      <c r="L174" s="20"/>
      <c r="M174" s="20"/>
      <c r="N174" s="20"/>
      <c r="O174" s="20"/>
      <c r="P174" s="20"/>
      <c r="Q174" s="20"/>
      <c r="R174" s="20"/>
      <c r="S174" s="20"/>
      <c r="T174" s="20"/>
      <c r="U174" s="20"/>
      <c r="V174" s="20"/>
    </row>
    <row r="175" ht="13.5" customHeight="1" spans="1:22">
      <c r="A175" s="20"/>
      <c r="B175" s="20"/>
      <c r="C175" s="20"/>
      <c r="D175" s="20"/>
      <c r="E175" s="20"/>
      <c r="F175" s="20"/>
      <c r="G175" s="20"/>
      <c r="H175" s="20"/>
      <c r="I175" s="20"/>
      <c r="J175" s="20"/>
      <c r="K175" s="20"/>
      <c r="L175" s="20"/>
      <c r="M175" s="20"/>
      <c r="N175" s="20"/>
      <c r="O175" s="20"/>
      <c r="P175" s="20"/>
      <c r="Q175" s="20"/>
      <c r="R175" s="20"/>
      <c r="S175" s="20"/>
      <c r="T175" s="20"/>
      <c r="U175" s="20"/>
      <c r="V175" s="20"/>
    </row>
    <row r="176" ht="13.5" customHeight="1" spans="1:22">
      <c r="A176" s="20"/>
      <c r="B176" s="20"/>
      <c r="C176" s="20"/>
      <c r="D176" s="20"/>
      <c r="E176" s="20"/>
      <c r="F176" s="20"/>
      <c r="G176" s="20"/>
      <c r="H176" s="20"/>
      <c r="I176" s="20"/>
      <c r="J176" s="20"/>
      <c r="K176" s="20"/>
      <c r="L176" s="20"/>
      <c r="M176" s="20"/>
      <c r="N176" s="20"/>
      <c r="O176" s="20"/>
      <c r="P176" s="20"/>
      <c r="Q176" s="20"/>
      <c r="R176" s="20"/>
      <c r="S176" s="20"/>
      <c r="T176" s="20"/>
      <c r="U176" s="20"/>
      <c r="V176" s="20"/>
    </row>
    <row r="177" ht="13.5" customHeight="1" spans="1:22">
      <c r="A177" s="20"/>
      <c r="B177" s="20"/>
      <c r="C177" s="20"/>
      <c r="D177" s="20"/>
      <c r="E177" s="20"/>
      <c r="F177" s="20"/>
      <c r="G177" s="20"/>
      <c r="H177" s="20"/>
      <c r="I177" s="20"/>
      <c r="J177" s="20"/>
      <c r="K177" s="20"/>
      <c r="L177" s="20"/>
      <c r="M177" s="20"/>
      <c r="N177" s="20"/>
      <c r="O177" s="20"/>
      <c r="P177" s="20"/>
      <c r="Q177" s="20"/>
      <c r="R177" s="20"/>
      <c r="S177" s="20"/>
      <c r="T177" s="20"/>
      <c r="U177" s="20"/>
      <c r="V177" s="20"/>
    </row>
    <row r="178" ht="13.5" customHeight="1" spans="1:22">
      <c r="A178" s="20"/>
      <c r="B178" s="20"/>
      <c r="C178" s="20"/>
      <c r="D178" s="20"/>
      <c r="E178" s="20"/>
      <c r="F178" s="20"/>
      <c r="G178" s="20"/>
      <c r="H178" s="20"/>
      <c r="I178" s="20"/>
      <c r="J178" s="20"/>
      <c r="K178" s="20"/>
      <c r="L178" s="20"/>
      <c r="M178" s="20"/>
      <c r="N178" s="20"/>
      <c r="O178" s="20"/>
      <c r="P178" s="20"/>
      <c r="Q178" s="20"/>
      <c r="R178" s="20"/>
      <c r="S178" s="20"/>
      <c r="T178" s="20"/>
      <c r="U178" s="20"/>
      <c r="V178" s="20"/>
    </row>
    <row r="179" ht="13.5" customHeight="1" spans="1:22">
      <c r="A179" s="20"/>
      <c r="B179" s="20"/>
      <c r="C179" s="20"/>
      <c r="D179" s="20"/>
      <c r="E179" s="20"/>
      <c r="F179" s="20"/>
      <c r="G179" s="20"/>
      <c r="H179" s="20"/>
      <c r="I179" s="20"/>
      <c r="J179" s="20"/>
      <c r="K179" s="20"/>
      <c r="L179" s="20"/>
      <c r="M179" s="20"/>
      <c r="N179" s="20"/>
      <c r="O179" s="20"/>
      <c r="P179" s="20"/>
      <c r="Q179" s="20"/>
      <c r="R179" s="20"/>
      <c r="S179" s="20"/>
      <c r="T179" s="20"/>
      <c r="U179" s="20"/>
      <c r="V179" s="20"/>
    </row>
    <row r="180" ht="13.5" customHeight="1" spans="1:22">
      <c r="A180" s="20"/>
      <c r="B180" s="20"/>
      <c r="C180" s="20"/>
      <c r="D180" s="20"/>
      <c r="E180" s="20"/>
      <c r="F180" s="20"/>
      <c r="G180" s="20"/>
      <c r="H180" s="20"/>
      <c r="I180" s="20"/>
      <c r="J180" s="20"/>
      <c r="K180" s="20"/>
      <c r="L180" s="20"/>
      <c r="M180" s="20"/>
      <c r="N180" s="20"/>
      <c r="O180" s="20"/>
      <c r="P180" s="20"/>
      <c r="Q180" s="20"/>
      <c r="R180" s="20"/>
      <c r="S180" s="20"/>
      <c r="T180" s="20"/>
      <c r="U180" s="20"/>
      <c r="V180" s="20"/>
    </row>
    <row r="181" ht="13.5" customHeight="1" spans="1:22">
      <c r="A181" s="20"/>
      <c r="B181" s="20"/>
      <c r="C181" s="20"/>
      <c r="D181" s="20"/>
      <c r="E181" s="20"/>
      <c r="F181" s="20"/>
      <c r="G181" s="20"/>
      <c r="H181" s="20"/>
      <c r="I181" s="20"/>
      <c r="J181" s="20"/>
      <c r="K181" s="20"/>
      <c r="L181" s="20"/>
      <c r="M181" s="20"/>
      <c r="N181" s="20"/>
      <c r="O181" s="20"/>
      <c r="P181" s="20"/>
      <c r="Q181" s="20"/>
      <c r="R181" s="20"/>
      <c r="S181" s="20"/>
      <c r="T181" s="20"/>
      <c r="U181" s="20"/>
      <c r="V181" s="20"/>
    </row>
    <row r="182" ht="13.5" customHeight="1" spans="1:22">
      <c r="A182" s="20"/>
      <c r="B182" s="20"/>
      <c r="C182" s="20"/>
      <c r="D182" s="20"/>
      <c r="E182" s="20"/>
      <c r="F182" s="20"/>
      <c r="G182" s="20"/>
      <c r="H182" s="20"/>
      <c r="I182" s="20"/>
      <c r="J182" s="20"/>
      <c r="K182" s="20"/>
      <c r="L182" s="20"/>
      <c r="M182" s="20"/>
      <c r="N182" s="20"/>
      <c r="O182" s="20"/>
      <c r="P182" s="20"/>
      <c r="Q182" s="20"/>
      <c r="R182" s="20"/>
      <c r="S182" s="20"/>
      <c r="T182" s="20"/>
      <c r="U182" s="20"/>
      <c r="V182" s="20"/>
    </row>
    <row r="183" ht="13.5" customHeight="1" spans="1:22">
      <c r="A183" s="20"/>
      <c r="B183" s="20"/>
      <c r="C183" s="20"/>
      <c r="D183" s="20"/>
      <c r="E183" s="20"/>
      <c r="F183" s="20"/>
      <c r="G183" s="20"/>
      <c r="H183" s="20"/>
      <c r="I183" s="20"/>
      <c r="J183" s="20"/>
      <c r="K183" s="20"/>
      <c r="L183" s="20"/>
      <c r="M183" s="20"/>
      <c r="N183" s="20"/>
      <c r="O183" s="20"/>
      <c r="P183" s="20"/>
      <c r="Q183" s="20"/>
      <c r="R183" s="20"/>
      <c r="S183" s="20"/>
      <c r="T183" s="20"/>
      <c r="U183" s="20"/>
      <c r="V183" s="20"/>
    </row>
    <row r="184" ht="13.5" customHeight="1" spans="1:22">
      <c r="A184" s="20"/>
      <c r="B184" s="20"/>
      <c r="C184" s="20"/>
      <c r="D184" s="20"/>
      <c r="E184" s="20"/>
      <c r="F184" s="20"/>
      <c r="G184" s="20"/>
      <c r="H184" s="20"/>
      <c r="I184" s="20"/>
      <c r="J184" s="20"/>
      <c r="K184" s="20"/>
      <c r="L184" s="20"/>
      <c r="M184" s="20"/>
      <c r="N184" s="20"/>
      <c r="O184" s="20"/>
      <c r="P184" s="20"/>
      <c r="Q184" s="20"/>
      <c r="R184" s="20"/>
      <c r="S184" s="20"/>
      <c r="T184" s="20"/>
      <c r="U184" s="20"/>
      <c r="V184" s="20"/>
    </row>
    <row r="185" ht="13.5" customHeight="1" spans="1:22">
      <c r="A185" s="20"/>
      <c r="B185" s="20"/>
      <c r="C185" s="20"/>
      <c r="D185" s="20"/>
      <c r="E185" s="20"/>
      <c r="F185" s="20"/>
      <c r="G185" s="20"/>
      <c r="H185" s="20"/>
      <c r="I185" s="20"/>
      <c r="J185" s="20"/>
      <c r="K185" s="20"/>
      <c r="L185" s="20"/>
      <c r="M185" s="20"/>
      <c r="N185" s="20"/>
      <c r="O185" s="20"/>
      <c r="P185" s="20"/>
      <c r="Q185" s="20"/>
      <c r="R185" s="20"/>
      <c r="S185" s="20"/>
      <c r="T185" s="20"/>
      <c r="U185" s="20"/>
      <c r="V185" s="20"/>
    </row>
    <row r="186" ht="13.5" customHeight="1" spans="1:22">
      <c r="A186" s="20"/>
      <c r="B186" s="20"/>
      <c r="C186" s="20"/>
      <c r="D186" s="20"/>
      <c r="E186" s="20"/>
      <c r="F186" s="20"/>
      <c r="G186" s="20"/>
      <c r="H186" s="20"/>
      <c r="I186" s="20"/>
      <c r="J186" s="20"/>
      <c r="K186" s="20"/>
      <c r="L186" s="20"/>
      <c r="M186" s="20"/>
      <c r="N186" s="20"/>
      <c r="O186" s="20"/>
      <c r="P186" s="20"/>
      <c r="Q186" s="20"/>
      <c r="R186" s="20"/>
      <c r="S186" s="20"/>
      <c r="T186" s="20"/>
      <c r="U186" s="20"/>
      <c r="V186" s="20"/>
    </row>
    <row r="187" ht="13.5" customHeight="1" spans="1:22">
      <c r="A187" s="20"/>
      <c r="B187" s="20"/>
      <c r="C187" s="20"/>
      <c r="D187" s="20"/>
      <c r="E187" s="20"/>
      <c r="F187" s="20"/>
      <c r="G187" s="20"/>
      <c r="H187" s="20"/>
      <c r="I187" s="20"/>
      <c r="J187" s="20"/>
      <c r="K187" s="20"/>
      <c r="L187" s="20"/>
      <c r="M187" s="20"/>
      <c r="N187" s="20"/>
      <c r="O187" s="20"/>
      <c r="P187" s="20"/>
      <c r="Q187" s="20"/>
      <c r="R187" s="20"/>
      <c r="S187" s="20"/>
      <c r="T187" s="20"/>
      <c r="U187" s="20"/>
      <c r="V187" s="20"/>
    </row>
    <row r="188" ht="13.5" customHeight="1" spans="1:22">
      <c r="A188" s="20"/>
      <c r="B188" s="20"/>
      <c r="C188" s="20"/>
      <c r="D188" s="20"/>
      <c r="E188" s="20"/>
      <c r="F188" s="20"/>
      <c r="G188" s="20"/>
      <c r="H188" s="20"/>
      <c r="I188" s="20"/>
      <c r="J188" s="20"/>
      <c r="K188" s="20"/>
      <c r="L188" s="20"/>
      <c r="M188" s="20"/>
      <c r="N188" s="20"/>
      <c r="O188" s="20"/>
      <c r="P188" s="20"/>
      <c r="Q188" s="20"/>
      <c r="R188" s="20"/>
      <c r="S188" s="20"/>
      <c r="T188" s="20"/>
      <c r="U188" s="20"/>
      <c r="V188" s="20"/>
    </row>
    <row r="189" ht="13.5" customHeight="1" spans="1:22">
      <c r="A189" s="20"/>
      <c r="B189" s="20"/>
      <c r="C189" s="20"/>
      <c r="D189" s="20"/>
      <c r="E189" s="20"/>
      <c r="F189" s="20"/>
      <c r="G189" s="20"/>
      <c r="H189" s="20"/>
      <c r="I189" s="20"/>
      <c r="J189" s="20"/>
      <c r="K189" s="20"/>
      <c r="L189" s="20"/>
      <c r="M189" s="20"/>
      <c r="N189" s="20"/>
      <c r="O189" s="20"/>
      <c r="P189" s="20"/>
      <c r="Q189" s="20"/>
      <c r="R189" s="20"/>
      <c r="S189" s="20"/>
      <c r="T189" s="20"/>
      <c r="U189" s="20"/>
      <c r="V189" s="20"/>
    </row>
    <row r="190" ht="13.5" customHeight="1" spans="1:22">
      <c r="A190" s="20"/>
      <c r="B190" s="20"/>
      <c r="C190" s="20"/>
      <c r="D190" s="20"/>
      <c r="E190" s="20"/>
      <c r="F190" s="20"/>
      <c r="G190" s="20"/>
      <c r="H190" s="20"/>
      <c r="I190" s="20"/>
      <c r="J190" s="20"/>
      <c r="K190" s="20"/>
      <c r="L190" s="20"/>
      <c r="M190" s="20"/>
      <c r="N190" s="20"/>
      <c r="O190" s="20"/>
      <c r="P190" s="20"/>
      <c r="Q190" s="20"/>
      <c r="R190" s="20"/>
      <c r="S190" s="20"/>
      <c r="T190" s="20"/>
      <c r="U190" s="20"/>
      <c r="V190" s="20"/>
    </row>
    <row r="191" ht="13.5" customHeight="1" spans="1:22">
      <c r="A191" s="20"/>
      <c r="B191" s="20"/>
      <c r="C191" s="20"/>
      <c r="D191" s="20"/>
      <c r="E191" s="20"/>
      <c r="F191" s="20"/>
      <c r="G191" s="20"/>
      <c r="H191" s="20"/>
      <c r="I191" s="20"/>
      <c r="J191" s="20"/>
      <c r="K191" s="20"/>
      <c r="L191" s="20"/>
      <c r="M191" s="20"/>
      <c r="N191" s="20"/>
      <c r="O191" s="20"/>
      <c r="P191" s="20"/>
      <c r="Q191" s="20"/>
      <c r="R191" s="20"/>
      <c r="S191" s="20"/>
      <c r="T191" s="20"/>
      <c r="U191" s="20"/>
      <c r="V191" s="20"/>
    </row>
    <row r="192" ht="13.5" customHeight="1" spans="1:22">
      <c r="A192" s="20"/>
      <c r="B192" s="20"/>
      <c r="C192" s="20"/>
      <c r="D192" s="20"/>
      <c r="E192" s="20"/>
      <c r="F192" s="20"/>
      <c r="G192" s="20"/>
      <c r="H192" s="20"/>
      <c r="I192" s="20"/>
      <c r="J192" s="20"/>
      <c r="K192" s="20"/>
      <c r="L192" s="20"/>
      <c r="M192" s="20"/>
      <c r="N192" s="20"/>
      <c r="O192" s="20"/>
      <c r="P192" s="20"/>
      <c r="Q192" s="20"/>
      <c r="R192" s="20"/>
      <c r="S192" s="20"/>
      <c r="T192" s="20"/>
      <c r="U192" s="20"/>
      <c r="V192" s="20"/>
    </row>
    <row r="193" ht="13.5" customHeight="1" spans="1:22">
      <c r="A193" s="20"/>
      <c r="B193" s="20"/>
      <c r="C193" s="20"/>
      <c r="D193" s="20"/>
      <c r="E193" s="20"/>
      <c r="F193" s="20"/>
      <c r="G193" s="20"/>
      <c r="H193" s="20"/>
      <c r="I193" s="20"/>
      <c r="J193" s="20"/>
      <c r="K193" s="20"/>
      <c r="L193" s="20"/>
      <c r="M193" s="20"/>
      <c r="N193" s="20"/>
      <c r="O193" s="20"/>
      <c r="P193" s="20"/>
      <c r="Q193" s="20"/>
      <c r="R193" s="20"/>
      <c r="S193" s="20"/>
      <c r="T193" s="20"/>
      <c r="U193" s="20"/>
      <c r="V193" s="20"/>
    </row>
    <row r="194" ht="13.5" customHeight="1" spans="1:22">
      <c r="A194" s="20"/>
      <c r="B194" s="20"/>
      <c r="C194" s="20"/>
      <c r="D194" s="20"/>
      <c r="E194" s="20"/>
      <c r="F194" s="20"/>
      <c r="G194" s="20"/>
      <c r="H194" s="20"/>
      <c r="I194" s="20"/>
      <c r="J194" s="20"/>
      <c r="K194" s="20"/>
      <c r="L194" s="20"/>
      <c r="M194" s="20"/>
      <c r="N194" s="20"/>
      <c r="O194" s="20"/>
      <c r="P194" s="20"/>
      <c r="Q194" s="20"/>
      <c r="R194" s="20"/>
      <c r="S194" s="20"/>
      <c r="T194" s="20"/>
      <c r="U194" s="20"/>
      <c r="V194" s="20"/>
    </row>
    <row r="195" ht="13.5" customHeight="1" spans="1:22">
      <c r="A195" s="20"/>
      <c r="B195" s="20"/>
      <c r="C195" s="20"/>
      <c r="D195" s="20"/>
      <c r="E195" s="20"/>
      <c r="F195" s="20"/>
      <c r="G195" s="20"/>
      <c r="H195" s="20"/>
      <c r="I195" s="20"/>
      <c r="J195" s="20"/>
      <c r="K195" s="20"/>
      <c r="L195" s="20"/>
      <c r="M195" s="20"/>
      <c r="N195" s="20"/>
      <c r="O195" s="20"/>
      <c r="P195" s="20"/>
      <c r="Q195" s="20"/>
      <c r="R195" s="20"/>
      <c r="S195" s="20"/>
      <c r="T195" s="20"/>
      <c r="U195" s="20"/>
      <c r="V195" s="20"/>
    </row>
    <row r="196" ht="13.5" customHeight="1" spans="1:22">
      <c r="A196" s="20"/>
      <c r="B196" s="20"/>
      <c r="C196" s="20"/>
      <c r="D196" s="20"/>
      <c r="E196" s="20"/>
      <c r="F196" s="20"/>
      <c r="G196" s="20"/>
      <c r="H196" s="20"/>
      <c r="I196" s="20"/>
      <c r="J196" s="20"/>
      <c r="K196" s="20"/>
      <c r="L196" s="20"/>
      <c r="M196" s="20"/>
      <c r="N196" s="20"/>
      <c r="O196" s="20"/>
      <c r="P196" s="20"/>
      <c r="Q196" s="20"/>
      <c r="R196" s="20"/>
      <c r="S196" s="20"/>
      <c r="T196" s="20"/>
      <c r="U196" s="20"/>
      <c r="V196" s="20"/>
    </row>
    <row r="197" ht="13.5" customHeight="1" spans="1:22">
      <c r="A197" s="20"/>
      <c r="B197" s="20"/>
      <c r="C197" s="20"/>
      <c r="D197" s="20"/>
      <c r="E197" s="20"/>
      <c r="F197" s="20"/>
      <c r="G197" s="20"/>
      <c r="H197" s="20"/>
      <c r="I197" s="20"/>
      <c r="J197" s="20"/>
      <c r="K197" s="20"/>
      <c r="L197" s="20"/>
      <c r="M197" s="20"/>
      <c r="N197" s="20"/>
      <c r="O197" s="20"/>
      <c r="P197" s="20"/>
      <c r="Q197" s="20"/>
      <c r="R197" s="20"/>
      <c r="S197" s="20"/>
      <c r="T197" s="20"/>
      <c r="U197" s="20"/>
      <c r="V197" s="20"/>
    </row>
    <row r="198" ht="13.5" customHeight="1" spans="1:22">
      <c r="A198" s="20"/>
      <c r="B198" s="20"/>
      <c r="C198" s="20"/>
      <c r="D198" s="20"/>
      <c r="E198" s="20"/>
      <c r="F198" s="20"/>
      <c r="G198" s="20"/>
      <c r="H198" s="20"/>
      <c r="I198" s="20"/>
      <c r="J198" s="20"/>
      <c r="K198" s="20"/>
      <c r="L198" s="20"/>
      <c r="M198" s="20"/>
      <c r="N198" s="20"/>
      <c r="O198" s="20"/>
      <c r="P198" s="20"/>
      <c r="Q198" s="20"/>
      <c r="R198" s="20"/>
      <c r="S198" s="20"/>
      <c r="T198" s="20"/>
      <c r="U198" s="20"/>
      <c r="V198" s="20"/>
    </row>
    <row r="199" ht="13.5" customHeight="1" spans="1:22">
      <c r="A199" s="20"/>
      <c r="B199" s="20"/>
      <c r="C199" s="20"/>
      <c r="D199" s="20"/>
      <c r="E199" s="20"/>
      <c r="F199" s="20"/>
      <c r="G199" s="20"/>
      <c r="H199" s="20"/>
      <c r="I199" s="20"/>
      <c r="J199" s="20"/>
      <c r="K199" s="20"/>
      <c r="L199" s="20"/>
      <c r="M199" s="20"/>
      <c r="N199" s="20"/>
      <c r="O199" s="20"/>
      <c r="P199" s="20"/>
      <c r="Q199" s="20"/>
      <c r="R199" s="20"/>
      <c r="S199" s="20"/>
      <c r="T199" s="20"/>
      <c r="U199" s="20"/>
      <c r="V199" s="20"/>
    </row>
    <row r="200" ht="13.5" customHeight="1" spans="1:22">
      <c r="A200" s="20"/>
      <c r="B200" s="20"/>
      <c r="C200" s="20"/>
      <c r="D200" s="20"/>
      <c r="E200" s="20"/>
      <c r="F200" s="20"/>
      <c r="G200" s="20"/>
      <c r="H200" s="20"/>
      <c r="I200" s="20"/>
      <c r="J200" s="20"/>
      <c r="K200" s="20"/>
      <c r="L200" s="20"/>
      <c r="M200" s="20"/>
      <c r="N200" s="20"/>
      <c r="O200" s="20"/>
      <c r="P200" s="20"/>
      <c r="Q200" s="20"/>
      <c r="R200" s="20"/>
      <c r="S200" s="20"/>
      <c r="T200" s="20"/>
      <c r="U200" s="20"/>
      <c r="V200" s="20"/>
    </row>
    <row r="201" ht="13.5" customHeight="1" spans="1:22">
      <c r="A201" s="20"/>
      <c r="B201" s="20"/>
      <c r="C201" s="20"/>
      <c r="D201" s="20"/>
      <c r="E201" s="20"/>
      <c r="F201" s="20"/>
      <c r="G201" s="20"/>
      <c r="H201" s="20"/>
      <c r="I201" s="20"/>
      <c r="J201" s="20"/>
      <c r="K201" s="20"/>
      <c r="L201" s="20"/>
      <c r="M201" s="20"/>
      <c r="N201" s="20"/>
      <c r="O201" s="20"/>
      <c r="P201" s="20"/>
      <c r="Q201" s="20"/>
      <c r="R201" s="20"/>
      <c r="S201" s="20"/>
      <c r="T201" s="20"/>
      <c r="U201" s="20"/>
      <c r="V201" s="20"/>
    </row>
    <row r="202" ht="13.5" customHeight="1" spans="1:22">
      <c r="A202" s="20"/>
      <c r="B202" s="20"/>
      <c r="C202" s="20"/>
      <c r="D202" s="20"/>
      <c r="E202" s="20"/>
      <c r="F202" s="20"/>
      <c r="G202" s="20"/>
      <c r="H202" s="20"/>
      <c r="I202" s="20"/>
      <c r="J202" s="20"/>
      <c r="K202" s="20"/>
      <c r="L202" s="20"/>
      <c r="M202" s="20"/>
      <c r="N202" s="20"/>
      <c r="O202" s="20"/>
      <c r="P202" s="20"/>
      <c r="Q202" s="20"/>
      <c r="R202" s="20"/>
      <c r="S202" s="20"/>
      <c r="T202" s="20"/>
      <c r="U202" s="20"/>
      <c r="V202" s="20"/>
    </row>
    <row r="203" ht="13.5" customHeight="1" spans="1:22">
      <c r="A203" s="20"/>
      <c r="B203" s="20"/>
      <c r="C203" s="20"/>
      <c r="D203" s="20"/>
      <c r="E203" s="20"/>
      <c r="F203" s="20"/>
      <c r="G203" s="20"/>
      <c r="H203" s="20"/>
      <c r="I203" s="20"/>
      <c r="J203" s="20"/>
      <c r="K203" s="20"/>
      <c r="L203" s="20"/>
      <c r="M203" s="20"/>
      <c r="N203" s="20"/>
      <c r="O203" s="20"/>
      <c r="P203" s="20"/>
      <c r="Q203" s="20"/>
      <c r="R203" s="20"/>
      <c r="S203" s="20"/>
      <c r="T203" s="20"/>
      <c r="U203" s="20"/>
      <c r="V203" s="20"/>
    </row>
    <row r="204" ht="13.5" customHeight="1" spans="1:22">
      <c r="A204" s="20"/>
      <c r="B204" s="20"/>
      <c r="C204" s="20"/>
      <c r="D204" s="20"/>
      <c r="E204" s="20"/>
      <c r="F204" s="20"/>
      <c r="G204" s="20"/>
      <c r="H204" s="20"/>
      <c r="I204" s="20"/>
      <c r="J204" s="20"/>
      <c r="K204" s="20"/>
      <c r="L204" s="20"/>
      <c r="M204" s="20"/>
      <c r="N204" s="20"/>
      <c r="O204" s="20"/>
      <c r="P204" s="20"/>
      <c r="Q204" s="20"/>
      <c r="R204" s="20"/>
      <c r="S204" s="20"/>
      <c r="T204" s="20"/>
      <c r="U204" s="20"/>
      <c r="V204" s="20"/>
    </row>
    <row r="205" ht="13.5" customHeight="1" spans="1:22">
      <c r="A205" s="20"/>
      <c r="B205" s="20"/>
      <c r="C205" s="20"/>
      <c r="D205" s="20"/>
      <c r="E205" s="20"/>
      <c r="F205" s="20"/>
      <c r="G205" s="20"/>
      <c r="H205" s="20"/>
      <c r="I205" s="20"/>
      <c r="J205" s="20"/>
      <c r="K205" s="20"/>
      <c r="L205" s="20"/>
      <c r="M205" s="20"/>
      <c r="N205" s="20"/>
      <c r="O205" s="20"/>
      <c r="P205" s="20"/>
      <c r="Q205" s="20"/>
      <c r="R205" s="20"/>
      <c r="S205" s="20"/>
      <c r="T205" s="20"/>
      <c r="U205" s="20"/>
      <c r="V205" s="20"/>
    </row>
    <row r="206" ht="13.5" customHeight="1" spans="1:22">
      <c r="A206" s="20"/>
      <c r="B206" s="20"/>
      <c r="C206" s="20"/>
      <c r="D206" s="20"/>
      <c r="E206" s="20"/>
      <c r="F206" s="20"/>
      <c r="G206" s="20"/>
      <c r="H206" s="20"/>
      <c r="I206" s="20"/>
      <c r="J206" s="20"/>
      <c r="K206" s="20"/>
      <c r="L206" s="20"/>
      <c r="M206" s="20"/>
      <c r="N206" s="20"/>
      <c r="O206" s="20"/>
      <c r="P206" s="20"/>
      <c r="Q206" s="20"/>
      <c r="R206" s="20"/>
      <c r="S206" s="20"/>
      <c r="T206" s="20"/>
      <c r="U206" s="20"/>
      <c r="V206" s="20"/>
    </row>
    <row r="207" ht="13.5" customHeight="1" spans="1:22">
      <c r="A207" s="20"/>
      <c r="B207" s="20"/>
      <c r="C207" s="20"/>
      <c r="D207" s="20"/>
      <c r="E207" s="20"/>
      <c r="F207" s="20"/>
      <c r="G207" s="20"/>
      <c r="H207" s="20"/>
      <c r="I207" s="20"/>
      <c r="J207" s="20"/>
      <c r="K207" s="20"/>
      <c r="L207" s="20"/>
      <c r="M207" s="20"/>
      <c r="N207" s="20"/>
      <c r="O207" s="20"/>
      <c r="P207" s="20"/>
      <c r="Q207" s="20"/>
      <c r="R207" s="20"/>
      <c r="S207" s="20"/>
      <c r="T207" s="20"/>
      <c r="U207" s="20"/>
      <c r="V207" s="20"/>
    </row>
    <row r="208" ht="13.5" customHeight="1" spans="1:22">
      <c r="A208" s="20"/>
      <c r="B208" s="20"/>
      <c r="C208" s="20"/>
      <c r="D208" s="20"/>
      <c r="E208" s="20"/>
      <c r="F208" s="20"/>
      <c r="G208" s="20"/>
      <c r="H208" s="20"/>
      <c r="I208" s="20"/>
      <c r="J208" s="20"/>
      <c r="K208" s="20"/>
      <c r="L208" s="20"/>
      <c r="M208" s="20"/>
      <c r="N208" s="20"/>
      <c r="O208" s="20"/>
      <c r="P208" s="20"/>
      <c r="Q208" s="20"/>
      <c r="R208" s="20"/>
      <c r="S208" s="20"/>
      <c r="T208" s="20"/>
      <c r="U208" s="20"/>
      <c r="V208" s="20"/>
    </row>
    <row r="209" ht="13.5" customHeight="1" spans="1:22">
      <c r="A209" s="20"/>
      <c r="B209" s="20"/>
      <c r="C209" s="20"/>
      <c r="D209" s="20"/>
      <c r="E209" s="20"/>
      <c r="F209" s="20"/>
      <c r="G209" s="20"/>
      <c r="H209" s="20"/>
      <c r="I209" s="20"/>
      <c r="J209" s="20"/>
      <c r="K209" s="20"/>
      <c r="L209" s="20"/>
      <c r="M209" s="20"/>
      <c r="N209" s="20"/>
      <c r="O209" s="20"/>
      <c r="P209" s="20"/>
      <c r="Q209" s="20"/>
      <c r="R209" s="20"/>
      <c r="S209" s="20"/>
      <c r="T209" s="20"/>
      <c r="U209" s="20"/>
      <c r="V209" s="20"/>
    </row>
    <row r="210" ht="13.5" customHeight="1" spans="1:22">
      <c r="A210" s="20"/>
      <c r="B210" s="20"/>
      <c r="C210" s="20"/>
      <c r="D210" s="20"/>
      <c r="E210" s="20"/>
      <c r="F210" s="20"/>
      <c r="G210" s="20"/>
      <c r="H210" s="20"/>
      <c r="I210" s="20"/>
      <c r="J210" s="20"/>
      <c r="K210" s="20"/>
      <c r="L210" s="20"/>
      <c r="M210" s="20"/>
      <c r="N210" s="20"/>
      <c r="O210" s="20"/>
      <c r="P210" s="20"/>
      <c r="Q210" s="20"/>
      <c r="R210" s="20"/>
      <c r="S210" s="20"/>
      <c r="T210" s="20"/>
      <c r="U210" s="20"/>
      <c r="V210" s="20"/>
    </row>
    <row r="211" ht="13.5" customHeight="1" spans="1:22">
      <c r="A211" s="20"/>
      <c r="B211" s="20"/>
      <c r="C211" s="20"/>
      <c r="D211" s="20"/>
      <c r="E211" s="20"/>
      <c r="F211" s="20"/>
      <c r="G211" s="20"/>
      <c r="H211" s="20"/>
      <c r="I211" s="20"/>
      <c r="J211" s="20"/>
      <c r="K211" s="20"/>
      <c r="L211" s="20"/>
      <c r="M211" s="20"/>
      <c r="N211" s="20"/>
      <c r="O211" s="20"/>
      <c r="P211" s="20"/>
      <c r="Q211" s="20"/>
      <c r="R211" s="20"/>
      <c r="S211" s="20"/>
      <c r="T211" s="20"/>
      <c r="U211" s="20"/>
      <c r="V211" s="20"/>
    </row>
    <row r="212" ht="13.5" customHeight="1" spans="1:22">
      <c r="A212" s="20"/>
      <c r="B212" s="20"/>
      <c r="C212" s="20"/>
      <c r="D212" s="20"/>
      <c r="E212" s="20"/>
      <c r="F212" s="20"/>
      <c r="G212" s="20"/>
      <c r="H212" s="20"/>
      <c r="I212" s="20"/>
      <c r="J212" s="20"/>
      <c r="K212" s="20"/>
      <c r="L212" s="20"/>
      <c r="M212" s="20"/>
      <c r="N212" s="20"/>
      <c r="O212" s="20"/>
      <c r="P212" s="20"/>
      <c r="Q212" s="20"/>
      <c r="R212" s="20"/>
      <c r="S212" s="20"/>
      <c r="T212" s="20"/>
      <c r="U212" s="20"/>
      <c r="V212" s="20"/>
    </row>
    <row r="213" ht="13.5" customHeight="1" spans="1:22">
      <c r="A213" s="20"/>
      <c r="B213" s="20"/>
      <c r="C213" s="20"/>
      <c r="D213" s="20"/>
      <c r="E213" s="20"/>
      <c r="F213" s="20"/>
      <c r="G213" s="20"/>
      <c r="H213" s="20"/>
      <c r="I213" s="20"/>
      <c r="J213" s="20"/>
      <c r="K213" s="20"/>
      <c r="L213" s="20"/>
      <c r="M213" s="20"/>
      <c r="N213" s="20"/>
      <c r="O213" s="20"/>
      <c r="P213" s="20"/>
      <c r="Q213" s="20"/>
      <c r="R213" s="20"/>
      <c r="S213" s="20"/>
      <c r="T213" s="20"/>
      <c r="U213" s="20"/>
      <c r="V213" s="20"/>
    </row>
    <row r="214" ht="13.5" customHeight="1" spans="1:22">
      <c r="A214" s="20"/>
      <c r="B214" s="20"/>
      <c r="C214" s="20"/>
      <c r="D214" s="20"/>
      <c r="E214" s="20"/>
      <c r="F214" s="20"/>
      <c r="G214" s="20"/>
      <c r="H214" s="20"/>
      <c r="I214" s="20"/>
      <c r="J214" s="20"/>
      <c r="K214" s="20"/>
      <c r="L214" s="20"/>
      <c r="M214" s="20"/>
      <c r="N214" s="20"/>
      <c r="O214" s="20"/>
      <c r="P214" s="20"/>
      <c r="Q214" s="20"/>
      <c r="R214" s="20"/>
      <c r="S214" s="20"/>
      <c r="T214" s="20"/>
      <c r="U214" s="20"/>
      <c r="V214" s="20"/>
    </row>
    <row r="215" ht="13.5" customHeight="1" spans="1:22">
      <c r="A215" s="20"/>
      <c r="B215" s="20"/>
      <c r="C215" s="20"/>
      <c r="D215" s="20"/>
      <c r="E215" s="20"/>
      <c r="F215" s="20"/>
      <c r="G215" s="20"/>
      <c r="H215" s="20"/>
      <c r="I215" s="20"/>
      <c r="J215" s="20"/>
      <c r="K215" s="20"/>
      <c r="L215" s="20"/>
      <c r="M215" s="20"/>
      <c r="N215" s="20"/>
      <c r="O215" s="20"/>
      <c r="P215" s="20"/>
      <c r="Q215" s="20"/>
      <c r="R215" s="20"/>
      <c r="S215" s="20"/>
      <c r="T215" s="20"/>
      <c r="U215" s="20"/>
      <c r="V215" s="20"/>
    </row>
    <row r="216" ht="13.5" customHeight="1" spans="1:22">
      <c r="A216" s="20"/>
      <c r="B216" s="20"/>
      <c r="C216" s="20"/>
      <c r="D216" s="20"/>
      <c r="E216" s="20"/>
      <c r="F216" s="20"/>
      <c r="G216" s="20"/>
      <c r="H216" s="20"/>
      <c r="I216" s="20"/>
      <c r="J216" s="20"/>
      <c r="K216" s="20"/>
      <c r="L216" s="20"/>
      <c r="M216" s="20"/>
      <c r="N216" s="20"/>
      <c r="O216" s="20"/>
      <c r="P216" s="20"/>
      <c r="Q216" s="20"/>
      <c r="R216" s="20"/>
      <c r="S216" s="20"/>
      <c r="T216" s="20"/>
      <c r="U216" s="20"/>
      <c r="V216" s="20"/>
    </row>
    <row r="217" ht="13.5" customHeight="1" spans="1:22">
      <c r="A217" s="20"/>
      <c r="B217" s="20"/>
      <c r="C217" s="20"/>
      <c r="D217" s="20"/>
      <c r="E217" s="20"/>
      <c r="F217" s="20"/>
      <c r="G217" s="20"/>
      <c r="H217" s="20"/>
      <c r="I217" s="20"/>
      <c r="J217" s="20"/>
      <c r="K217" s="20"/>
      <c r="L217" s="20"/>
      <c r="M217" s="20"/>
      <c r="N217" s="20"/>
      <c r="O217" s="20"/>
      <c r="P217" s="20"/>
      <c r="Q217" s="20"/>
      <c r="R217" s="20"/>
      <c r="S217" s="20"/>
      <c r="T217" s="20"/>
      <c r="U217" s="20"/>
      <c r="V217" s="20"/>
    </row>
    <row r="218" ht="13.5" customHeight="1" spans="1:22">
      <c r="A218" s="20"/>
      <c r="B218" s="20"/>
      <c r="C218" s="20"/>
      <c r="D218" s="20"/>
      <c r="E218" s="20"/>
      <c r="F218" s="20"/>
      <c r="G218" s="20"/>
      <c r="H218" s="20"/>
      <c r="I218" s="20"/>
      <c r="J218" s="20"/>
      <c r="K218" s="20"/>
      <c r="L218" s="20"/>
      <c r="M218" s="20"/>
      <c r="N218" s="20"/>
      <c r="O218" s="20"/>
      <c r="P218" s="20"/>
      <c r="Q218" s="20"/>
      <c r="R218" s="20"/>
      <c r="S218" s="20"/>
      <c r="T218" s="20"/>
      <c r="U218" s="20"/>
      <c r="V218" s="20"/>
    </row>
    <row r="219" ht="13.5" customHeight="1" spans="1:22">
      <c r="A219" s="20"/>
      <c r="B219" s="20"/>
      <c r="C219" s="20"/>
      <c r="D219" s="20"/>
      <c r="E219" s="20"/>
      <c r="F219" s="20"/>
      <c r="G219" s="20"/>
      <c r="H219" s="20"/>
      <c r="I219" s="20"/>
      <c r="J219" s="20"/>
      <c r="K219" s="20"/>
      <c r="L219" s="20"/>
      <c r="M219" s="20"/>
      <c r="N219" s="20"/>
      <c r="O219" s="20"/>
      <c r="P219" s="20"/>
      <c r="Q219" s="20"/>
      <c r="R219" s="20"/>
      <c r="S219" s="20"/>
      <c r="T219" s="20"/>
      <c r="U219" s="20"/>
      <c r="V219" s="20"/>
    </row>
    <row r="220" ht="13.5" customHeight="1" spans="1:22">
      <c r="A220" s="20"/>
      <c r="B220" s="20"/>
      <c r="C220" s="20"/>
      <c r="D220" s="20"/>
      <c r="E220" s="20"/>
      <c r="F220" s="20"/>
      <c r="G220" s="20"/>
      <c r="H220" s="20"/>
      <c r="I220" s="20"/>
      <c r="J220" s="20"/>
      <c r="K220" s="20"/>
      <c r="L220" s="20"/>
      <c r="M220" s="20"/>
      <c r="N220" s="20"/>
      <c r="O220" s="20"/>
      <c r="P220" s="20"/>
      <c r="Q220" s="20"/>
      <c r="R220" s="20"/>
      <c r="S220" s="20"/>
      <c r="T220" s="20"/>
      <c r="U220" s="20"/>
      <c r="V220" s="20"/>
    </row>
    <row r="221" ht="13.5" customHeight="1" spans="1:22">
      <c r="A221" s="20"/>
      <c r="B221" s="20"/>
      <c r="C221" s="20"/>
      <c r="D221" s="20"/>
      <c r="E221" s="20"/>
      <c r="F221" s="20"/>
      <c r="G221" s="20"/>
      <c r="H221" s="20"/>
      <c r="I221" s="20"/>
      <c r="J221" s="20"/>
      <c r="K221" s="20"/>
      <c r="L221" s="20"/>
      <c r="M221" s="20"/>
      <c r="N221" s="20"/>
      <c r="O221" s="20"/>
      <c r="P221" s="20"/>
      <c r="Q221" s="20"/>
      <c r="R221" s="20"/>
      <c r="S221" s="20"/>
      <c r="T221" s="20"/>
      <c r="U221" s="20"/>
      <c r="V221" s="20"/>
    </row>
    <row r="222" ht="13.5" customHeight="1" spans="1:22">
      <c r="A222" s="20"/>
      <c r="B222" s="20"/>
      <c r="C222" s="20"/>
      <c r="D222" s="20"/>
      <c r="E222" s="20"/>
      <c r="F222" s="20"/>
      <c r="G222" s="20"/>
      <c r="H222" s="20"/>
      <c r="I222" s="20"/>
      <c r="J222" s="20"/>
      <c r="K222" s="20"/>
      <c r="L222" s="20"/>
      <c r="M222" s="20"/>
      <c r="N222" s="20"/>
      <c r="O222" s="20"/>
      <c r="P222" s="20"/>
      <c r="Q222" s="20"/>
      <c r="R222" s="20"/>
      <c r="S222" s="20"/>
      <c r="T222" s="20"/>
      <c r="U222" s="20"/>
      <c r="V222" s="20"/>
    </row>
    <row r="223" ht="13.5" customHeight="1" spans="1:22">
      <c r="A223" s="20"/>
      <c r="B223" s="20"/>
      <c r="C223" s="20"/>
      <c r="D223" s="20"/>
      <c r="E223" s="20"/>
      <c r="F223" s="20"/>
      <c r="G223" s="20"/>
      <c r="H223" s="20"/>
      <c r="I223" s="20"/>
      <c r="J223" s="20"/>
      <c r="K223" s="20"/>
      <c r="L223" s="20"/>
      <c r="M223" s="20"/>
      <c r="N223" s="20"/>
      <c r="O223" s="20"/>
      <c r="P223" s="20"/>
      <c r="Q223" s="20"/>
      <c r="R223" s="20"/>
      <c r="S223" s="20"/>
      <c r="T223" s="20"/>
      <c r="U223" s="20"/>
      <c r="V223" s="20"/>
    </row>
    <row r="224" ht="13.5" customHeight="1" spans="1:22">
      <c r="A224" s="20"/>
      <c r="B224" s="20"/>
      <c r="C224" s="20"/>
      <c r="D224" s="20"/>
      <c r="E224" s="20"/>
      <c r="F224" s="20"/>
      <c r="G224" s="20"/>
      <c r="H224" s="20"/>
      <c r="I224" s="20"/>
      <c r="J224" s="20"/>
      <c r="K224" s="20"/>
      <c r="L224" s="20"/>
      <c r="M224" s="20"/>
      <c r="N224" s="20"/>
      <c r="O224" s="20"/>
      <c r="P224" s="20"/>
      <c r="Q224" s="20"/>
      <c r="R224" s="20"/>
      <c r="S224" s="20"/>
      <c r="T224" s="20"/>
      <c r="U224" s="20"/>
      <c r="V224" s="20"/>
    </row>
    <row r="225" ht="13.5" customHeight="1" spans="1:22">
      <c r="A225" s="20"/>
      <c r="B225" s="20"/>
      <c r="C225" s="20"/>
      <c r="D225" s="20"/>
      <c r="E225" s="20"/>
      <c r="F225" s="20"/>
      <c r="G225" s="20"/>
      <c r="H225" s="20"/>
      <c r="I225" s="20"/>
      <c r="J225" s="20"/>
      <c r="K225" s="20"/>
      <c r="L225" s="20"/>
      <c r="M225" s="20"/>
      <c r="N225" s="20"/>
      <c r="O225" s="20"/>
      <c r="P225" s="20"/>
      <c r="Q225" s="20"/>
      <c r="R225" s="20"/>
      <c r="S225" s="20"/>
      <c r="T225" s="20"/>
      <c r="U225" s="20"/>
      <c r="V225" s="20"/>
    </row>
    <row r="226" ht="13.5" customHeight="1" spans="1:22">
      <c r="A226" s="20"/>
      <c r="B226" s="20"/>
      <c r="C226" s="20"/>
      <c r="D226" s="20"/>
      <c r="E226" s="20"/>
      <c r="F226" s="20"/>
      <c r="G226" s="20"/>
      <c r="H226" s="20"/>
      <c r="I226" s="20"/>
      <c r="J226" s="20"/>
      <c r="K226" s="20"/>
      <c r="L226" s="20"/>
      <c r="M226" s="20"/>
      <c r="N226" s="20"/>
      <c r="O226" s="20"/>
      <c r="P226" s="20"/>
      <c r="Q226" s="20"/>
      <c r="R226" s="20"/>
      <c r="S226" s="20"/>
      <c r="T226" s="20"/>
      <c r="U226" s="20"/>
      <c r="V226" s="20"/>
    </row>
    <row r="227" ht="13.5" customHeight="1" spans="1:22">
      <c r="A227" s="20"/>
      <c r="B227" s="20"/>
      <c r="C227" s="20"/>
      <c r="D227" s="20"/>
      <c r="E227" s="20"/>
      <c r="F227" s="20"/>
      <c r="G227" s="20"/>
      <c r="H227" s="20"/>
      <c r="I227" s="20"/>
      <c r="J227" s="20"/>
      <c r="K227" s="20"/>
      <c r="L227" s="20"/>
      <c r="M227" s="20"/>
      <c r="N227" s="20"/>
      <c r="O227" s="20"/>
      <c r="P227" s="20"/>
      <c r="Q227" s="20"/>
      <c r="R227" s="20"/>
      <c r="S227" s="20"/>
      <c r="T227" s="20"/>
      <c r="U227" s="20"/>
      <c r="V227" s="20"/>
    </row>
    <row r="228" ht="13.5" customHeight="1" spans="1:22">
      <c r="A228" s="20"/>
      <c r="B228" s="20"/>
      <c r="C228" s="20"/>
      <c r="D228" s="20"/>
      <c r="E228" s="20"/>
      <c r="F228" s="20"/>
      <c r="G228" s="20"/>
      <c r="H228" s="20"/>
      <c r="I228" s="20"/>
      <c r="J228" s="20"/>
      <c r="K228" s="20"/>
      <c r="L228" s="20"/>
      <c r="M228" s="20"/>
      <c r="N228" s="20"/>
      <c r="O228" s="20"/>
      <c r="P228" s="20"/>
      <c r="Q228" s="20"/>
      <c r="R228" s="20"/>
      <c r="S228" s="20"/>
      <c r="T228" s="20"/>
      <c r="U228" s="20"/>
      <c r="V228" s="20"/>
    </row>
    <row r="229" ht="13.5" customHeight="1" spans="1:22">
      <c r="A229" s="20"/>
      <c r="B229" s="20"/>
      <c r="C229" s="20"/>
      <c r="D229" s="20"/>
      <c r="E229" s="20"/>
      <c r="F229" s="20"/>
      <c r="G229" s="20"/>
      <c r="H229" s="20"/>
      <c r="I229" s="20"/>
      <c r="J229" s="20"/>
      <c r="K229" s="20"/>
      <c r="L229" s="20"/>
      <c r="M229" s="20"/>
      <c r="N229" s="20"/>
      <c r="O229" s="20"/>
      <c r="P229" s="20"/>
      <c r="Q229" s="20"/>
      <c r="R229" s="20"/>
      <c r="S229" s="20"/>
      <c r="T229" s="20"/>
      <c r="U229" s="20"/>
      <c r="V229" s="20"/>
    </row>
    <row r="230" ht="13.5" customHeight="1" spans="1:22">
      <c r="A230" s="20"/>
      <c r="B230" s="20"/>
      <c r="C230" s="20"/>
      <c r="D230" s="20"/>
      <c r="E230" s="20"/>
      <c r="F230" s="20"/>
      <c r="G230" s="20"/>
      <c r="H230" s="20"/>
      <c r="I230" s="20"/>
      <c r="J230" s="20"/>
      <c r="K230" s="20"/>
      <c r="L230" s="20"/>
      <c r="M230" s="20"/>
      <c r="N230" s="20"/>
      <c r="O230" s="20"/>
      <c r="P230" s="20"/>
      <c r="Q230" s="20"/>
      <c r="R230" s="20"/>
      <c r="S230" s="20"/>
      <c r="T230" s="20"/>
      <c r="U230" s="20"/>
      <c r="V230" s="20"/>
    </row>
    <row r="231" ht="13.5" customHeight="1" spans="1:22">
      <c r="A231" s="20"/>
      <c r="B231" s="20"/>
      <c r="C231" s="20"/>
      <c r="D231" s="20"/>
      <c r="E231" s="20"/>
      <c r="F231" s="20"/>
      <c r="G231" s="20"/>
      <c r="H231" s="20"/>
      <c r="I231" s="20"/>
      <c r="J231" s="20"/>
      <c r="K231" s="20"/>
      <c r="L231" s="20"/>
      <c r="M231" s="20"/>
      <c r="N231" s="20"/>
      <c r="O231" s="20"/>
      <c r="P231" s="20"/>
      <c r="Q231" s="20"/>
      <c r="R231" s="20"/>
      <c r="S231" s="20"/>
      <c r="T231" s="20"/>
      <c r="U231" s="20"/>
      <c r="V231" s="20"/>
    </row>
    <row r="232" ht="13.5" customHeight="1" spans="1:22">
      <c r="A232" s="20"/>
      <c r="B232" s="20"/>
      <c r="C232" s="20"/>
      <c r="D232" s="20"/>
      <c r="E232" s="20"/>
      <c r="F232" s="20"/>
      <c r="G232" s="20"/>
      <c r="H232" s="20"/>
      <c r="I232" s="20"/>
      <c r="J232" s="20"/>
      <c r="K232" s="20"/>
      <c r="L232" s="20"/>
      <c r="M232" s="20"/>
      <c r="N232" s="20"/>
      <c r="O232" s="20"/>
      <c r="P232" s="20"/>
      <c r="Q232" s="20"/>
      <c r="R232" s="20"/>
      <c r="S232" s="20"/>
      <c r="T232" s="20"/>
      <c r="U232" s="20"/>
      <c r="V232" s="20"/>
    </row>
    <row r="233" ht="13.5" customHeight="1" spans="1:22">
      <c r="A233" s="20"/>
      <c r="B233" s="20"/>
      <c r="C233" s="20"/>
      <c r="D233" s="20"/>
      <c r="E233" s="20"/>
      <c r="F233" s="20"/>
      <c r="G233" s="20"/>
      <c r="H233" s="20"/>
      <c r="I233" s="20"/>
      <c r="J233" s="20"/>
      <c r="K233" s="20"/>
      <c r="L233" s="20"/>
      <c r="M233" s="20"/>
      <c r="N233" s="20"/>
      <c r="O233" s="20"/>
      <c r="P233" s="20"/>
      <c r="Q233" s="20"/>
      <c r="R233" s="20"/>
      <c r="S233" s="20"/>
      <c r="T233" s="20"/>
      <c r="U233" s="20"/>
      <c r="V233" s="20"/>
    </row>
    <row r="234" ht="13.5" customHeight="1" spans="1:22">
      <c r="A234" s="20"/>
      <c r="B234" s="20"/>
      <c r="C234" s="20"/>
      <c r="D234" s="20"/>
      <c r="E234" s="20"/>
      <c r="F234" s="20"/>
      <c r="G234" s="20"/>
      <c r="H234" s="20"/>
      <c r="I234" s="20"/>
      <c r="J234" s="20"/>
      <c r="K234" s="20"/>
      <c r="L234" s="20"/>
      <c r="M234" s="20"/>
      <c r="N234" s="20"/>
      <c r="O234" s="20"/>
      <c r="P234" s="20"/>
      <c r="Q234" s="20"/>
      <c r="R234" s="20"/>
      <c r="S234" s="20"/>
      <c r="T234" s="20"/>
      <c r="U234" s="20"/>
      <c r="V234" s="20"/>
    </row>
    <row r="235" ht="13.5" customHeight="1" spans="1:22">
      <c r="A235" s="20"/>
      <c r="B235" s="20"/>
      <c r="C235" s="20"/>
      <c r="D235" s="20"/>
      <c r="E235" s="20"/>
      <c r="F235" s="20"/>
      <c r="G235" s="20"/>
      <c r="H235" s="20"/>
      <c r="I235" s="20"/>
      <c r="J235" s="20"/>
      <c r="K235" s="20"/>
      <c r="L235" s="20"/>
      <c r="M235" s="20"/>
      <c r="N235" s="20"/>
      <c r="O235" s="20"/>
      <c r="P235" s="20"/>
      <c r="Q235" s="20"/>
      <c r="R235" s="20"/>
      <c r="S235" s="20"/>
      <c r="T235" s="20"/>
      <c r="U235" s="20"/>
      <c r="V235" s="20"/>
    </row>
    <row r="236" ht="13.5" customHeight="1" spans="1:22">
      <c r="A236" s="20"/>
      <c r="B236" s="20"/>
      <c r="C236" s="20"/>
      <c r="D236" s="20"/>
      <c r="E236" s="20"/>
      <c r="F236" s="20"/>
      <c r="G236" s="20"/>
      <c r="H236" s="20"/>
      <c r="I236" s="20"/>
      <c r="J236" s="20"/>
      <c r="K236" s="20"/>
      <c r="L236" s="20"/>
      <c r="M236" s="20"/>
      <c r="N236" s="20"/>
      <c r="O236" s="20"/>
      <c r="P236" s="20"/>
      <c r="Q236" s="20"/>
      <c r="R236" s="20"/>
      <c r="S236" s="20"/>
      <c r="T236" s="20"/>
      <c r="U236" s="20"/>
      <c r="V236" s="20"/>
    </row>
    <row r="237" ht="13.5" customHeight="1" spans="1:22">
      <c r="A237" s="20"/>
      <c r="B237" s="20"/>
      <c r="C237" s="20"/>
      <c r="D237" s="20"/>
      <c r="E237" s="20"/>
      <c r="F237" s="20"/>
      <c r="G237" s="20"/>
      <c r="H237" s="20"/>
      <c r="I237" s="20"/>
      <c r="J237" s="20"/>
      <c r="K237" s="20"/>
      <c r="L237" s="20"/>
      <c r="M237" s="20"/>
      <c r="N237" s="20"/>
      <c r="O237" s="20"/>
      <c r="P237" s="20"/>
      <c r="Q237" s="20"/>
      <c r="R237" s="20"/>
      <c r="S237" s="20"/>
      <c r="T237" s="20"/>
      <c r="U237" s="20"/>
      <c r="V237" s="20"/>
    </row>
    <row r="238" ht="13.5" customHeight="1" spans="1:22">
      <c r="A238" s="20"/>
      <c r="B238" s="20"/>
      <c r="C238" s="20"/>
      <c r="D238" s="20"/>
      <c r="E238" s="20"/>
      <c r="F238" s="20"/>
      <c r="G238" s="20"/>
      <c r="H238" s="20"/>
      <c r="I238" s="20"/>
      <c r="J238" s="20"/>
      <c r="K238" s="20"/>
      <c r="L238" s="20"/>
      <c r="M238" s="20"/>
      <c r="N238" s="20"/>
      <c r="O238" s="20"/>
      <c r="P238" s="20"/>
      <c r="Q238" s="20"/>
      <c r="R238" s="20"/>
      <c r="S238" s="20"/>
      <c r="T238" s="20"/>
      <c r="U238" s="20"/>
      <c r="V238" s="20"/>
    </row>
    <row r="239" ht="13.5" customHeight="1" spans="1:22">
      <c r="A239" s="20"/>
      <c r="B239" s="20"/>
      <c r="C239" s="20"/>
      <c r="D239" s="20"/>
      <c r="E239" s="20"/>
      <c r="F239" s="20"/>
      <c r="G239" s="20"/>
      <c r="H239" s="20"/>
      <c r="I239" s="20"/>
      <c r="J239" s="20"/>
      <c r="K239" s="20"/>
      <c r="L239" s="20"/>
      <c r="M239" s="20"/>
      <c r="N239" s="20"/>
      <c r="O239" s="20"/>
      <c r="P239" s="20"/>
      <c r="Q239" s="20"/>
      <c r="R239" s="20"/>
      <c r="S239" s="20"/>
      <c r="T239" s="20"/>
      <c r="U239" s="20"/>
      <c r="V239" s="20"/>
    </row>
    <row r="240" ht="13.5" customHeight="1" spans="1:22">
      <c r="A240" s="20"/>
      <c r="B240" s="20"/>
      <c r="C240" s="20"/>
      <c r="D240" s="20"/>
      <c r="E240" s="20"/>
      <c r="F240" s="20"/>
      <c r="G240" s="20"/>
      <c r="H240" s="20"/>
      <c r="I240" s="20"/>
      <c r="J240" s="20"/>
      <c r="K240" s="20"/>
      <c r="L240" s="20"/>
      <c r="M240" s="20"/>
      <c r="N240" s="20"/>
      <c r="O240" s="20"/>
      <c r="P240" s="20"/>
      <c r="Q240" s="20"/>
      <c r="R240" s="20"/>
      <c r="S240" s="20"/>
      <c r="T240" s="20"/>
      <c r="U240" s="20"/>
      <c r="V240" s="20"/>
    </row>
    <row r="241" ht="13.5" customHeight="1" spans="1:22">
      <c r="A241" s="20"/>
      <c r="B241" s="20"/>
      <c r="C241" s="20"/>
      <c r="D241" s="20"/>
      <c r="E241" s="20"/>
      <c r="F241" s="20"/>
      <c r="G241" s="20"/>
      <c r="H241" s="20"/>
      <c r="I241" s="20"/>
      <c r="J241" s="20"/>
      <c r="K241" s="20"/>
      <c r="L241" s="20"/>
      <c r="M241" s="20"/>
      <c r="N241" s="20"/>
      <c r="O241" s="20"/>
      <c r="P241" s="20"/>
      <c r="Q241" s="20"/>
      <c r="R241" s="20"/>
      <c r="S241" s="20"/>
      <c r="T241" s="20"/>
      <c r="U241" s="20"/>
      <c r="V241" s="20"/>
    </row>
    <row r="242" ht="13.5" customHeight="1" spans="1:22">
      <c r="A242" s="20"/>
      <c r="B242" s="20"/>
      <c r="C242" s="20"/>
      <c r="D242" s="20"/>
      <c r="E242" s="20"/>
      <c r="F242" s="20"/>
      <c r="G242" s="20"/>
      <c r="H242" s="20"/>
      <c r="I242" s="20"/>
      <c r="J242" s="20"/>
      <c r="K242" s="20"/>
      <c r="L242" s="20"/>
      <c r="M242" s="20"/>
      <c r="N242" s="20"/>
      <c r="O242" s="20"/>
      <c r="P242" s="20"/>
      <c r="Q242" s="20"/>
      <c r="R242" s="20"/>
      <c r="S242" s="20"/>
      <c r="T242" s="20"/>
      <c r="U242" s="20"/>
      <c r="V242" s="20"/>
    </row>
    <row r="243" ht="13.5" customHeight="1" spans="1:22">
      <c r="A243" s="20"/>
      <c r="B243" s="20"/>
      <c r="C243" s="20"/>
      <c r="D243" s="20"/>
      <c r="E243" s="20"/>
      <c r="F243" s="20"/>
      <c r="G243" s="20"/>
      <c r="H243" s="20"/>
      <c r="I243" s="20"/>
      <c r="J243" s="20"/>
      <c r="K243" s="20"/>
      <c r="L243" s="20"/>
      <c r="M243" s="20"/>
      <c r="N243" s="20"/>
      <c r="O243" s="20"/>
      <c r="P243" s="20"/>
      <c r="Q243" s="20"/>
      <c r="R243" s="20"/>
      <c r="S243" s="20"/>
      <c r="T243" s="20"/>
      <c r="U243" s="20"/>
      <c r="V243" s="20"/>
    </row>
    <row r="244" ht="13.5" customHeight="1" spans="1:22">
      <c r="A244" s="20"/>
      <c r="B244" s="20"/>
      <c r="C244" s="20"/>
      <c r="D244" s="20"/>
      <c r="E244" s="20"/>
      <c r="F244" s="20"/>
      <c r="G244" s="20"/>
      <c r="H244" s="20"/>
      <c r="I244" s="20"/>
      <c r="J244" s="20"/>
      <c r="K244" s="20"/>
      <c r="L244" s="20"/>
      <c r="M244" s="20"/>
      <c r="N244" s="20"/>
      <c r="O244" s="20"/>
      <c r="P244" s="20"/>
      <c r="Q244" s="20"/>
      <c r="R244" s="20"/>
      <c r="S244" s="20"/>
      <c r="T244" s="20"/>
      <c r="U244" s="20"/>
      <c r="V244" s="20"/>
    </row>
    <row r="245" ht="13.5" customHeight="1" spans="1:22">
      <c r="A245" s="20"/>
      <c r="B245" s="20"/>
      <c r="C245" s="20"/>
      <c r="D245" s="20"/>
      <c r="E245" s="20"/>
      <c r="F245" s="20"/>
      <c r="G245" s="20"/>
      <c r="H245" s="20"/>
      <c r="I245" s="20"/>
      <c r="J245" s="20"/>
      <c r="K245" s="20"/>
      <c r="L245" s="20"/>
      <c r="M245" s="20"/>
      <c r="N245" s="20"/>
      <c r="O245" s="20"/>
      <c r="P245" s="20"/>
      <c r="Q245" s="20"/>
      <c r="R245" s="20"/>
      <c r="S245" s="20"/>
      <c r="T245" s="20"/>
      <c r="U245" s="20"/>
      <c r="V245" s="20"/>
    </row>
    <row r="246" ht="13.5" customHeight="1" spans="1:22">
      <c r="A246" s="20"/>
      <c r="B246" s="20"/>
      <c r="C246" s="20"/>
      <c r="D246" s="20"/>
      <c r="E246" s="20"/>
      <c r="F246" s="20"/>
      <c r="G246" s="20"/>
      <c r="H246" s="20"/>
      <c r="I246" s="20"/>
      <c r="J246" s="20"/>
      <c r="K246" s="20"/>
      <c r="L246" s="20"/>
      <c r="M246" s="20"/>
      <c r="N246" s="20"/>
      <c r="O246" s="20"/>
      <c r="P246" s="20"/>
      <c r="Q246" s="20"/>
      <c r="R246" s="20"/>
      <c r="S246" s="20"/>
      <c r="T246" s="20"/>
      <c r="U246" s="20"/>
      <c r="V246" s="20"/>
    </row>
    <row r="247" ht="13.5" customHeight="1" spans="1:22">
      <c r="A247" s="20"/>
      <c r="B247" s="20"/>
      <c r="C247" s="20"/>
      <c r="D247" s="20"/>
      <c r="E247" s="20"/>
      <c r="F247" s="20"/>
      <c r="G247" s="20"/>
      <c r="H247" s="20"/>
      <c r="I247" s="20"/>
      <c r="J247" s="20"/>
      <c r="K247" s="20"/>
      <c r="L247" s="20"/>
      <c r="M247" s="20"/>
      <c r="N247" s="20"/>
      <c r="O247" s="20"/>
      <c r="P247" s="20"/>
      <c r="Q247" s="20"/>
      <c r="R247" s="20"/>
      <c r="S247" s="20"/>
      <c r="T247" s="20"/>
      <c r="U247" s="20"/>
      <c r="V247" s="20"/>
    </row>
    <row r="248" ht="13.5" customHeight="1" spans="1:22">
      <c r="A248" s="20"/>
      <c r="B248" s="20"/>
      <c r="C248" s="20"/>
      <c r="D248" s="20"/>
      <c r="E248" s="20"/>
      <c r="F248" s="20"/>
      <c r="G248" s="20"/>
      <c r="H248" s="20"/>
      <c r="I248" s="20"/>
      <c r="J248" s="20"/>
      <c r="K248" s="20"/>
      <c r="L248" s="20"/>
      <c r="M248" s="20"/>
      <c r="N248" s="20"/>
      <c r="O248" s="20"/>
      <c r="P248" s="20"/>
      <c r="Q248" s="20"/>
      <c r="R248" s="20"/>
      <c r="S248" s="20"/>
      <c r="T248" s="20"/>
      <c r="U248" s="20"/>
      <c r="V248" s="20"/>
    </row>
    <row r="249" ht="13.5" customHeight="1" spans="1:22">
      <c r="A249" s="20"/>
      <c r="B249" s="20"/>
      <c r="C249" s="20"/>
      <c r="D249" s="20"/>
      <c r="E249" s="20"/>
      <c r="F249" s="20"/>
      <c r="G249" s="20"/>
      <c r="H249" s="20"/>
      <c r="I249" s="20"/>
      <c r="J249" s="20"/>
      <c r="K249" s="20"/>
      <c r="L249" s="20"/>
      <c r="M249" s="20"/>
      <c r="N249" s="20"/>
      <c r="O249" s="20"/>
      <c r="P249" s="20"/>
      <c r="Q249" s="20"/>
      <c r="R249" s="20"/>
      <c r="S249" s="20"/>
      <c r="T249" s="20"/>
      <c r="U249" s="20"/>
      <c r="V249" s="20"/>
    </row>
    <row r="250" ht="13.5" customHeight="1" spans="1:22">
      <c r="A250" s="20"/>
      <c r="B250" s="20"/>
      <c r="C250" s="20"/>
      <c r="D250" s="20"/>
      <c r="E250" s="20"/>
      <c r="F250" s="20"/>
      <c r="G250" s="20"/>
      <c r="H250" s="20"/>
      <c r="I250" s="20"/>
      <c r="J250" s="20"/>
      <c r="K250" s="20"/>
      <c r="L250" s="20"/>
      <c r="M250" s="20"/>
      <c r="N250" s="20"/>
      <c r="O250" s="20"/>
      <c r="P250" s="20"/>
      <c r="Q250" s="20"/>
      <c r="R250" s="20"/>
      <c r="S250" s="20"/>
      <c r="T250" s="20"/>
      <c r="U250" s="20"/>
      <c r="V250" s="20"/>
    </row>
    <row r="251" ht="13.5" customHeight="1" spans="1:22">
      <c r="A251" s="20"/>
      <c r="B251" s="20"/>
      <c r="C251" s="20"/>
      <c r="D251" s="20"/>
      <c r="E251" s="20"/>
      <c r="F251" s="20"/>
      <c r="G251" s="20"/>
      <c r="H251" s="20"/>
      <c r="I251" s="20"/>
      <c r="J251" s="20"/>
      <c r="K251" s="20"/>
      <c r="L251" s="20"/>
      <c r="M251" s="20"/>
      <c r="N251" s="20"/>
      <c r="O251" s="20"/>
      <c r="P251" s="20"/>
      <c r="Q251" s="20"/>
      <c r="R251" s="20"/>
      <c r="S251" s="20"/>
      <c r="T251" s="20"/>
      <c r="U251" s="20"/>
      <c r="V251" s="20"/>
    </row>
    <row r="252" ht="13.5" customHeight="1" spans="1:22">
      <c r="A252" s="20"/>
      <c r="B252" s="20"/>
      <c r="C252" s="20"/>
      <c r="D252" s="20"/>
      <c r="E252" s="20"/>
      <c r="F252" s="20"/>
      <c r="G252" s="20"/>
      <c r="H252" s="20"/>
      <c r="I252" s="20"/>
      <c r="J252" s="20"/>
      <c r="K252" s="20"/>
      <c r="L252" s="20"/>
      <c r="M252" s="20"/>
      <c r="N252" s="20"/>
      <c r="O252" s="20"/>
      <c r="P252" s="20"/>
      <c r="Q252" s="20"/>
      <c r="R252" s="20"/>
      <c r="S252" s="20"/>
      <c r="T252" s="20"/>
      <c r="U252" s="20"/>
      <c r="V252" s="20"/>
    </row>
    <row r="253" ht="13.5" customHeight="1" spans="1:22">
      <c r="A253" s="20"/>
      <c r="B253" s="20"/>
      <c r="C253" s="20"/>
      <c r="D253" s="20"/>
      <c r="E253" s="20"/>
      <c r="F253" s="20"/>
      <c r="G253" s="20"/>
      <c r="H253" s="20"/>
      <c r="I253" s="20"/>
      <c r="J253" s="20"/>
      <c r="K253" s="20"/>
      <c r="L253" s="20"/>
      <c r="M253" s="20"/>
      <c r="N253" s="20"/>
      <c r="O253" s="20"/>
      <c r="P253" s="20"/>
      <c r="Q253" s="20"/>
      <c r="R253" s="20"/>
      <c r="S253" s="20"/>
      <c r="T253" s="20"/>
      <c r="U253" s="20"/>
      <c r="V253" s="20"/>
    </row>
    <row r="254" ht="13.5" customHeight="1" spans="1:22">
      <c r="A254" s="20"/>
      <c r="B254" s="20"/>
      <c r="C254" s="20"/>
      <c r="D254" s="20"/>
      <c r="E254" s="20"/>
      <c r="F254" s="20"/>
      <c r="G254" s="20"/>
      <c r="H254" s="20"/>
      <c r="I254" s="20"/>
      <c r="J254" s="20"/>
      <c r="K254" s="20"/>
      <c r="L254" s="20"/>
      <c r="M254" s="20"/>
      <c r="N254" s="20"/>
      <c r="O254" s="20"/>
      <c r="P254" s="20"/>
      <c r="Q254" s="20"/>
      <c r="R254" s="20"/>
      <c r="S254" s="20"/>
      <c r="T254" s="20"/>
      <c r="U254" s="20"/>
      <c r="V254" s="20"/>
    </row>
    <row r="255" ht="13.5" customHeight="1" spans="1:22">
      <c r="A255" s="20"/>
      <c r="B255" s="20"/>
      <c r="C255" s="20"/>
      <c r="D255" s="20"/>
      <c r="E255" s="20"/>
      <c r="F255" s="20"/>
      <c r="G255" s="20"/>
      <c r="H255" s="20"/>
      <c r="I255" s="20"/>
      <c r="J255" s="20"/>
      <c r="K255" s="20"/>
      <c r="L255" s="20"/>
      <c r="M255" s="20"/>
      <c r="N255" s="20"/>
      <c r="O255" s="20"/>
      <c r="P255" s="20"/>
      <c r="Q255" s="20"/>
      <c r="R255" s="20"/>
      <c r="S255" s="20"/>
      <c r="T255" s="20"/>
      <c r="U255" s="20"/>
      <c r="V255" s="20"/>
    </row>
    <row r="256" ht="13.5" customHeight="1" spans="1:22">
      <c r="A256" s="20"/>
      <c r="B256" s="20"/>
      <c r="C256" s="20"/>
      <c r="D256" s="20"/>
      <c r="E256" s="20"/>
      <c r="F256" s="20"/>
      <c r="G256" s="20"/>
      <c r="H256" s="20"/>
      <c r="I256" s="20"/>
      <c r="J256" s="20"/>
      <c r="K256" s="20"/>
      <c r="L256" s="20"/>
      <c r="M256" s="20"/>
      <c r="N256" s="20"/>
      <c r="O256" s="20"/>
      <c r="P256" s="20"/>
      <c r="Q256" s="20"/>
      <c r="R256" s="20"/>
      <c r="S256" s="20"/>
      <c r="T256" s="20"/>
      <c r="U256" s="20"/>
      <c r="V256" s="20"/>
    </row>
    <row r="257" ht="13.5" customHeight="1" spans="1:22">
      <c r="A257" s="20"/>
      <c r="B257" s="20"/>
      <c r="C257" s="20"/>
      <c r="D257" s="20"/>
      <c r="E257" s="20"/>
      <c r="F257" s="20"/>
      <c r="G257" s="20"/>
      <c r="H257" s="20"/>
      <c r="I257" s="20"/>
      <c r="J257" s="20"/>
      <c r="K257" s="20"/>
      <c r="L257" s="20"/>
      <c r="M257" s="20"/>
      <c r="N257" s="20"/>
      <c r="O257" s="20"/>
      <c r="P257" s="20"/>
      <c r="Q257" s="20"/>
      <c r="R257" s="20"/>
      <c r="S257" s="20"/>
      <c r="T257" s="20"/>
      <c r="U257" s="20"/>
      <c r="V257" s="20"/>
    </row>
    <row r="258" ht="13.5" customHeight="1" spans="1:22">
      <c r="A258" s="20"/>
      <c r="B258" s="20"/>
      <c r="C258" s="20"/>
      <c r="D258" s="20"/>
      <c r="E258" s="20"/>
      <c r="F258" s="20"/>
      <c r="G258" s="20"/>
      <c r="H258" s="20"/>
      <c r="I258" s="20"/>
      <c r="J258" s="20"/>
      <c r="K258" s="20"/>
      <c r="L258" s="20"/>
      <c r="M258" s="20"/>
      <c r="N258" s="20"/>
      <c r="O258" s="20"/>
      <c r="P258" s="20"/>
      <c r="Q258" s="20"/>
      <c r="R258" s="20"/>
      <c r="S258" s="20"/>
      <c r="T258" s="20"/>
      <c r="U258" s="20"/>
      <c r="V258" s="20"/>
    </row>
    <row r="259" ht="13.5" customHeight="1" spans="1:22">
      <c r="A259" s="20"/>
      <c r="B259" s="20"/>
      <c r="C259" s="20"/>
      <c r="D259" s="20"/>
      <c r="E259" s="20"/>
      <c r="F259" s="20"/>
      <c r="G259" s="20"/>
      <c r="H259" s="20"/>
      <c r="I259" s="20"/>
      <c r="J259" s="20"/>
      <c r="K259" s="20"/>
      <c r="L259" s="20"/>
      <c r="M259" s="20"/>
      <c r="N259" s="20"/>
      <c r="O259" s="20"/>
      <c r="P259" s="20"/>
      <c r="Q259" s="20"/>
      <c r="R259" s="20"/>
      <c r="S259" s="20"/>
      <c r="T259" s="20"/>
      <c r="U259" s="20"/>
      <c r="V259" s="20"/>
    </row>
    <row r="260" ht="13.5" customHeight="1" spans="1:22">
      <c r="A260" s="20"/>
      <c r="B260" s="20"/>
      <c r="C260" s="20"/>
      <c r="D260" s="20"/>
      <c r="E260" s="20"/>
      <c r="F260" s="20"/>
      <c r="G260" s="20"/>
      <c r="H260" s="20"/>
      <c r="I260" s="20"/>
      <c r="J260" s="20"/>
      <c r="K260" s="20"/>
      <c r="L260" s="20"/>
      <c r="M260" s="20"/>
      <c r="N260" s="20"/>
      <c r="O260" s="20"/>
      <c r="P260" s="20"/>
      <c r="Q260" s="20"/>
      <c r="R260" s="20"/>
      <c r="S260" s="20"/>
      <c r="T260" s="20"/>
      <c r="U260" s="20"/>
      <c r="V260" s="20"/>
    </row>
    <row r="261" ht="13.5" customHeight="1" spans="1:22">
      <c r="A261" s="20"/>
      <c r="B261" s="20"/>
      <c r="C261" s="20"/>
      <c r="D261" s="20"/>
      <c r="E261" s="20"/>
      <c r="F261" s="20"/>
      <c r="G261" s="20"/>
      <c r="H261" s="20"/>
      <c r="I261" s="20"/>
      <c r="J261" s="20"/>
      <c r="K261" s="20"/>
      <c r="L261" s="20"/>
      <c r="M261" s="20"/>
      <c r="N261" s="20"/>
      <c r="O261" s="20"/>
      <c r="P261" s="20"/>
      <c r="Q261" s="20"/>
      <c r="R261" s="20"/>
      <c r="S261" s="20"/>
      <c r="T261" s="20"/>
      <c r="U261" s="20"/>
      <c r="V261" s="20"/>
    </row>
    <row r="262" ht="13.5" customHeight="1" spans="1:22">
      <c r="A262" s="20"/>
      <c r="B262" s="20"/>
      <c r="C262" s="20"/>
      <c r="D262" s="20"/>
      <c r="E262" s="20"/>
      <c r="F262" s="20"/>
      <c r="G262" s="20"/>
      <c r="H262" s="20"/>
      <c r="I262" s="20"/>
      <c r="J262" s="20"/>
      <c r="K262" s="20"/>
      <c r="L262" s="20"/>
      <c r="M262" s="20"/>
      <c r="N262" s="20"/>
      <c r="O262" s="20"/>
      <c r="P262" s="20"/>
      <c r="Q262" s="20"/>
      <c r="R262" s="20"/>
      <c r="S262" s="20"/>
      <c r="T262" s="20"/>
      <c r="U262" s="20"/>
      <c r="V262" s="20"/>
    </row>
    <row r="263" ht="13.5" customHeight="1" spans="1:22">
      <c r="A263" s="20"/>
      <c r="B263" s="20"/>
      <c r="C263" s="20"/>
      <c r="D263" s="20"/>
      <c r="E263" s="20"/>
      <c r="F263" s="20"/>
      <c r="G263" s="20"/>
      <c r="H263" s="20"/>
      <c r="I263" s="20"/>
      <c r="J263" s="20"/>
      <c r="K263" s="20"/>
      <c r="L263" s="20"/>
      <c r="M263" s="20"/>
      <c r="N263" s="20"/>
      <c r="O263" s="20"/>
      <c r="P263" s="20"/>
      <c r="Q263" s="20"/>
      <c r="R263" s="20"/>
      <c r="S263" s="20"/>
      <c r="T263" s="20"/>
      <c r="U263" s="20"/>
      <c r="V263" s="20"/>
    </row>
    <row r="264" ht="13.5" customHeight="1" spans="1:22">
      <c r="A264" s="20"/>
      <c r="B264" s="20"/>
      <c r="C264" s="20"/>
      <c r="D264" s="20"/>
      <c r="E264" s="20"/>
      <c r="F264" s="20"/>
      <c r="G264" s="20"/>
      <c r="H264" s="20"/>
      <c r="I264" s="20"/>
      <c r="J264" s="20"/>
      <c r="K264" s="20"/>
      <c r="L264" s="20"/>
      <c r="M264" s="20"/>
      <c r="N264" s="20"/>
      <c r="O264" s="20"/>
      <c r="P264" s="20"/>
      <c r="Q264" s="20"/>
      <c r="R264" s="20"/>
      <c r="S264" s="20"/>
      <c r="T264" s="20"/>
      <c r="U264" s="20"/>
      <c r="V264" s="20"/>
    </row>
    <row r="265" ht="13.5" customHeight="1" spans="1:22">
      <c r="A265" s="20"/>
      <c r="B265" s="20"/>
      <c r="C265" s="20"/>
      <c r="D265" s="20"/>
      <c r="E265" s="20"/>
      <c r="F265" s="20"/>
      <c r="G265" s="20"/>
      <c r="H265" s="20"/>
      <c r="I265" s="20"/>
      <c r="J265" s="20"/>
      <c r="K265" s="20"/>
      <c r="L265" s="20"/>
      <c r="M265" s="20"/>
      <c r="N265" s="20"/>
      <c r="O265" s="20"/>
      <c r="P265" s="20"/>
      <c r="Q265" s="20"/>
      <c r="R265" s="20"/>
      <c r="S265" s="20"/>
      <c r="T265" s="20"/>
      <c r="U265" s="20"/>
      <c r="V265" s="20"/>
    </row>
    <row r="266" ht="13.5" customHeight="1" spans="1:22">
      <c r="A266" s="20"/>
      <c r="B266" s="20"/>
      <c r="C266" s="20"/>
      <c r="D266" s="20"/>
      <c r="E266" s="20"/>
      <c r="F266" s="20"/>
      <c r="G266" s="20"/>
      <c r="H266" s="20"/>
      <c r="I266" s="20"/>
      <c r="J266" s="20"/>
      <c r="K266" s="20"/>
      <c r="L266" s="20"/>
      <c r="M266" s="20"/>
      <c r="N266" s="20"/>
      <c r="O266" s="20"/>
      <c r="P266" s="20"/>
      <c r="Q266" s="20"/>
      <c r="R266" s="20"/>
      <c r="S266" s="20"/>
      <c r="T266" s="20"/>
      <c r="U266" s="20"/>
      <c r="V266" s="20"/>
    </row>
    <row r="267" ht="13.5" customHeight="1" spans="1:22">
      <c r="A267" s="20"/>
      <c r="B267" s="20"/>
      <c r="C267" s="20"/>
      <c r="D267" s="20"/>
      <c r="E267" s="20"/>
      <c r="F267" s="20"/>
      <c r="G267" s="20"/>
      <c r="H267" s="20"/>
      <c r="I267" s="20"/>
      <c r="J267" s="20"/>
      <c r="K267" s="20"/>
      <c r="L267" s="20"/>
      <c r="M267" s="20"/>
      <c r="N267" s="20"/>
      <c r="O267" s="20"/>
      <c r="P267" s="20"/>
      <c r="Q267" s="20"/>
      <c r="R267" s="20"/>
      <c r="S267" s="20"/>
      <c r="T267" s="20"/>
      <c r="U267" s="20"/>
      <c r="V267" s="20"/>
    </row>
    <row r="268" ht="13.5" customHeight="1" spans="1:22">
      <c r="A268" s="20"/>
      <c r="B268" s="20"/>
      <c r="C268" s="20"/>
      <c r="D268" s="20"/>
      <c r="E268" s="20"/>
      <c r="F268" s="20"/>
      <c r="G268" s="20"/>
      <c r="H268" s="20"/>
      <c r="I268" s="20"/>
      <c r="J268" s="20"/>
      <c r="K268" s="20"/>
      <c r="L268" s="20"/>
      <c r="M268" s="20"/>
      <c r="N268" s="20"/>
      <c r="O268" s="20"/>
      <c r="P268" s="20"/>
      <c r="Q268" s="20"/>
      <c r="R268" s="20"/>
      <c r="S268" s="20"/>
      <c r="T268" s="20"/>
      <c r="U268" s="20"/>
      <c r="V268" s="20"/>
    </row>
    <row r="269" ht="13.5" customHeight="1" spans="1:22">
      <c r="A269" s="20"/>
      <c r="B269" s="20"/>
      <c r="C269" s="20"/>
      <c r="D269" s="20"/>
      <c r="E269" s="20"/>
      <c r="F269" s="20"/>
      <c r="G269" s="20"/>
      <c r="H269" s="20"/>
      <c r="I269" s="20"/>
      <c r="J269" s="20"/>
      <c r="K269" s="20"/>
      <c r="L269" s="20"/>
      <c r="M269" s="20"/>
      <c r="N269" s="20"/>
      <c r="O269" s="20"/>
      <c r="P269" s="20"/>
      <c r="Q269" s="20"/>
      <c r="R269" s="20"/>
      <c r="S269" s="20"/>
      <c r="T269" s="20"/>
      <c r="U269" s="20"/>
      <c r="V269" s="20"/>
    </row>
    <row r="270" ht="13.5" customHeight="1" spans="1:22">
      <c r="A270" s="20"/>
      <c r="B270" s="20"/>
      <c r="C270" s="20"/>
      <c r="D270" s="20"/>
      <c r="E270" s="20"/>
      <c r="F270" s="20"/>
      <c r="G270" s="20"/>
      <c r="H270" s="20"/>
      <c r="I270" s="20"/>
      <c r="J270" s="20"/>
      <c r="K270" s="20"/>
      <c r="L270" s="20"/>
      <c r="M270" s="20"/>
      <c r="N270" s="20"/>
      <c r="O270" s="20"/>
      <c r="P270" s="20"/>
      <c r="Q270" s="20"/>
      <c r="R270" s="20"/>
      <c r="S270" s="20"/>
      <c r="T270" s="20"/>
      <c r="U270" s="20"/>
      <c r="V270" s="20"/>
    </row>
    <row r="271" ht="13.5" customHeight="1" spans="1:22">
      <c r="A271" s="20"/>
      <c r="B271" s="20"/>
      <c r="C271" s="20"/>
      <c r="D271" s="20"/>
      <c r="E271" s="20"/>
      <c r="F271" s="20"/>
      <c r="G271" s="20"/>
      <c r="H271" s="20"/>
      <c r="I271" s="20"/>
      <c r="J271" s="20"/>
      <c r="K271" s="20"/>
      <c r="L271" s="20"/>
      <c r="M271" s="20"/>
      <c r="N271" s="20"/>
      <c r="O271" s="20"/>
      <c r="P271" s="20"/>
      <c r="Q271" s="20"/>
      <c r="R271" s="20"/>
      <c r="S271" s="20"/>
      <c r="T271" s="20"/>
      <c r="U271" s="20"/>
      <c r="V271" s="20"/>
    </row>
    <row r="272" ht="13.5" customHeight="1" spans="1:22">
      <c r="A272" s="20"/>
      <c r="B272" s="20"/>
      <c r="C272" s="20"/>
      <c r="D272" s="20"/>
      <c r="E272" s="20"/>
      <c r="F272" s="20"/>
      <c r="G272" s="20"/>
      <c r="H272" s="20"/>
      <c r="I272" s="20"/>
      <c r="J272" s="20"/>
      <c r="K272" s="20"/>
      <c r="L272" s="20"/>
      <c r="M272" s="20"/>
      <c r="N272" s="20"/>
      <c r="O272" s="20"/>
      <c r="P272" s="20"/>
      <c r="Q272" s="20"/>
      <c r="R272" s="20"/>
      <c r="S272" s="20"/>
      <c r="T272" s="20"/>
      <c r="U272" s="20"/>
      <c r="V272" s="20"/>
    </row>
    <row r="273" ht="13.5" customHeight="1" spans="1:22">
      <c r="A273" s="20"/>
      <c r="B273" s="20"/>
      <c r="C273" s="20"/>
      <c r="D273" s="20"/>
      <c r="E273" s="20"/>
      <c r="F273" s="20"/>
      <c r="G273" s="20"/>
      <c r="H273" s="20"/>
      <c r="I273" s="20"/>
      <c r="J273" s="20"/>
      <c r="K273" s="20"/>
      <c r="L273" s="20"/>
      <c r="M273" s="20"/>
      <c r="N273" s="20"/>
      <c r="O273" s="20"/>
      <c r="P273" s="20"/>
      <c r="Q273" s="20"/>
      <c r="R273" s="20"/>
      <c r="S273" s="20"/>
      <c r="T273" s="20"/>
      <c r="U273" s="20"/>
      <c r="V273" s="20"/>
    </row>
    <row r="274" ht="13.5" customHeight="1" spans="1:22">
      <c r="A274" s="20"/>
      <c r="B274" s="20"/>
      <c r="C274" s="20"/>
      <c r="D274" s="20"/>
      <c r="E274" s="20"/>
      <c r="F274" s="20"/>
      <c r="G274" s="20"/>
      <c r="H274" s="20"/>
      <c r="I274" s="20"/>
      <c r="J274" s="20"/>
      <c r="K274" s="20"/>
      <c r="L274" s="20"/>
      <c r="M274" s="20"/>
      <c r="N274" s="20"/>
      <c r="O274" s="20"/>
      <c r="P274" s="20"/>
      <c r="Q274" s="20"/>
      <c r="R274" s="20"/>
      <c r="S274" s="20"/>
      <c r="T274" s="20"/>
      <c r="U274" s="20"/>
      <c r="V274" s="20"/>
    </row>
    <row r="275" ht="13.5" customHeight="1" spans="1:22">
      <c r="A275" s="20"/>
      <c r="B275" s="20"/>
      <c r="C275" s="20"/>
      <c r="D275" s="20"/>
      <c r="E275" s="20"/>
      <c r="F275" s="20"/>
      <c r="G275" s="20"/>
      <c r="H275" s="20"/>
      <c r="I275" s="20"/>
      <c r="J275" s="20"/>
      <c r="K275" s="20"/>
      <c r="L275" s="20"/>
      <c r="M275" s="20"/>
      <c r="N275" s="20"/>
      <c r="O275" s="20"/>
      <c r="P275" s="20"/>
      <c r="Q275" s="20"/>
      <c r="R275" s="20"/>
      <c r="S275" s="20"/>
      <c r="T275" s="20"/>
      <c r="U275" s="20"/>
      <c r="V275" s="20"/>
    </row>
    <row r="276" ht="13.5" customHeight="1" spans="1:22">
      <c r="A276" s="20"/>
      <c r="B276" s="20"/>
      <c r="C276" s="20"/>
      <c r="D276" s="20"/>
      <c r="E276" s="20"/>
      <c r="F276" s="20"/>
      <c r="G276" s="20"/>
      <c r="H276" s="20"/>
      <c r="I276" s="20"/>
      <c r="J276" s="20"/>
      <c r="K276" s="20"/>
      <c r="L276" s="20"/>
      <c r="M276" s="20"/>
      <c r="N276" s="20"/>
      <c r="O276" s="20"/>
      <c r="P276" s="20"/>
      <c r="Q276" s="20"/>
      <c r="R276" s="20"/>
      <c r="S276" s="20"/>
      <c r="T276" s="20"/>
      <c r="U276" s="20"/>
      <c r="V276" s="20"/>
    </row>
    <row r="277" ht="13.5" customHeight="1" spans="1:22">
      <c r="A277" s="20"/>
      <c r="B277" s="20"/>
      <c r="C277" s="20"/>
      <c r="D277" s="20"/>
      <c r="E277" s="20"/>
      <c r="F277" s="20"/>
      <c r="G277" s="20"/>
      <c r="H277" s="20"/>
      <c r="I277" s="20"/>
      <c r="J277" s="20"/>
      <c r="K277" s="20"/>
      <c r="L277" s="20"/>
      <c r="M277" s="20"/>
      <c r="N277" s="20"/>
      <c r="O277" s="20"/>
      <c r="P277" s="20"/>
      <c r="Q277" s="20"/>
      <c r="R277" s="20"/>
      <c r="S277" s="20"/>
      <c r="T277" s="20"/>
      <c r="U277" s="20"/>
      <c r="V277" s="20"/>
    </row>
    <row r="278" ht="13.5" customHeight="1" spans="1:22">
      <c r="A278" s="20"/>
      <c r="B278" s="20"/>
      <c r="C278" s="20"/>
      <c r="D278" s="20"/>
      <c r="E278" s="20"/>
      <c r="F278" s="20"/>
      <c r="G278" s="20"/>
      <c r="H278" s="20"/>
      <c r="I278" s="20"/>
      <c r="J278" s="20"/>
      <c r="K278" s="20"/>
      <c r="L278" s="20"/>
      <c r="M278" s="20"/>
      <c r="N278" s="20"/>
      <c r="O278" s="20"/>
      <c r="P278" s="20"/>
      <c r="Q278" s="20"/>
      <c r="R278" s="20"/>
      <c r="S278" s="20"/>
      <c r="T278" s="20"/>
      <c r="U278" s="20"/>
      <c r="V278" s="20"/>
    </row>
    <row r="279" ht="13.5" customHeight="1" spans="1:22">
      <c r="A279" s="20"/>
      <c r="B279" s="20"/>
      <c r="C279" s="20"/>
      <c r="D279" s="20"/>
      <c r="E279" s="20"/>
      <c r="F279" s="20"/>
      <c r="G279" s="20"/>
      <c r="H279" s="20"/>
      <c r="I279" s="20"/>
      <c r="J279" s="20"/>
      <c r="K279" s="20"/>
      <c r="L279" s="20"/>
      <c r="M279" s="20"/>
      <c r="N279" s="20"/>
      <c r="O279" s="20"/>
      <c r="P279" s="20"/>
      <c r="Q279" s="20"/>
      <c r="R279" s="20"/>
      <c r="S279" s="20"/>
      <c r="T279" s="20"/>
      <c r="U279" s="20"/>
      <c r="V279" s="20"/>
    </row>
    <row r="280" ht="13.5" customHeight="1" spans="1:22">
      <c r="A280" s="20"/>
      <c r="B280" s="20"/>
      <c r="C280" s="20"/>
      <c r="D280" s="20"/>
      <c r="E280" s="20"/>
      <c r="F280" s="20"/>
      <c r="G280" s="20"/>
      <c r="H280" s="20"/>
      <c r="I280" s="20"/>
      <c r="J280" s="20"/>
      <c r="K280" s="20"/>
      <c r="L280" s="20"/>
      <c r="M280" s="20"/>
      <c r="N280" s="20"/>
      <c r="O280" s="20"/>
      <c r="P280" s="20"/>
      <c r="Q280" s="20"/>
      <c r="R280" s="20"/>
      <c r="S280" s="20"/>
      <c r="T280" s="20"/>
      <c r="U280" s="20"/>
      <c r="V280" s="20"/>
    </row>
    <row r="281" ht="13.5" customHeight="1" spans="1:22">
      <c r="A281" s="20"/>
      <c r="B281" s="20"/>
      <c r="C281" s="20"/>
      <c r="D281" s="20"/>
      <c r="E281" s="20"/>
      <c r="F281" s="20"/>
      <c r="G281" s="20"/>
      <c r="H281" s="20"/>
      <c r="I281" s="20"/>
      <c r="J281" s="20"/>
      <c r="K281" s="20"/>
      <c r="L281" s="20"/>
      <c r="M281" s="20"/>
      <c r="N281" s="20"/>
      <c r="O281" s="20"/>
      <c r="P281" s="20"/>
      <c r="Q281" s="20"/>
      <c r="R281" s="20"/>
      <c r="S281" s="20"/>
      <c r="T281" s="20"/>
      <c r="U281" s="20"/>
      <c r="V281" s="20"/>
    </row>
    <row r="282" ht="13.5" customHeight="1" spans="1:22">
      <c r="A282" s="20"/>
      <c r="B282" s="20"/>
      <c r="C282" s="20"/>
      <c r="D282" s="20"/>
      <c r="E282" s="20"/>
      <c r="F282" s="20"/>
      <c r="G282" s="20"/>
      <c r="H282" s="20"/>
      <c r="I282" s="20"/>
      <c r="J282" s="20"/>
      <c r="K282" s="20"/>
      <c r="L282" s="20"/>
      <c r="M282" s="20"/>
      <c r="N282" s="20"/>
      <c r="O282" s="20"/>
      <c r="P282" s="20"/>
      <c r="Q282" s="20"/>
      <c r="R282" s="20"/>
      <c r="S282" s="20"/>
      <c r="T282" s="20"/>
      <c r="U282" s="20"/>
      <c r="V282" s="20"/>
    </row>
    <row r="283" ht="13.5" customHeight="1" spans="1:22">
      <c r="A283" s="20"/>
      <c r="B283" s="20"/>
      <c r="C283" s="20"/>
      <c r="D283" s="20"/>
      <c r="E283" s="20"/>
      <c r="F283" s="20"/>
      <c r="G283" s="20"/>
      <c r="H283" s="20"/>
      <c r="I283" s="20"/>
      <c r="J283" s="20"/>
      <c r="K283" s="20"/>
      <c r="L283" s="20"/>
      <c r="M283" s="20"/>
      <c r="N283" s="20"/>
      <c r="O283" s="20"/>
      <c r="P283" s="20"/>
      <c r="Q283" s="20"/>
      <c r="R283" s="20"/>
      <c r="S283" s="20"/>
      <c r="T283" s="20"/>
      <c r="U283" s="20"/>
      <c r="V283" s="20"/>
    </row>
    <row r="284" ht="13.5" customHeight="1" spans="1:22">
      <c r="A284" s="20"/>
      <c r="B284" s="20"/>
      <c r="C284" s="20"/>
      <c r="D284" s="20"/>
      <c r="E284" s="20"/>
      <c r="F284" s="20"/>
      <c r="G284" s="20"/>
      <c r="H284" s="20"/>
      <c r="I284" s="20"/>
      <c r="J284" s="20"/>
      <c r="K284" s="20"/>
      <c r="L284" s="20"/>
      <c r="M284" s="20"/>
      <c r="N284" s="20"/>
      <c r="O284" s="20"/>
      <c r="P284" s="20"/>
      <c r="Q284" s="20"/>
      <c r="R284" s="20"/>
      <c r="S284" s="20"/>
      <c r="T284" s="20"/>
      <c r="U284" s="20"/>
      <c r="V284" s="20"/>
    </row>
    <row r="285" ht="13.5" customHeight="1" spans="1:22">
      <c r="A285" s="20"/>
      <c r="B285" s="20"/>
      <c r="C285" s="20"/>
      <c r="D285" s="20"/>
      <c r="E285" s="20"/>
      <c r="F285" s="20"/>
      <c r="G285" s="20"/>
      <c r="H285" s="20"/>
      <c r="I285" s="20"/>
      <c r="J285" s="20"/>
      <c r="K285" s="20"/>
      <c r="L285" s="20"/>
      <c r="M285" s="20"/>
      <c r="N285" s="20"/>
      <c r="O285" s="20"/>
      <c r="P285" s="20"/>
      <c r="Q285" s="20"/>
      <c r="R285" s="20"/>
      <c r="S285" s="20"/>
      <c r="T285" s="20"/>
      <c r="U285" s="20"/>
      <c r="V285" s="20"/>
    </row>
    <row r="286" ht="13.5" customHeight="1" spans="1:22">
      <c r="A286" s="20"/>
      <c r="B286" s="20"/>
      <c r="C286" s="20"/>
      <c r="D286" s="20"/>
      <c r="E286" s="20"/>
      <c r="F286" s="20"/>
      <c r="G286" s="20"/>
      <c r="H286" s="20"/>
      <c r="I286" s="20"/>
      <c r="J286" s="20"/>
      <c r="K286" s="20"/>
      <c r="L286" s="20"/>
      <c r="M286" s="20"/>
      <c r="N286" s="20"/>
      <c r="O286" s="20"/>
      <c r="P286" s="20"/>
      <c r="Q286" s="20"/>
      <c r="R286" s="20"/>
      <c r="S286" s="20"/>
      <c r="T286" s="20"/>
      <c r="U286" s="20"/>
      <c r="V286" s="20"/>
    </row>
    <row r="287" ht="13.5" customHeight="1" spans="1:22">
      <c r="A287" s="20"/>
      <c r="B287" s="20"/>
      <c r="C287" s="20"/>
      <c r="D287" s="20"/>
      <c r="E287" s="20"/>
      <c r="F287" s="20"/>
      <c r="G287" s="20"/>
      <c r="H287" s="20"/>
      <c r="I287" s="20"/>
      <c r="J287" s="20"/>
      <c r="K287" s="20"/>
      <c r="L287" s="20"/>
      <c r="M287" s="20"/>
      <c r="N287" s="20"/>
      <c r="O287" s="20"/>
      <c r="P287" s="20"/>
      <c r="Q287" s="20"/>
      <c r="R287" s="20"/>
      <c r="S287" s="20"/>
      <c r="T287" s="20"/>
      <c r="U287" s="20"/>
      <c r="V287" s="20"/>
    </row>
    <row r="288" ht="13.5" customHeight="1" spans="1:22">
      <c r="A288" s="20"/>
      <c r="B288" s="20"/>
      <c r="C288" s="20"/>
      <c r="D288" s="20"/>
      <c r="E288" s="20"/>
      <c r="F288" s="20"/>
      <c r="G288" s="20"/>
      <c r="H288" s="20"/>
      <c r="I288" s="20"/>
      <c r="J288" s="20"/>
      <c r="K288" s="20"/>
      <c r="L288" s="20"/>
      <c r="M288" s="20"/>
      <c r="N288" s="20"/>
      <c r="O288" s="20"/>
      <c r="P288" s="20"/>
      <c r="Q288" s="20"/>
      <c r="R288" s="20"/>
      <c r="S288" s="20"/>
      <c r="T288" s="20"/>
      <c r="U288" s="20"/>
      <c r="V288" s="20"/>
    </row>
    <row r="289" ht="13.5" customHeight="1" spans="1:22">
      <c r="A289" s="20"/>
      <c r="B289" s="20"/>
      <c r="C289" s="20"/>
      <c r="D289" s="20"/>
      <c r="E289" s="20"/>
      <c r="F289" s="20"/>
      <c r="G289" s="20"/>
      <c r="H289" s="20"/>
      <c r="I289" s="20"/>
      <c r="J289" s="20"/>
      <c r="K289" s="20"/>
      <c r="L289" s="20"/>
      <c r="M289" s="20"/>
      <c r="N289" s="20"/>
      <c r="O289" s="20"/>
      <c r="P289" s="20"/>
      <c r="Q289" s="20"/>
      <c r="R289" s="20"/>
      <c r="S289" s="20"/>
      <c r="T289" s="20"/>
      <c r="U289" s="20"/>
      <c r="V289" s="20"/>
    </row>
    <row r="290" ht="13.5" customHeight="1" spans="1:22">
      <c r="A290" s="20"/>
      <c r="B290" s="20"/>
      <c r="C290" s="20"/>
      <c r="D290" s="20"/>
      <c r="E290" s="20"/>
      <c r="F290" s="20"/>
      <c r="G290" s="20"/>
      <c r="H290" s="20"/>
      <c r="I290" s="20"/>
      <c r="J290" s="20"/>
      <c r="K290" s="20"/>
      <c r="L290" s="20"/>
      <c r="M290" s="20"/>
      <c r="N290" s="20"/>
      <c r="O290" s="20"/>
      <c r="P290" s="20"/>
      <c r="Q290" s="20"/>
      <c r="R290" s="20"/>
      <c r="S290" s="20"/>
      <c r="T290" s="20"/>
      <c r="U290" s="20"/>
      <c r="V290" s="20"/>
    </row>
    <row r="291" ht="13.5" customHeight="1" spans="1:22">
      <c r="A291" s="20"/>
      <c r="B291" s="20"/>
      <c r="C291" s="20"/>
      <c r="D291" s="20"/>
      <c r="E291" s="20"/>
      <c r="F291" s="20"/>
      <c r="G291" s="20"/>
      <c r="H291" s="20"/>
      <c r="I291" s="20"/>
      <c r="J291" s="20"/>
      <c r="K291" s="20"/>
      <c r="L291" s="20"/>
      <c r="M291" s="20"/>
      <c r="N291" s="20"/>
      <c r="O291" s="20"/>
      <c r="P291" s="20"/>
      <c r="Q291" s="20"/>
      <c r="R291" s="20"/>
      <c r="S291" s="20"/>
      <c r="T291" s="20"/>
      <c r="U291" s="20"/>
      <c r="V291" s="20"/>
    </row>
    <row r="292" ht="13.5" customHeight="1" spans="1:22">
      <c r="A292" s="20"/>
      <c r="B292" s="20"/>
      <c r="C292" s="20"/>
      <c r="D292" s="20"/>
      <c r="E292" s="20"/>
      <c r="F292" s="20"/>
      <c r="G292" s="20"/>
      <c r="H292" s="20"/>
      <c r="I292" s="20"/>
      <c r="J292" s="20"/>
      <c r="K292" s="20"/>
      <c r="L292" s="20"/>
      <c r="M292" s="20"/>
      <c r="N292" s="20"/>
      <c r="O292" s="20"/>
      <c r="P292" s="20"/>
      <c r="Q292" s="20"/>
      <c r="R292" s="20"/>
      <c r="S292" s="20"/>
      <c r="T292" s="20"/>
      <c r="U292" s="20"/>
      <c r="V292" s="20"/>
    </row>
    <row r="293" ht="13.5" customHeight="1" spans="1:22">
      <c r="A293" s="20"/>
      <c r="B293" s="20"/>
      <c r="C293" s="20"/>
      <c r="D293" s="20"/>
      <c r="E293" s="20"/>
      <c r="F293" s="20"/>
      <c r="G293" s="20"/>
      <c r="H293" s="20"/>
      <c r="I293" s="20"/>
      <c r="J293" s="20"/>
      <c r="K293" s="20"/>
      <c r="L293" s="20"/>
      <c r="M293" s="20"/>
      <c r="N293" s="20"/>
      <c r="O293" s="20"/>
      <c r="P293" s="20"/>
      <c r="Q293" s="20"/>
      <c r="R293" s="20"/>
      <c r="S293" s="20"/>
      <c r="T293" s="20"/>
      <c r="U293" s="20"/>
      <c r="V293" s="20"/>
    </row>
    <row r="294" ht="13.5" customHeight="1" spans="1:22">
      <c r="A294" s="20"/>
      <c r="B294" s="20"/>
      <c r="C294" s="20"/>
      <c r="D294" s="20"/>
      <c r="E294" s="20"/>
      <c r="F294" s="20"/>
      <c r="G294" s="20"/>
      <c r="H294" s="20"/>
      <c r="I294" s="20"/>
      <c r="J294" s="20"/>
      <c r="K294" s="20"/>
      <c r="L294" s="20"/>
      <c r="M294" s="20"/>
      <c r="N294" s="20"/>
      <c r="O294" s="20"/>
      <c r="P294" s="20"/>
      <c r="Q294" s="20"/>
      <c r="R294" s="20"/>
      <c r="S294" s="20"/>
      <c r="T294" s="20"/>
      <c r="U294" s="20"/>
      <c r="V294" s="20"/>
    </row>
    <row r="295" ht="13.5" customHeight="1" spans="1:22">
      <c r="A295" s="20"/>
      <c r="B295" s="20"/>
      <c r="C295" s="20"/>
      <c r="D295" s="20"/>
      <c r="E295" s="20"/>
      <c r="F295" s="20"/>
      <c r="G295" s="20"/>
      <c r="H295" s="20"/>
      <c r="I295" s="20"/>
      <c r="J295" s="20"/>
      <c r="K295" s="20"/>
      <c r="L295" s="20"/>
      <c r="M295" s="20"/>
      <c r="N295" s="20"/>
      <c r="O295" s="20"/>
      <c r="P295" s="20"/>
      <c r="Q295" s="20"/>
      <c r="R295" s="20"/>
      <c r="S295" s="20"/>
      <c r="T295" s="20"/>
      <c r="U295" s="20"/>
      <c r="V295" s="20"/>
    </row>
    <row r="296" ht="13.5" customHeight="1" spans="1:22">
      <c r="A296" s="20"/>
      <c r="B296" s="20"/>
      <c r="C296" s="20"/>
      <c r="D296" s="20"/>
      <c r="E296" s="20"/>
      <c r="F296" s="20"/>
      <c r="G296" s="20"/>
      <c r="H296" s="20"/>
      <c r="I296" s="20"/>
      <c r="J296" s="20"/>
      <c r="K296" s="20"/>
      <c r="L296" s="20"/>
      <c r="M296" s="20"/>
      <c r="N296" s="20"/>
      <c r="O296" s="20"/>
      <c r="P296" s="20"/>
      <c r="Q296" s="20"/>
      <c r="R296" s="20"/>
      <c r="S296" s="20"/>
      <c r="T296" s="20"/>
      <c r="U296" s="20"/>
      <c r="V296" s="20"/>
    </row>
    <row r="297" ht="13.5" customHeight="1" spans="1:22">
      <c r="A297" s="20"/>
      <c r="B297" s="20"/>
      <c r="C297" s="20"/>
      <c r="D297" s="20"/>
      <c r="E297" s="20"/>
      <c r="F297" s="20"/>
      <c r="G297" s="20"/>
      <c r="H297" s="20"/>
      <c r="I297" s="20"/>
      <c r="J297" s="20"/>
      <c r="K297" s="20"/>
      <c r="L297" s="20"/>
      <c r="M297" s="20"/>
      <c r="N297" s="20"/>
      <c r="O297" s="20"/>
      <c r="P297" s="20"/>
      <c r="Q297" s="20"/>
      <c r="R297" s="20"/>
      <c r="S297" s="20"/>
      <c r="T297" s="20"/>
      <c r="U297" s="20"/>
      <c r="V297" s="20"/>
    </row>
    <row r="298" ht="13.5" customHeight="1" spans="1:22">
      <c r="A298" s="20"/>
      <c r="B298" s="20"/>
      <c r="C298" s="20"/>
      <c r="D298" s="20"/>
      <c r="E298" s="20"/>
      <c r="F298" s="20"/>
      <c r="G298" s="20"/>
      <c r="H298" s="20"/>
      <c r="I298" s="20"/>
      <c r="J298" s="20"/>
      <c r="K298" s="20"/>
      <c r="L298" s="20"/>
      <c r="M298" s="20"/>
      <c r="N298" s="20"/>
      <c r="O298" s="20"/>
      <c r="P298" s="20"/>
      <c r="Q298" s="20"/>
      <c r="R298" s="20"/>
      <c r="S298" s="20"/>
      <c r="T298" s="20"/>
      <c r="U298" s="20"/>
      <c r="V298" s="20"/>
    </row>
    <row r="299" ht="13.5" customHeight="1" spans="1:22">
      <c r="A299" s="20"/>
      <c r="B299" s="20"/>
      <c r="C299" s="20"/>
      <c r="D299" s="20"/>
      <c r="E299" s="20"/>
      <c r="F299" s="20"/>
      <c r="G299" s="20"/>
      <c r="H299" s="20"/>
      <c r="I299" s="20"/>
      <c r="J299" s="20"/>
      <c r="K299" s="20"/>
      <c r="L299" s="20"/>
      <c r="M299" s="20"/>
      <c r="N299" s="20"/>
      <c r="O299" s="20"/>
      <c r="P299" s="20"/>
      <c r="Q299" s="20"/>
      <c r="R299" s="20"/>
      <c r="S299" s="20"/>
      <c r="T299" s="20"/>
      <c r="U299" s="20"/>
      <c r="V299" s="20"/>
    </row>
    <row r="300" ht="13.5" customHeight="1" spans="1:22">
      <c r="A300" s="20"/>
      <c r="B300" s="20"/>
      <c r="C300" s="20"/>
      <c r="D300" s="20"/>
      <c r="E300" s="20"/>
      <c r="F300" s="20"/>
      <c r="G300" s="20"/>
      <c r="H300" s="20"/>
      <c r="I300" s="20"/>
      <c r="J300" s="20"/>
      <c r="K300" s="20"/>
      <c r="L300" s="20"/>
      <c r="M300" s="20"/>
      <c r="N300" s="20"/>
      <c r="O300" s="20"/>
      <c r="P300" s="20"/>
      <c r="Q300" s="20"/>
      <c r="R300" s="20"/>
      <c r="S300" s="20"/>
      <c r="T300" s="20"/>
      <c r="U300" s="20"/>
      <c r="V300" s="20"/>
    </row>
    <row r="301" ht="13.5" customHeight="1" spans="1:22">
      <c r="A301" s="20"/>
      <c r="B301" s="20"/>
      <c r="C301" s="20"/>
      <c r="D301" s="20"/>
      <c r="E301" s="20"/>
      <c r="F301" s="20"/>
      <c r="G301" s="20"/>
      <c r="H301" s="20"/>
      <c r="I301" s="20"/>
      <c r="J301" s="20"/>
      <c r="K301" s="20"/>
      <c r="L301" s="20"/>
      <c r="M301" s="20"/>
      <c r="N301" s="20"/>
      <c r="O301" s="20"/>
      <c r="P301" s="20"/>
      <c r="Q301" s="20"/>
      <c r="R301" s="20"/>
      <c r="S301" s="20"/>
      <c r="T301" s="20"/>
      <c r="U301" s="20"/>
      <c r="V301" s="20"/>
    </row>
    <row r="302" ht="13.5" customHeight="1" spans="1:22">
      <c r="A302" s="20"/>
      <c r="B302" s="20"/>
      <c r="C302" s="20"/>
      <c r="D302" s="20"/>
      <c r="E302" s="20"/>
      <c r="F302" s="20"/>
      <c r="G302" s="20"/>
      <c r="H302" s="20"/>
      <c r="I302" s="20"/>
      <c r="J302" s="20"/>
      <c r="K302" s="20"/>
      <c r="L302" s="20"/>
      <c r="M302" s="20"/>
      <c r="N302" s="20"/>
      <c r="O302" s="20"/>
      <c r="P302" s="20"/>
      <c r="Q302" s="20"/>
      <c r="R302" s="20"/>
      <c r="S302" s="20"/>
      <c r="T302" s="20"/>
      <c r="U302" s="20"/>
      <c r="V302" s="20"/>
    </row>
    <row r="303" ht="13.5" customHeight="1" spans="1:22">
      <c r="A303" s="20"/>
      <c r="B303" s="20"/>
      <c r="C303" s="20"/>
      <c r="D303" s="20"/>
      <c r="E303" s="20"/>
      <c r="F303" s="20"/>
      <c r="G303" s="20"/>
      <c r="H303" s="20"/>
      <c r="I303" s="20"/>
      <c r="J303" s="20"/>
      <c r="K303" s="20"/>
      <c r="L303" s="20"/>
      <c r="M303" s="20"/>
      <c r="N303" s="20"/>
      <c r="O303" s="20"/>
      <c r="P303" s="20"/>
      <c r="Q303" s="20"/>
      <c r="R303" s="20"/>
      <c r="S303" s="20"/>
      <c r="T303" s="20"/>
      <c r="U303" s="20"/>
      <c r="V303" s="20"/>
    </row>
    <row r="304" ht="13.5" customHeight="1" spans="1:22">
      <c r="A304" s="20"/>
      <c r="B304" s="20"/>
      <c r="C304" s="20"/>
      <c r="D304" s="20"/>
      <c r="E304" s="20"/>
      <c r="F304" s="20"/>
      <c r="G304" s="20"/>
      <c r="H304" s="20"/>
      <c r="I304" s="20"/>
      <c r="J304" s="20"/>
      <c r="K304" s="20"/>
      <c r="L304" s="20"/>
      <c r="M304" s="20"/>
      <c r="N304" s="20"/>
      <c r="O304" s="20"/>
      <c r="P304" s="20"/>
      <c r="Q304" s="20"/>
      <c r="R304" s="20"/>
      <c r="S304" s="20"/>
      <c r="T304" s="20"/>
      <c r="U304" s="20"/>
      <c r="V304" s="20"/>
    </row>
    <row r="305" ht="13.5" customHeight="1" spans="1:22">
      <c r="A305" s="20"/>
      <c r="B305" s="20"/>
      <c r="C305" s="20"/>
      <c r="D305" s="20"/>
      <c r="E305" s="20"/>
      <c r="F305" s="20"/>
      <c r="G305" s="20"/>
      <c r="H305" s="20"/>
      <c r="I305" s="20"/>
      <c r="J305" s="20"/>
      <c r="K305" s="20"/>
      <c r="L305" s="20"/>
      <c r="M305" s="20"/>
      <c r="N305" s="20"/>
      <c r="O305" s="20"/>
      <c r="P305" s="20"/>
      <c r="Q305" s="20"/>
      <c r="R305" s="20"/>
      <c r="S305" s="20"/>
      <c r="T305" s="20"/>
      <c r="U305" s="20"/>
      <c r="V305" s="20"/>
    </row>
    <row r="306" ht="13.5" customHeight="1" spans="1:22">
      <c r="A306" s="20"/>
      <c r="B306" s="20"/>
      <c r="C306" s="20"/>
      <c r="D306" s="20"/>
      <c r="E306" s="20"/>
      <c r="F306" s="20"/>
      <c r="G306" s="20"/>
      <c r="H306" s="20"/>
      <c r="I306" s="20"/>
      <c r="J306" s="20"/>
      <c r="K306" s="20"/>
      <c r="L306" s="20"/>
      <c r="M306" s="20"/>
      <c r="N306" s="20"/>
      <c r="O306" s="20"/>
      <c r="P306" s="20"/>
      <c r="Q306" s="20"/>
      <c r="R306" s="20"/>
      <c r="S306" s="20"/>
      <c r="T306" s="20"/>
      <c r="U306" s="20"/>
      <c r="V306" s="20"/>
    </row>
    <row r="307" ht="13.5" customHeight="1" spans="1:22">
      <c r="A307" s="20"/>
      <c r="B307" s="20"/>
      <c r="C307" s="20"/>
      <c r="D307" s="20"/>
      <c r="E307" s="20"/>
      <c r="F307" s="20"/>
      <c r="G307" s="20"/>
      <c r="H307" s="20"/>
      <c r="I307" s="20"/>
      <c r="J307" s="20"/>
      <c r="K307" s="20"/>
      <c r="L307" s="20"/>
      <c r="M307" s="20"/>
      <c r="N307" s="20"/>
      <c r="O307" s="20"/>
      <c r="P307" s="20"/>
      <c r="Q307" s="20"/>
      <c r="R307" s="20"/>
      <c r="S307" s="20"/>
      <c r="T307" s="20"/>
      <c r="U307" s="20"/>
      <c r="V307" s="20"/>
    </row>
    <row r="308" ht="13.5" customHeight="1" spans="1:22">
      <c r="A308" s="20"/>
      <c r="B308" s="20"/>
      <c r="C308" s="20"/>
      <c r="D308" s="20"/>
      <c r="E308" s="20"/>
      <c r="F308" s="20"/>
      <c r="G308" s="20"/>
      <c r="H308" s="20"/>
      <c r="I308" s="20"/>
      <c r="J308" s="20"/>
      <c r="K308" s="20"/>
      <c r="L308" s="20"/>
      <c r="M308" s="20"/>
      <c r="N308" s="20"/>
      <c r="O308" s="20"/>
      <c r="P308" s="20"/>
      <c r="Q308" s="20"/>
      <c r="R308" s="20"/>
      <c r="S308" s="20"/>
      <c r="T308" s="20"/>
      <c r="U308" s="20"/>
      <c r="V308" s="20"/>
    </row>
    <row r="309" ht="13.5" customHeight="1" spans="1:22">
      <c r="A309" s="20"/>
      <c r="B309" s="20"/>
      <c r="C309" s="20"/>
      <c r="D309" s="20"/>
      <c r="E309" s="20"/>
      <c r="F309" s="20"/>
      <c r="G309" s="20"/>
      <c r="H309" s="20"/>
      <c r="I309" s="20"/>
      <c r="J309" s="20"/>
      <c r="K309" s="20"/>
      <c r="L309" s="20"/>
      <c r="M309" s="20"/>
      <c r="N309" s="20"/>
      <c r="O309" s="20"/>
      <c r="P309" s="20"/>
      <c r="Q309" s="20"/>
      <c r="R309" s="20"/>
      <c r="S309" s="20"/>
      <c r="T309" s="20"/>
      <c r="U309" s="20"/>
      <c r="V309" s="20"/>
    </row>
    <row r="310" ht="13.5" customHeight="1" spans="1:22">
      <c r="A310" s="20"/>
      <c r="B310" s="20"/>
      <c r="C310" s="20"/>
      <c r="D310" s="20"/>
      <c r="E310" s="20"/>
      <c r="F310" s="20"/>
      <c r="G310" s="20"/>
      <c r="H310" s="20"/>
      <c r="I310" s="20"/>
      <c r="J310" s="20"/>
      <c r="K310" s="20"/>
      <c r="L310" s="20"/>
      <c r="M310" s="20"/>
      <c r="N310" s="20"/>
      <c r="O310" s="20"/>
      <c r="P310" s="20"/>
      <c r="Q310" s="20"/>
      <c r="R310" s="20"/>
      <c r="S310" s="20"/>
      <c r="T310" s="20"/>
      <c r="U310" s="20"/>
      <c r="V310" s="20"/>
    </row>
    <row r="311" ht="13.5" customHeight="1" spans="1:22">
      <c r="A311" s="20"/>
      <c r="B311" s="20"/>
      <c r="C311" s="20"/>
      <c r="D311" s="20"/>
      <c r="E311" s="20"/>
      <c r="F311" s="20"/>
      <c r="G311" s="20"/>
      <c r="H311" s="20"/>
      <c r="I311" s="20"/>
      <c r="J311" s="20"/>
      <c r="K311" s="20"/>
      <c r="L311" s="20"/>
      <c r="M311" s="20"/>
      <c r="N311" s="20"/>
      <c r="O311" s="20"/>
      <c r="P311" s="20"/>
      <c r="Q311" s="20"/>
      <c r="R311" s="20"/>
      <c r="S311" s="20"/>
      <c r="T311" s="20"/>
      <c r="U311" s="20"/>
      <c r="V311" s="20"/>
    </row>
    <row r="312" ht="13.5" customHeight="1" spans="1:22">
      <c r="A312" s="20"/>
      <c r="B312" s="20"/>
      <c r="C312" s="20"/>
      <c r="D312" s="20"/>
      <c r="E312" s="20"/>
      <c r="F312" s="20"/>
      <c r="G312" s="20"/>
      <c r="H312" s="20"/>
      <c r="I312" s="20"/>
      <c r="J312" s="20"/>
      <c r="K312" s="20"/>
      <c r="L312" s="20"/>
      <c r="M312" s="20"/>
      <c r="N312" s="20"/>
      <c r="O312" s="20"/>
      <c r="P312" s="20"/>
      <c r="Q312" s="20"/>
      <c r="R312" s="20"/>
      <c r="S312" s="20"/>
      <c r="T312" s="20"/>
      <c r="U312" s="20"/>
      <c r="V312" s="20"/>
    </row>
    <row r="313" ht="13.5" customHeight="1" spans="1:22">
      <c r="A313" s="20"/>
      <c r="B313" s="20"/>
      <c r="C313" s="20"/>
      <c r="D313" s="20"/>
      <c r="E313" s="20"/>
      <c r="F313" s="20"/>
      <c r="G313" s="20"/>
      <c r="H313" s="20"/>
      <c r="I313" s="20"/>
      <c r="J313" s="20"/>
      <c r="K313" s="20"/>
      <c r="L313" s="20"/>
      <c r="M313" s="20"/>
      <c r="N313" s="20"/>
      <c r="O313" s="20"/>
      <c r="P313" s="20"/>
      <c r="Q313" s="20"/>
      <c r="R313" s="20"/>
      <c r="S313" s="20"/>
      <c r="T313" s="20"/>
      <c r="U313" s="20"/>
      <c r="V313" s="20"/>
    </row>
    <row r="314" ht="13.5" customHeight="1" spans="1:22">
      <c r="A314" s="20"/>
      <c r="B314" s="20"/>
      <c r="C314" s="20"/>
      <c r="D314" s="20"/>
      <c r="E314" s="20"/>
      <c r="F314" s="20"/>
      <c r="G314" s="20"/>
      <c r="H314" s="20"/>
      <c r="I314" s="20"/>
      <c r="J314" s="20"/>
      <c r="K314" s="20"/>
      <c r="L314" s="20"/>
      <c r="M314" s="20"/>
      <c r="N314" s="20"/>
      <c r="O314" s="20"/>
      <c r="P314" s="20"/>
      <c r="Q314" s="20"/>
      <c r="R314" s="20"/>
      <c r="S314" s="20"/>
      <c r="T314" s="20"/>
      <c r="U314" s="20"/>
      <c r="V314" s="20"/>
    </row>
    <row r="315" ht="13.5" customHeight="1" spans="1:22">
      <c r="A315" s="20"/>
      <c r="B315" s="20"/>
      <c r="C315" s="20"/>
      <c r="D315" s="20"/>
      <c r="E315" s="20"/>
      <c r="F315" s="20"/>
      <c r="G315" s="20"/>
      <c r="H315" s="20"/>
      <c r="I315" s="20"/>
      <c r="J315" s="20"/>
      <c r="K315" s="20"/>
      <c r="L315" s="20"/>
      <c r="M315" s="20"/>
      <c r="N315" s="20"/>
      <c r="O315" s="20"/>
      <c r="P315" s="20"/>
      <c r="Q315" s="20"/>
      <c r="R315" s="20"/>
      <c r="S315" s="20"/>
      <c r="T315" s="20"/>
      <c r="U315" s="20"/>
      <c r="V315" s="20"/>
    </row>
    <row r="316" ht="13.5" customHeight="1" spans="1:22">
      <c r="A316" s="20"/>
      <c r="B316" s="20"/>
      <c r="C316" s="20"/>
      <c r="D316" s="20"/>
      <c r="E316" s="20"/>
      <c r="F316" s="20"/>
      <c r="G316" s="20"/>
      <c r="H316" s="20"/>
      <c r="I316" s="20"/>
      <c r="J316" s="20"/>
      <c r="K316" s="20"/>
      <c r="L316" s="20"/>
      <c r="M316" s="20"/>
      <c r="N316" s="20"/>
      <c r="O316" s="20"/>
      <c r="P316" s="20"/>
      <c r="Q316" s="20"/>
      <c r="R316" s="20"/>
      <c r="S316" s="20"/>
      <c r="T316" s="20"/>
      <c r="U316" s="20"/>
      <c r="V316" s="20"/>
    </row>
    <row r="317" ht="13.5" customHeight="1" spans="1:22">
      <c r="A317" s="20"/>
      <c r="B317" s="20"/>
      <c r="C317" s="20"/>
      <c r="D317" s="20"/>
      <c r="E317" s="20"/>
      <c r="F317" s="20"/>
      <c r="G317" s="20"/>
      <c r="H317" s="20"/>
      <c r="I317" s="20"/>
      <c r="J317" s="20"/>
      <c r="K317" s="20"/>
      <c r="L317" s="20"/>
      <c r="M317" s="20"/>
      <c r="N317" s="20"/>
      <c r="O317" s="20"/>
      <c r="P317" s="20"/>
      <c r="Q317" s="20"/>
      <c r="R317" s="20"/>
      <c r="S317" s="20"/>
      <c r="T317" s="20"/>
      <c r="U317" s="20"/>
      <c r="V317" s="20"/>
    </row>
    <row r="318" ht="13.5" customHeight="1" spans="1:22">
      <c r="A318" s="20"/>
      <c r="B318" s="20"/>
      <c r="C318" s="20"/>
      <c r="D318" s="20"/>
      <c r="E318" s="20"/>
      <c r="F318" s="20"/>
      <c r="G318" s="20"/>
      <c r="H318" s="20"/>
      <c r="I318" s="20"/>
      <c r="J318" s="20"/>
      <c r="K318" s="20"/>
      <c r="L318" s="20"/>
      <c r="M318" s="20"/>
      <c r="N318" s="20"/>
      <c r="O318" s="20"/>
      <c r="P318" s="20"/>
      <c r="Q318" s="20"/>
      <c r="R318" s="20"/>
      <c r="S318" s="20"/>
      <c r="T318" s="20"/>
      <c r="U318" s="20"/>
      <c r="V318" s="20"/>
    </row>
    <row r="319" ht="13.5" customHeight="1" spans="1:22">
      <c r="A319" s="20"/>
      <c r="B319" s="20"/>
      <c r="C319" s="20"/>
      <c r="D319" s="20"/>
      <c r="E319" s="20"/>
      <c r="F319" s="20"/>
      <c r="G319" s="20"/>
      <c r="H319" s="20"/>
      <c r="I319" s="20"/>
      <c r="J319" s="20"/>
      <c r="K319" s="20"/>
      <c r="L319" s="20"/>
      <c r="M319" s="20"/>
      <c r="N319" s="20"/>
      <c r="O319" s="20"/>
      <c r="P319" s="20"/>
      <c r="Q319" s="20"/>
      <c r="R319" s="20"/>
      <c r="S319" s="20"/>
      <c r="T319" s="20"/>
      <c r="U319" s="20"/>
      <c r="V319" s="20"/>
    </row>
    <row r="320" ht="13.5" customHeight="1" spans="1:22">
      <c r="A320" s="20"/>
      <c r="B320" s="20"/>
      <c r="C320" s="20"/>
      <c r="D320" s="20"/>
      <c r="E320" s="20"/>
      <c r="F320" s="20"/>
      <c r="G320" s="20"/>
      <c r="H320" s="20"/>
      <c r="I320" s="20"/>
      <c r="J320" s="20"/>
      <c r="K320" s="20"/>
      <c r="L320" s="20"/>
      <c r="M320" s="20"/>
      <c r="N320" s="20"/>
      <c r="O320" s="20"/>
      <c r="P320" s="20"/>
      <c r="Q320" s="20"/>
      <c r="R320" s="20"/>
      <c r="S320" s="20"/>
      <c r="T320" s="20"/>
      <c r="U320" s="20"/>
      <c r="V320" s="20"/>
    </row>
    <row r="321" ht="13.5" customHeight="1" spans="1:22">
      <c r="A321" s="20"/>
      <c r="B321" s="20"/>
      <c r="C321" s="20"/>
      <c r="D321" s="20"/>
      <c r="E321" s="20"/>
      <c r="F321" s="20"/>
      <c r="G321" s="20"/>
      <c r="H321" s="20"/>
      <c r="I321" s="20"/>
      <c r="J321" s="20"/>
      <c r="K321" s="20"/>
      <c r="L321" s="20"/>
      <c r="M321" s="20"/>
      <c r="N321" s="20"/>
      <c r="O321" s="20"/>
      <c r="P321" s="20"/>
      <c r="Q321" s="20"/>
      <c r="R321" s="20"/>
      <c r="S321" s="20"/>
      <c r="T321" s="20"/>
      <c r="U321" s="20"/>
      <c r="V321" s="20"/>
    </row>
    <row r="322" ht="13.5" customHeight="1" spans="1:22">
      <c r="A322" s="20"/>
      <c r="B322" s="20"/>
      <c r="C322" s="20"/>
      <c r="D322" s="20"/>
      <c r="E322" s="20"/>
      <c r="F322" s="20"/>
      <c r="G322" s="20"/>
      <c r="H322" s="20"/>
      <c r="I322" s="20"/>
      <c r="J322" s="20"/>
      <c r="K322" s="20"/>
      <c r="L322" s="20"/>
      <c r="M322" s="20"/>
      <c r="N322" s="20"/>
      <c r="O322" s="20"/>
      <c r="P322" s="20"/>
      <c r="Q322" s="20"/>
      <c r="R322" s="20"/>
      <c r="S322" s="20"/>
      <c r="T322" s="20"/>
      <c r="U322" s="20"/>
      <c r="V322" s="20"/>
    </row>
    <row r="323" ht="13.5" customHeight="1" spans="1:22">
      <c r="A323" s="20"/>
      <c r="B323" s="20"/>
      <c r="C323" s="20"/>
      <c r="D323" s="20"/>
      <c r="E323" s="20"/>
      <c r="F323" s="20"/>
      <c r="G323" s="20"/>
      <c r="H323" s="20"/>
      <c r="I323" s="20"/>
      <c r="J323" s="20"/>
      <c r="K323" s="20"/>
      <c r="L323" s="20"/>
      <c r="M323" s="20"/>
      <c r="N323" s="20"/>
      <c r="O323" s="20"/>
      <c r="P323" s="20"/>
      <c r="Q323" s="20"/>
      <c r="R323" s="20"/>
      <c r="S323" s="20"/>
      <c r="T323" s="20"/>
      <c r="U323" s="20"/>
      <c r="V323" s="20"/>
    </row>
    <row r="324" ht="13.5" customHeight="1" spans="1:22">
      <c r="A324" s="20"/>
      <c r="B324" s="20"/>
      <c r="C324" s="20"/>
      <c r="D324" s="20"/>
      <c r="E324" s="20"/>
      <c r="F324" s="20"/>
      <c r="G324" s="20"/>
      <c r="H324" s="20"/>
      <c r="I324" s="20"/>
      <c r="J324" s="20"/>
      <c r="K324" s="20"/>
      <c r="L324" s="20"/>
      <c r="M324" s="20"/>
      <c r="N324" s="20"/>
      <c r="O324" s="20"/>
      <c r="P324" s="20"/>
      <c r="Q324" s="20"/>
      <c r="R324" s="20"/>
      <c r="S324" s="20"/>
      <c r="T324" s="20"/>
      <c r="U324" s="20"/>
      <c r="V324" s="20"/>
    </row>
    <row r="325" ht="13.5" customHeight="1" spans="1:22">
      <c r="A325" s="20"/>
      <c r="B325" s="20"/>
      <c r="C325" s="20"/>
      <c r="D325" s="20"/>
      <c r="E325" s="20"/>
      <c r="F325" s="20"/>
      <c r="G325" s="20"/>
      <c r="H325" s="20"/>
      <c r="I325" s="20"/>
      <c r="J325" s="20"/>
      <c r="K325" s="20"/>
      <c r="L325" s="20"/>
      <c r="M325" s="20"/>
      <c r="N325" s="20"/>
      <c r="O325" s="20"/>
      <c r="P325" s="20"/>
      <c r="Q325" s="20"/>
      <c r="R325" s="20"/>
      <c r="S325" s="20"/>
      <c r="T325" s="20"/>
      <c r="U325" s="20"/>
      <c r="V325" s="20"/>
    </row>
    <row r="326" ht="13.5" customHeight="1" spans="1:22">
      <c r="A326" s="20"/>
      <c r="B326" s="20"/>
      <c r="C326" s="20"/>
      <c r="D326" s="20"/>
      <c r="E326" s="20"/>
      <c r="F326" s="20"/>
      <c r="G326" s="20"/>
      <c r="H326" s="20"/>
      <c r="I326" s="20"/>
      <c r="J326" s="20"/>
      <c r="K326" s="20"/>
      <c r="L326" s="20"/>
      <c r="M326" s="20"/>
      <c r="N326" s="20"/>
      <c r="O326" s="20"/>
      <c r="P326" s="20"/>
      <c r="Q326" s="20"/>
      <c r="R326" s="20"/>
      <c r="S326" s="20"/>
      <c r="T326" s="20"/>
      <c r="U326" s="20"/>
      <c r="V326" s="20"/>
    </row>
    <row r="327" ht="13.5" customHeight="1" spans="1:22">
      <c r="A327" s="20"/>
      <c r="B327" s="20"/>
      <c r="C327" s="20"/>
      <c r="D327" s="20"/>
      <c r="E327" s="20"/>
      <c r="F327" s="20"/>
      <c r="G327" s="20"/>
      <c r="H327" s="20"/>
      <c r="I327" s="20"/>
      <c r="J327" s="20"/>
      <c r="K327" s="20"/>
      <c r="L327" s="20"/>
      <c r="M327" s="20"/>
      <c r="N327" s="20"/>
      <c r="O327" s="20"/>
      <c r="P327" s="20"/>
      <c r="Q327" s="20"/>
      <c r="R327" s="20"/>
      <c r="S327" s="20"/>
      <c r="T327" s="20"/>
      <c r="U327" s="20"/>
      <c r="V327" s="20"/>
    </row>
    <row r="328" ht="13.5" customHeight="1" spans="1:22">
      <c r="A328" s="20"/>
      <c r="B328" s="20"/>
      <c r="C328" s="20"/>
      <c r="D328" s="20"/>
      <c r="E328" s="20"/>
      <c r="F328" s="20"/>
      <c r="G328" s="20"/>
      <c r="H328" s="20"/>
      <c r="I328" s="20"/>
      <c r="J328" s="20"/>
      <c r="K328" s="20"/>
      <c r="L328" s="20"/>
      <c r="M328" s="20"/>
      <c r="N328" s="20"/>
      <c r="O328" s="20"/>
      <c r="P328" s="20"/>
      <c r="Q328" s="20"/>
      <c r="R328" s="20"/>
      <c r="S328" s="20"/>
      <c r="T328" s="20"/>
      <c r="U328" s="20"/>
      <c r="V328" s="20"/>
    </row>
    <row r="329" ht="13.5" customHeight="1" spans="1:22">
      <c r="A329" s="20"/>
      <c r="B329" s="20"/>
      <c r="C329" s="20"/>
      <c r="D329" s="20"/>
      <c r="E329" s="20"/>
      <c r="F329" s="20"/>
      <c r="G329" s="20"/>
      <c r="H329" s="20"/>
      <c r="I329" s="20"/>
      <c r="J329" s="20"/>
      <c r="K329" s="20"/>
      <c r="L329" s="20"/>
      <c r="M329" s="20"/>
      <c r="N329" s="20"/>
      <c r="O329" s="20"/>
      <c r="P329" s="20"/>
      <c r="Q329" s="20"/>
      <c r="R329" s="20"/>
      <c r="S329" s="20"/>
      <c r="T329" s="20"/>
      <c r="U329" s="20"/>
      <c r="V329" s="20"/>
    </row>
    <row r="330" ht="13.5" customHeight="1" spans="1:22">
      <c r="A330" s="20"/>
      <c r="B330" s="20"/>
      <c r="C330" s="20"/>
      <c r="D330" s="20"/>
      <c r="E330" s="20"/>
      <c r="F330" s="20"/>
      <c r="G330" s="20"/>
      <c r="H330" s="20"/>
      <c r="I330" s="20"/>
      <c r="J330" s="20"/>
      <c r="K330" s="20"/>
      <c r="L330" s="20"/>
      <c r="M330" s="20"/>
      <c r="N330" s="20"/>
      <c r="O330" s="20"/>
      <c r="P330" s="20"/>
      <c r="Q330" s="20"/>
      <c r="R330" s="20"/>
      <c r="S330" s="20"/>
      <c r="T330" s="20"/>
      <c r="U330" s="20"/>
      <c r="V330" s="20"/>
    </row>
    <row r="331" ht="13.5" customHeight="1" spans="1:22">
      <c r="A331" s="20"/>
      <c r="B331" s="20"/>
      <c r="C331" s="20"/>
      <c r="D331" s="20"/>
      <c r="E331" s="20"/>
      <c r="F331" s="20"/>
      <c r="G331" s="20"/>
      <c r="H331" s="20"/>
      <c r="I331" s="20"/>
      <c r="J331" s="20"/>
      <c r="K331" s="20"/>
      <c r="L331" s="20"/>
      <c r="M331" s="20"/>
      <c r="N331" s="20"/>
      <c r="O331" s="20"/>
      <c r="P331" s="20"/>
      <c r="Q331" s="20"/>
      <c r="R331" s="20"/>
      <c r="S331" s="20"/>
      <c r="T331" s="20"/>
      <c r="U331" s="20"/>
      <c r="V331" s="20"/>
    </row>
    <row r="332" ht="13.5" customHeight="1" spans="1:22">
      <c r="A332" s="20"/>
      <c r="B332" s="20"/>
      <c r="C332" s="20"/>
      <c r="D332" s="20"/>
      <c r="E332" s="20"/>
      <c r="F332" s="20"/>
      <c r="G332" s="20"/>
      <c r="H332" s="20"/>
      <c r="I332" s="20"/>
      <c r="J332" s="20"/>
      <c r="K332" s="20"/>
      <c r="L332" s="20"/>
      <c r="M332" s="20"/>
      <c r="N332" s="20"/>
      <c r="O332" s="20"/>
      <c r="P332" s="20"/>
      <c r="Q332" s="20"/>
      <c r="R332" s="20"/>
      <c r="S332" s="20"/>
      <c r="T332" s="20"/>
      <c r="U332" s="20"/>
      <c r="V332" s="20"/>
    </row>
    <row r="333" ht="13.5" customHeight="1" spans="1:22">
      <c r="A333" s="20"/>
      <c r="B333" s="20"/>
      <c r="C333" s="20"/>
      <c r="D333" s="20"/>
      <c r="E333" s="20"/>
      <c r="F333" s="20"/>
      <c r="G333" s="20"/>
      <c r="H333" s="20"/>
      <c r="I333" s="20"/>
      <c r="J333" s="20"/>
      <c r="K333" s="20"/>
      <c r="L333" s="20"/>
      <c r="M333" s="20"/>
      <c r="N333" s="20"/>
      <c r="O333" s="20"/>
      <c r="P333" s="20"/>
      <c r="Q333" s="20"/>
      <c r="R333" s="20"/>
      <c r="S333" s="20"/>
      <c r="T333" s="20"/>
      <c r="U333" s="20"/>
      <c r="V333" s="20"/>
    </row>
    <row r="334" ht="13.5" customHeight="1" spans="1:22">
      <c r="A334" s="20"/>
      <c r="B334" s="20"/>
      <c r="C334" s="20"/>
      <c r="D334" s="20"/>
      <c r="E334" s="20"/>
      <c r="F334" s="20"/>
      <c r="G334" s="20"/>
      <c r="H334" s="20"/>
      <c r="I334" s="20"/>
      <c r="J334" s="20"/>
      <c r="K334" s="20"/>
      <c r="L334" s="20"/>
      <c r="M334" s="20"/>
      <c r="N334" s="20"/>
      <c r="O334" s="20"/>
      <c r="P334" s="20"/>
      <c r="Q334" s="20"/>
      <c r="R334" s="20"/>
      <c r="S334" s="20"/>
      <c r="T334" s="20"/>
      <c r="U334" s="20"/>
      <c r="V334" s="20"/>
    </row>
    <row r="335" ht="13.5" customHeight="1" spans="1:22">
      <c r="A335" s="20"/>
      <c r="B335" s="20"/>
      <c r="C335" s="20"/>
      <c r="D335" s="20"/>
      <c r="E335" s="20"/>
      <c r="F335" s="20"/>
      <c r="G335" s="20"/>
      <c r="H335" s="20"/>
      <c r="I335" s="20"/>
      <c r="J335" s="20"/>
      <c r="K335" s="20"/>
      <c r="L335" s="20"/>
      <c r="M335" s="20"/>
      <c r="N335" s="20"/>
      <c r="O335" s="20"/>
      <c r="P335" s="20"/>
      <c r="Q335" s="20"/>
      <c r="R335" s="20"/>
      <c r="S335" s="20"/>
      <c r="T335" s="20"/>
      <c r="U335" s="20"/>
      <c r="V335" s="20"/>
    </row>
    <row r="336" ht="13.5" customHeight="1" spans="1:22">
      <c r="A336" s="20"/>
      <c r="B336" s="20"/>
      <c r="C336" s="20"/>
      <c r="D336" s="20"/>
      <c r="E336" s="20"/>
      <c r="F336" s="20"/>
      <c r="G336" s="20"/>
      <c r="H336" s="20"/>
      <c r="I336" s="20"/>
      <c r="J336" s="20"/>
      <c r="K336" s="20"/>
      <c r="L336" s="20"/>
      <c r="M336" s="20"/>
      <c r="N336" s="20"/>
      <c r="O336" s="20"/>
      <c r="P336" s="20"/>
      <c r="Q336" s="20"/>
      <c r="R336" s="20"/>
      <c r="S336" s="20"/>
      <c r="T336" s="20"/>
      <c r="U336" s="20"/>
      <c r="V336" s="20"/>
    </row>
    <row r="337" ht="13.5" customHeight="1" spans="1:22">
      <c r="A337" s="20"/>
      <c r="B337" s="20"/>
      <c r="C337" s="20"/>
      <c r="D337" s="20"/>
      <c r="E337" s="20"/>
      <c r="F337" s="20"/>
      <c r="G337" s="20"/>
      <c r="H337" s="20"/>
      <c r="I337" s="20"/>
      <c r="J337" s="20"/>
      <c r="K337" s="20"/>
      <c r="L337" s="20"/>
      <c r="M337" s="20"/>
      <c r="N337" s="20"/>
      <c r="O337" s="20"/>
      <c r="P337" s="20"/>
      <c r="Q337" s="20"/>
      <c r="R337" s="20"/>
      <c r="S337" s="20"/>
      <c r="T337" s="20"/>
      <c r="U337" s="20"/>
      <c r="V337" s="20"/>
    </row>
    <row r="338" ht="13.5" customHeight="1" spans="1:22">
      <c r="A338" s="20"/>
      <c r="B338" s="20"/>
      <c r="C338" s="20"/>
      <c r="D338" s="20"/>
      <c r="E338" s="20"/>
      <c r="F338" s="20"/>
      <c r="G338" s="20"/>
      <c r="H338" s="20"/>
      <c r="I338" s="20"/>
      <c r="J338" s="20"/>
      <c r="K338" s="20"/>
      <c r="L338" s="20"/>
      <c r="M338" s="20"/>
      <c r="N338" s="20"/>
      <c r="O338" s="20"/>
      <c r="P338" s="20"/>
      <c r="Q338" s="20"/>
      <c r="R338" s="20"/>
      <c r="S338" s="20"/>
      <c r="T338" s="20"/>
      <c r="U338" s="20"/>
      <c r="V338" s="20"/>
    </row>
    <row r="339" ht="13.5" customHeight="1" spans="1:22">
      <c r="A339" s="20"/>
      <c r="B339" s="20"/>
      <c r="C339" s="20"/>
      <c r="D339" s="20"/>
      <c r="E339" s="20"/>
      <c r="F339" s="20"/>
      <c r="G339" s="20"/>
      <c r="H339" s="20"/>
      <c r="I339" s="20"/>
      <c r="J339" s="20"/>
      <c r="K339" s="20"/>
      <c r="L339" s="20"/>
      <c r="M339" s="20"/>
      <c r="N339" s="20"/>
      <c r="O339" s="20"/>
      <c r="P339" s="20"/>
      <c r="Q339" s="20"/>
      <c r="R339" s="20"/>
      <c r="S339" s="20"/>
      <c r="T339" s="20"/>
      <c r="U339" s="20"/>
      <c r="V339" s="20"/>
    </row>
    <row r="340" ht="13.5" customHeight="1" spans="1:22">
      <c r="A340" s="20"/>
      <c r="B340" s="20"/>
      <c r="C340" s="20"/>
      <c r="D340" s="20"/>
      <c r="E340" s="20"/>
      <c r="F340" s="20"/>
      <c r="G340" s="20"/>
      <c r="H340" s="20"/>
      <c r="I340" s="20"/>
      <c r="J340" s="20"/>
      <c r="K340" s="20"/>
      <c r="L340" s="20"/>
      <c r="M340" s="20"/>
      <c r="N340" s="20"/>
      <c r="O340" s="20"/>
      <c r="P340" s="20"/>
      <c r="Q340" s="20"/>
      <c r="R340" s="20"/>
      <c r="S340" s="20"/>
      <c r="T340" s="20"/>
      <c r="U340" s="20"/>
      <c r="V340" s="20"/>
    </row>
    <row r="341" ht="13.5" customHeight="1" spans="1:22">
      <c r="A341" s="20"/>
      <c r="B341" s="20"/>
      <c r="C341" s="20"/>
      <c r="D341" s="20"/>
      <c r="E341" s="20"/>
      <c r="F341" s="20"/>
      <c r="G341" s="20"/>
      <c r="H341" s="20"/>
      <c r="I341" s="20"/>
      <c r="J341" s="20"/>
      <c r="K341" s="20"/>
      <c r="L341" s="20"/>
      <c r="M341" s="20"/>
      <c r="N341" s="20"/>
      <c r="O341" s="20"/>
      <c r="P341" s="20"/>
      <c r="Q341" s="20"/>
      <c r="R341" s="20"/>
      <c r="S341" s="20"/>
      <c r="T341" s="20"/>
      <c r="U341" s="20"/>
      <c r="V341" s="20"/>
    </row>
    <row r="342" ht="13.5" customHeight="1" spans="1:22">
      <c r="A342" s="20"/>
      <c r="B342" s="20"/>
      <c r="C342" s="20"/>
      <c r="D342" s="20"/>
      <c r="E342" s="20"/>
      <c r="F342" s="20"/>
      <c r="G342" s="20"/>
      <c r="H342" s="20"/>
      <c r="I342" s="20"/>
      <c r="J342" s="20"/>
      <c r="K342" s="20"/>
      <c r="L342" s="20"/>
      <c r="M342" s="20"/>
      <c r="N342" s="20"/>
      <c r="O342" s="20"/>
      <c r="P342" s="20"/>
      <c r="Q342" s="20"/>
      <c r="R342" s="20"/>
      <c r="S342" s="20"/>
      <c r="T342" s="20"/>
      <c r="U342" s="20"/>
      <c r="V342" s="20"/>
    </row>
    <row r="343" ht="13.5" customHeight="1" spans="1:22">
      <c r="A343" s="20"/>
      <c r="B343" s="20"/>
      <c r="C343" s="20"/>
      <c r="D343" s="20"/>
      <c r="E343" s="20"/>
      <c r="F343" s="20"/>
      <c r="G343" s="20"/>
      <c r="H343" s="20"/>
      <c r="I343" s="20"/>
      <c r="J343" s="20"/>
      <c r="K343" s="20"/>
      <c r="L343" s="20"/>
      <c r="M343" s="20"/>
      <c r="N343" s="20"/>
      <c r="O343" s="20"/>
      <c r="P343" s="20"/>
      <c r="Q343" s="20"/>
      <c r="R343" s="20"/>
      <c r="S343" s="20"/>
      <c r="T343" s="20"/>
      <c r="U343" s="20"/>
      <c r="V343" s="20"/>
    </row>
    <row r="344" ht="13.5" customHeight="1" spans="1:22">
      <c r="A344" s="20"/>
      <c r="B344" s="20"/>
      <c r="C344" s="20"/>
      <c r="D344" s="20"/>
      <c r="E344" s="20"/>
      <c r="F344" s="20"/>
      <c r="G344" s="20"/>
      <c r="H344" s="20"/>
      <c r="I344" s="20"/>
      <c r="J344" s="20"/>
      <c r="K344" s="20"/>
      <c r="L344" s="20"/>
      <c r="M344" s="20"/>
      <c r="N344" s="20"/>
      <c r="O344" s="20"/>
      <c r="P344" s="20"/>
      <c r="Q344" s="20"/>
      <c r="R344" s="20"/>
      <c r="S344" s="20"/>
      <c r="T344" s="20"/>
      <c r="U344" s="20"/>
      <c r="V344" s="20"/>
    </row>
    <row r="345" ht="13.5" customHeight="1" spans="1:22">
      <c r="A345" s="20"/>
      <c r="B345" s="20"/>
      <c r="C345" s="20"/>
      <c r="D345" s="20"/>
      <c r="E345" s="20"/>
      <c r="F345" s="20"/>
      <c r="G345" s="20"/>
      <c r="H345" s="20"/>
      <c r="I345" s="20"/>
      <c r="J345" s="20"/>
      <c r="K345" s="20"/>
      <c r="L345" s="20"/>
      <c r="M345" s="20"/>
      <c r="N345" s="20"/>
      <c r="O345" s="20"/>
      <c r="P345" s="20"/>
      <c r="Q345" s="20"/>
      <c r="R345" s="20"/>
      <c r="S345" s="20"/>
      <c r="T345" s="20"/>
      <c r="U345" s="20"/>
      <c r="V345" s="20"/>
    </row>
    <row r="346" ht="13.5" customHeight="1" spans="1:22">
      <c r="A346" s="20"/>
      <c r="B346" s="20"/>
      <c r="C346" s="20"/>
      <c r="D346" s="20"/>
      <c r="E346" s="20"/>
      <c r="F346" s="20"/>
      <c r="G346" s="20"/>
      <c r="H346" s="20"/>
      <c r="I346" s="20"/>
      <c r="J346" s="20"/>
      <c r="K346" s="20"/>
      <c r="L346" s="20"/>
      <c r="M346" s="20"/>
      <c r="N346" s="20"/>
      <c r="O346" s="20"/>
      <c r="P346" s="20"/>
      <c r="Q346" s="20"/>
      <c r="R346" s="20"/>
      <c r="S346" s="20"/>
      <c r="T346" s="20"/>
      <c r="U346" s="20"/>
      <c r="V346" s="20"/>
    </row>
    <row r="347" ht="13.5" customHeight="1" spans="1:22">
      <c r="A347" s="20"/>
      <c r="B347" s="20"/>
      <c r="C347" s="20"/>
      <c r="D347" s="20"/>
      <c r="E347" s="20"/>
      <c r="F347" s="20"/>
      <c r="G347" s="20"/>
      <c r="H347" s="20"/>
      <c r="I347" s="20"/>
      <c r="J347" s="20"/>
      <c r="K347" s="20"/>
      <c r="L347" s="20"/>
      <c r="M347" s="20"/>
      <c r="N347" s="20"/>
      <c r="O347" s="20"/>
      <c r="P347" s="20"/>
      <c r="Q347" s="20"/>
      <c r="R347" s="20"/>
      <c r="S347" s="20"/>
      <c r="T347" s="20"/>
      <c r="U347" s="20"/>
      <c r="V347" s="20"/>
    </row>
    <row r="348" ht="13.5" customHeight="1" spans="1:22">
      <c r="A348" s="20"/>
      <c r="B348" s="20"/>
      <c r="C348" s="20"/>
      <c r="D348" s="20"/>
      <c r="E348" s="20"/>
      <c r="F348" s="20"/>
      <c r="G348" s="20"/>
      <c r="H348" s="20"/>
      <c r="I348" s="20"/>
      <c r="J348" s="20"/>
      <c r="K348" s="20"/>
      <c r="L348" s="20"/>
      <c r="M348" s="20"/>
      <c r="N348" s="20"/>
      <c r="O348" s="20"/>
      <c r="P348" s="20"/>
      <c r="Q348" s="20"/>
      <c r="R348" s="20"/>
      <c r="S348" s="20"/>
      <c r="T348" s="20"/>
      <c r="U348" s="20"/>
      <c r="V348" s="20"/>
    </row>
    <row r="349" ht="13.5" customHeight="1" spans="1:22">
      <c r="A349" s="20"/>
      <c r="B349" s="20"/>
      <c r="C349" s="20"/>
      <c r="D349" s="20"/>
      <c r="E349" s="20"/>
      <c r="F349" s="20"/>
      <c r="G349" s="20"/>
      <c r="H349" s="20"/>
      <c r="I349" s="20"/>
      <c r="J349" s="20"/>
      <c r="K349" s="20"/>
      <c r="L349" s="20"/>
      <c r="M349" s="20"/>
      <c r="N349" s="20"/>
      <c r="O349" s="20"/>
      <c r="P349" s="20"/>
      <c r="Q349" s="20"/>
      <c r="R349" s="20"/>
      <c r="S349" s="20"/>
      <c r="T349" s="20"/>
      <c r="U349" s="20"/>
      <c r="V349" s="20"/>
    </row>
    <row r="350" ht="13.5" customHeight="1" spans="1:22">
      <c r="A350" s="20"/>
      <c r="B350" s="20"/>
      <c r="C350" s="20"/>
      <c r="D350" s="20"/>
      <c r="E350" s="20"/>
      <c r="F350" s="20"/>
      <c r="G350" s="20"/>
      <c r="H350" s="20"/>
      <c r="I350" s="20"/>
      <c r="J350" s="20"/>
      <c r="K350" s="20"/>
      <c r="L350" s="20"/>
      <c r="M350" s="20"/>
      <c r="N350" s="20"/>
      <c r="O350" s="20"/>
      <c r="P350" s="20"/>
      <c r="Q350" s="20"/>
      <c r="R350" s="20"/>
      <c r="S350" s="20"/>
      <c r="T350" s="20"/>
      <c r="U350" s="20"/>
      <c r="V350" s="20"/>
    </row>
    <row r="351" ht="13.5" customHeight="1" spans="1:22">
      <c r="A351" s="20"/>
      <c r="B351" s="20"/>
      <c r="C351" s="20"/>
      <c r="D351" s="20"/>
      <c r="E351" s="20"/>
      <c r="F351" s="20"/>
      <c r="G351" s="20"/>
      <c r="H351" s="20"/>
      <c r="I351" s="20"/>
      <c r="J351" s="20"/>
      <c r="K351" s="20"/>
      <c r="L351" s="20"/>
      <c r="M351" s="20"/>
      <c r="N351" s="20"/>
      <c r="O351" s="20"/>
      <c r="P351" s="20"/>
      <c r="Q351" s="20"/>
      <c r="R351" s="20"/>
      <c r="S351" s="20"/>
      <c r="T351" s="20"/>
      <c r="U351" s="20"/>
      <c r="V351" s="20"/>
    </row>
    <row r="352" ht="13.5" customHeight="1" spans="1:22">
      <c r="A352" s="20"/>
      <c r="B352" s="20"/>
      <c r="C352" s="20"/>
      <c r="D352" s="20"/>
      <c r="E352" s="20"/>
      <c r="F352" s="20"/>
      <c r="G352" s="20"/>
      <c r="H352" s="20"/>
      <c r="I352" s="20"/>
      <c r="J352" s="20"/>
      <c r="K352" s="20"/>
      <c r="L352" s="20"/>
      <c r="M352" s="20"/>
      <c r="N352" s="20"/>
      <c r="O352" s="20"/>
      <c r="P352" s="20"/>
      <c r="Q352" s="20"/>
      <c r="R352" s="20"/>
      <c r="S352" s="20"/>
      <c r="T352" s="20"/>
      <c r="U352" s="20"/>
      <c r="V352" s="20"/>
    </row>
    <row r="353" ht="13.5" customHeight="1" spans="1:22">
      <c r="A353" s="20"/>
      <c r="B353" s="20"/>
      <c r="C353" s="20"/>
      <c r="D353" s="20"/>
      <c r="E353" s="20"/>
      <c r="F353" s="20"/>
      <c r="G353" s="20"/>
      <c r="H353" s="20"/>
      <c r="I353" s="20"/>
      <c r="J353" s="20"/>
      <c r="K353" s="20"/>
      <c r="L353" s="20"/>
      <c r="M353" s="20"/>
      <c r="N353" s="20"/>
      <c r="O353" s="20"/>
      <c r="P353" s="20"/>
      <c r="Q353" s="20"/>
      <c r="R353" s="20"/>
      <c r="S353" s="20"/>
      <c r="T353" s="20"/>
      <c r="U353" s="20"/>
      <c r="V353" s="20"/>
    </row>
    <row r="354" ht="13.5" customHeight="1" spans="1:22">
      <c r="A354" s="20"/>
      <c r="B354" s="20"/>
      <c r="C354" s="20"/>
      <c r="D354" s="20"/>
      <c r="E354" s="20"/>
      <c r="F354" s="20"/>
      <c r="G354" s="20"/>
      <c r="H354" s="20"/>
      <c r="I354" s="20"/>
      <c r="J354" s="20"/>
      <c r="K354" s="20"/>
      <c r="L354" s="20"/>
      <c r="M354" s="20"/>
      <c r="N354" s="20"/>
      <c r="O354" s="20"/>
      <c r="P354" s="20"/>
      <c r="Q354" s="20"/>
      <c r="R354" s="20"/>
      <c r="S354" s="20"/>
      <c r="T354" s="20"/>
      <c r="U354" s="20"/>
      <c r="V354" s="20"/>
    </row>
    <row r="355" ht="13.5" customHeight="1" spans="1:22">
      <c r="A355" s="20"/>
      <c r="B355" s="20"/>
      <c r="C355" s="20"/>
      <c r="D355" s="20"/>
      <c r="E355" s="20"/>
      <c r="F355" s="20"/>
      <c r="G355" s="20"/>
      <c r="H355" s="20"/>
      <c r="I355" s="20"/>
      <c r="J355" s="20"/>
      <c r="K355" s="20"/>
      <c r="L355" s="20"/>
      <c r="M355" s="20"/>
      <c r="N355" s="20"/>
      <c r="O355" s="20"/>
      <c r="P355" s="20"/>
      <c r="Q355" s="20"/>
      <c r="R355" s="20"/>
      <c r="S355" s="20"/>
      <c r="T355" s="20"/>
      <c r="U355" s="20"/>
      <c r="V355" s="20"/>
    </row>
    <row r="356" ht="13.5" customHeight="1" spans="1:22">
      <c r="A356" s="20"/>
      <c r="B356" s="20"/>
      <c r="C356" s="20"/>
      <c r="D356" s="20"/>
      <c r="E356" s="20"/>
      <c r="F356" s="20"/>
      <c r="G356" s="20"/>
      <c r="H356" s="20"/>
      <c r="I356" s="20"/>
      <c r="J356" s="20"/>
      <c r="K356" s="20"/>
      <c r="L356" s="20"/>
      <c r="M356" s="20"/>
      <c r="N356" s="20"/>
      <c r="O356" s="20"/>
      <c r="P356" s="20"/>
      <c r="Q356" s="20"/>
      <c r="R356" s="20"/>
      <c r="S356" s="20"/>
      <c r="T356" s="20"/>
      <c r="U356" s="20"/>
      <c r="V356" s="20"/>
    </row>
    <row r="357" ht="13.5" customHeight="1" spans="1:22">
      <c r="A357" s="20"/>
      <c r="B357" s="20"/>
      <c r="C357" s="20"/>
      <c r="D357" s="20"/>
      <c r="E357" s="20"/>
      <c r="F357" s="20"/>
      <c r="G357" s="20"/>
      <c r="H357" s="20"/>
      <c r="I357" s="20"/>
      <c r="J357" s="20"/>
      <c r="K357" s="20"/>
      <c r="L357" s="20"/>
      <c r="M357" s="20"/>
      <c r="N357" s="20"/>
      <c r="O357" s="20"/>
      <c r="P357" s="20"/>
      <c r="Q357" s="20"/>
      <c r="R357" s="20"/>
      <c r="S357" s="20"/>
      <c r="T357" s="20"/>
      <c r="U357" s="20"/>
      <c r="V357" s="20"/>
    </row>
    <row r="358" ht="13.5" customHeight="1" spans="1:22">
      <c r="A358" s="20"/>
      <c r="B358" s="20"/>
      <c r="C358" s="20"/>
      <c r="D358" s="20"/>
      <c r="E358" s="20"/>
      <c r="F358" s="20"/>
      <c r="G358" s="20"/>
      <c r="H358" s="20"/>
      <c r="I358" s="20"/>
      <c r="J358" s="20"/>
      <c r="K358" s="20"/>
      <c r="L358" s="20"/>
      <c r="M358" s="20"/>
      <c r="N358" s="20"/>
      <c r="O358" s="20"/>
      <c r="P358" s="20"/>
      <c r="Q358" s="20"/>
      <c r="R358" s="20"/>
      <c r="S358" s="20"/>
      <c r="T358" s="20"/>
      <c r="U358" s="20"/>
      <c r="V358" s="20"/>
    </row>
    <row r="359" ht="13.5" customHeight="1" spans="1:22">
      <c r="A359" s="20"/>
      <c r="B359" s="20"/>
      <c r="C359" s="20"/>
      <c r="D359" s="20"/>
      <c r="E359" s="20"/>
      <c r="F359" s="20"/>
      <c r="G359" s="20"/>
      <c r="H359" s="20"/>
      <c r="I359" s="20"/>
      <c r="J359" s="20"/>
      <c r="K359" s="20"/>
      <c r="L359" s="20"/>
      <c r="M359" s="20"/>
      <c r="N359" s="20"/>
      <c r="O359" s="20"/>
      <c r="P359" s="20"/>
      <c r="Q359" s="20"/>
      <c r="R359" s="20"/>
      <c r="S359" s="20"/>
      <c r="T359" s="20"/>
      <c r="U359" s="20"/>
      <c r="V359" s="20"/>
    </row>
    <row r="360" ht="13.5" customHeight="1" spans="1:22">
      <c r="A360" s="20"/>
      <c r="B360" s="20"/>
      <c r="C360" s="20"/>
      <c r="D360" s="20"/>
      <c r="E360" s="20"/>
      <c r="F360" s="20"/>
      <c r="G360" s="20"/>
      <c r="H360" s="20"/>
      <c r="I360" s="20"/>
      <c r="J360" s="20"/>
      <c r="K360" s="20"/>
      <c r="L360" s="20"/>
      <c r="M360" s="20"/>
      <c r="N360" s="20"/>
      <c r="O360" s="20"/>
      <c r="P360" s="20"/>
      <c r="Q360" s="20"/>
      <c r="R360" s="20"/>
      <c r="S360" s="20"/>
      <c r="T360" s="20"/>
      <c r="U360" s="20"/>
      <c r="V360" s="20"/>
    </row>
    <row r="361" ht="13.5" customHeight="1" spans="1:22">
      <c r="A361" s="20"/>
      <c r="B361" s="20"/>
      <c r="C361" s="20"/>
      <c r="D361" s="20"/>
      <c r="E361" s="20"/>
      <c r="F361" s="20"/>
      <c r="G361" s="20"/>
      <c r="H361" s="20"/>
      <c r="I361" s="20"/>
      <c r="J361" s="20"/>
      <c r="K361" s="20"/>
      <c r="L361" s="20"/>
      <c r="M361" s="20"/>
      <c r="N361" s="20"/>
      <c r="O361" s="20"/>
      <c r="P361" s="20"/>
      <c r="Q361" s="20"/>
      <c r="R361" s="20"/>
      <c r="S361" s="20"/>
      <c r="T361" s="20"/>
      <c r="U361" s="20"/>
      <c r="V361" s="20"/>
    </row>
    <row r="362" ht="13.5" customHeight="1" spans="1:22">
      <c r="A362" s="20"/>
      <c r="B362" s="20"/>
      <c r="C362" s="20"/>
      <c r="D362" s="20"/>
      <c r="E362" s="20"/>
      <c r="F362" s="20"/>
      <c r="G362" s="20"/>
      <c r="H362" s="20"/>
      <c r="I362" s="20"/>
      <c r="J362" s="20"/>
      <c r="K362" s="20"/>
      <c r="L362" s="20"/>
      <c r="M362" s="20"/>
      <c r="N362" s="20"/>
      <c r="O362" s="20"/>
      <c r="P362" s="20"/>
      <c r="Q362" s="20"/>
      <c r="R362" s="20"/>
      <c r="S362" s="20"/>
      <c r="T362" s="20"/>
      <c r="U362" s="20"/>
      <c r="V362" s="20"/>
    </row>
    <row r="363" ht="13.5" customHeight="1" spans="1:22">
      <c r="A363" s="20"/>
      <c r="B363" s="20"/>
      <c r="C363" s="20"/>
      <c r="D363" s="20"/>
      <c r="E363" s="20"/>
      <c r="F363" s="20"/>
      <c r="G363" s="20"/>
      <c r="H363" s="20"/>
      <c r="I363" s="20"/>
      <c r="J363" s="20"/>
      <c r="K363" s="20"/>
      <c r="L363" s="20"/>
      <c r="M363" s="20"/>
      <c r="N363" s="20"/>
      <c r="O363" s="20"/>
      <c r="P363" s="20"/>
      <c r="Q363" s="20"/>
      <c r="R363" s="20"/>
      <c r="S363" s="20"/>
      <c r="T363" s="20"/>
      <c r="U363" s="20"/>
      <c r="V363" s="20"/>
    </row>
    <row r="364" ht="13.5" customHeight="1" spans="1:22">
      <c r="A364" s="20"/>
      <c r="B364" s="20"/>
      <c r="C364" s="20"/>
      <c r="D364" s="20"/>
      <c r="E364" s="20"/>
      <c r="F364" s="20"/>
      <c r="G364" s="20"/>
      <c r="H364" s="20"/>
      <c r="I364" s="20"/>
      <c r="J364" s="20"/>
      <c r="K364" s="20"/>
      <c r="L364" s="20"/>
      <c r="M364" s="20"/>
      <c r="N364" s="20"/>
      <c r="O364" s="20"/>
      <c r="P364" s="20"/>
      <c r="Q364" s="20"/>
      <c r="R364" s="20"/>
      <c r="S364" s="20"/>
      <c r="T364" s="20"/>
      <c r="U364" s="20"/>
      <c r="V364" s="20"/>
    </row>
    <row r="365" ht="13.5" customHeight="1" spans="1:22">
      <c r="A365" s="20"/>
      <c r="B365" s="20"/>
      <c r="C365" s="20"/>
      <c r="D365" s="20"/>
      <c r="E365" s="20"/>
      <c r="F365" s="20"/>
      <c r="G365" s="20"/>
      <c r="H365" s="20"/>
      <c r="I365" s="20"/>
      <c r="J365" s="20"/>
      <c r="K365" s="20"/>
      <c r="L365" s="20"/>
      <c r="M365" s="20"/>
      <c r="N365" s="20"/>
      <c r="O365" s="20"/>
      <c r="P365" s="20"/>
      <c r="Q365" s="20"/>
      <c r="R365" s="20"/>
      <c r="S365" s="20"/>
      <c r="T365" s="20"/>
      <c r="U365" s="20"/>
      <c r="V365" s="20"/>
    </row>
    <row r="366" ht="13.5" customHeight="1" spans="1:22">
      <c r="A366" s="20"/>
      <c r="B366" s="20"/>
      <c r="C366" s="20"/>
      <c r="D366" s="20"/>
      <c r="E366" s="20"/>
      <c r="F366" s="20"/>
      <c r="G366" s="20"/>
      <c r="H366" s="20"/>
      <c r="I366" s="20"/>
      <c r="J366" s="20"/>
      <c r="K366" s="20"/>
      <c r="L366" s="20"/>
      <c r="M366" s="20"/>
      <c r="N366" s="20"/>
      <c r="O366" s="20"/>
      <c r="P366" s="20"/>
      <c r="Q366" s="20"/>
      <c r="R366" s="20"/>
      <c r="S366" s="20"/>
      <c r="T366" s="20"/>
      <c r="U366" s="20"/>
      <c r="V366" s="20"/>
    </row>
    <row r="367" ht="13.5" customHeight="1" spans="1:22">
      <c r="A367" s="20"/>
      <c r="B367" s="20"/>
      <c r="C367" s="20"/>
      <c r="D367" s="20"/>
      <c r="E367" s="20"/>
      <c r="F367" s="20"/>
      <c r="G367" s="20"/>
      <c r="H367" s="20"/>
      <c r="I367" s="20"/>
      <c r="J367" s="20"/>
      <c r="K367" s="20"/>
      <c r="L367" s="20"/>
      <c r="M367" s="20"/>
      <c r="N367" s="20"/>
      <c r="O367" s="20"/>
      <c r="P367" s="20"/>
      <c r="Q367" s="20"/>
      <c r="R367" s="20"/>
      <c r="S367" s="20"/>
      <c r="T367" s="20"/>
      <c r="U367" s="20"/>
      <c r="V367" s="20"/>
    </row>
    <row r="368" ht="13.5" customHeight="1" spans="1:22">
      <c r="A368" s="20"/>
      <c r="B368" s="20"/>
      <c r="C368" s="20"/>
      <c r="D368" s="20"/>
      <c r="E368" s="20"/>
      <c r="F368" s="20"/>
      <c r="G368" s="20"/>
      <c r="H368" s="20"/>
      <c r="I368" s="20"/>
      <c r="J368" s="20"/>
      <c r="K368" s="20"/>
      <c r="L368" s="20"/>
      <c r="M368" s="20"/>
      <c r="N368" s="20"/>
      <c r="O368" s="20"/>
      <c r="P368" s="20"/>
      <c r="Q368" s="20"/>
      <c r="R368" s="20"/>
      <c r="S368" s="20"/>
      <c r="T368" s="20"/>
      <c r="U368" s="20"/>
      <c r="V368" s="20"/>
    </row>
    <row r="369" ht="13.5" customHeight="1" spans="1:22">
      <c r="A369" s="20"/>
      <c r="B369" s="20"/>
      <c r="C369" s="20"/>
      <c r="D369" s="20"/>
      <c r="E369" s="20"/>
      <c r="F369" s="20"/>
      <c r="G369" s="20"/>
      <c r="H369" s="20"/>
      <c r="I369" s="20"/>
      <c r="J369" s="20"/>
      <c r="K369" s="20"/>
      <c r="L369" s="20"/>
      <c r="M369" s="20"/>
      <c r="N369" s="20"/>
      <c r="O369" s="20"/>
      <c r="P369" s="20"/>
      <c r="Q369" s="20"/>
      <c r="R369" s="20"/>
      <c r="S369" s="20"/>
      <c r="T369" s="20"/>
      <c r="U369" s="20"/>
      <c r="V369" s="20"/>
    </row>
    <row r="370" ht="13.5" customHeight="1" spans="1:22">
      <c r="A370" s="20"/>
      <c r="B370" s="20"/>
      <c r="C370" s="20"/>
      <c r="D370" s="20"/>
      <c r="E370" s="20"/>
      <c r="F370" s="20"/>
      <c r="G370" s="20"/>
      <c r="H370" s="20"/>
      <c r="I370" s="20"/>
      <c r="J370" s="20"/>
      <c r="K370" s="20"/>
      <c r="L370" s="20"/>
      <c r="M370" s="20"/>
      <c r="N370" s="20"/>
      <c r="O370" s="20"/>
      <c r="P370" s="20"/>
      <c r="Q370" s="20"/>
      <c r="R370" s="20"/>
      <c r="S370" s="20"/>
      <c r="T370" s="20"/>
      <c r="U370" s="20"/>
      <c r="V370" s="20"/>
    </row>
    <row r="371" ht="13.5" customHeight="1" spans="1:22">
      <c r="A371" s="20"/>
      <c r="B371" s="20"/>
      <c r="C371" s="20"/>
      <c r="D371" s="20"/>
      <c r="E371" s="20"/>
      <c r="F371" s="20"/>
      <c r="G371" s="20"/>
      <c r="H371" s="20"/>
      <c r="I371" s="20"/>
      <c r="J371" s="20"/>
      <c r="K371" s="20"/>
      <c r="L371" s="20"/>
      <c r="M371" s="20"/>
      <c r="N371" s="20"/>
      <c r="O371" s="20"/>
      <c r="P371" s="20"/>
      <c r="Q371" s="20"/>
      <c r="R371" s="20"/>
      <c r="S371" s="20"/>
      <c r="T371" s="20"/>
      <c r="U371" s="20"/>
      <c r="V371" s="20"/>
    </row>
    <row r="372" ht="13.5" customHeight="1" spans="1:22">
      <c r="A372" s="20"/>
      <c r="B372" s="20"/>
      <c r="C372" s="20"/>
      <c r="D372" s="20"/>
      <c r="E372" s="20"/>
      <c r="F372" s="20"/>
      <c r="G372" s="20"/>
      <c r="H372" s="20"/>
      <c r="I372" s="20"/>
      <c r="J372" s="20"/>
      <c r="K372" s="20"/>
      <c r="L372" s="20"/>
      <c r="M372" s="20"/>
      <c r="N372" s="20"/>
      <c r="O372" s="20"/>
      <c r="P372" s="20"/>
      <c r="Q372" s="20"/>
      <c r="R372" s="20"/>
      <c r="S372" s="20"/>
      <c r="T372" s="20"/>
      <c r="U372" s="20"/>
      <c r="V372" s="20"/>
    </row>
    <row r="373" ht="13.5" customHeight="1" spans="1:22">
      <c r="A373" s="20"/>
      <c r="B373" s="20"/>
      <c r="C373" s="20"/>
      <c r="D373" s="20"/>
      <c r="E373" s="20"/>
      <c r="F373" s="20"/>
      <c r="G373" s="20"/>
      <c r="H373" s="20"/>
      <c r="I373" s="20"/>
      <c r="J373" s="20"/>
      <c r="K373" s="20"/>
      <c r="L373" s="20"/>
      <c r="M373" s="20"/>
      <c r="N373" s="20"/>
      <c r="O373" s="20"/>
      <c r="P373" s="20"/>
      <c r="Q373" s="20"/>
      <c r="R373" s="20"/>
      <c r="S373" s="20"/>
      <c r="T373" s="20"/>
      <c r="U373" s="20"/>
      <c r="V373" s="20"/>
    </row>
    <row r="374" ht="13.5" customHeight="1" spans="1:22">
      <c r="A374" s="20"/>
      <c r="B374" s="20"/>
      <c r="C374" s="20"/>
      <c r="D374" s="20"/>
      <c r="E374" s="20"/>
      <c r="F374" s="20"/>
      <c r="G374" s="20"/>
      <c r="H374" s="20"/>
      <c r="I374" s="20"/>
      <c r="J374" s="20"/>
      <c r="K374" s="20"/>
      <c r="L374" s="20"/>
      <c r="M374" s="20"/>
      <c r="N374" s="20"/>
      <c r="O374" s="20"/>
      <c r="P374" s="20"/>
      <c r="Q374" s="20"/>
      <c r="R374" s="20"/>
      <c r="S374" s="20"/>
      <c r="T374" s="20"/>
      <c r="U374" s="20"/>
      <c r="V374" s="20"/>
    </row>
    <row r="375" ht="13.5" customHeight="1" spans="1:22">
      <c r="A375" s="20"/>
      <c r="B375" s="20"/>
      <c r="C375" s="20"/>
      <c r="D375" s="20"/>
      <c r="E375" s="20"/>
      <c r="F375" s="20"/>
      <c r="G375" s="20"/>
      <c r="H375" s="20"/>
      <c r="I375" s="20"/>
      <c r="J375" s="20"/>
      <c r="K375" s="20"/>
      <c r="L375" s="20"/>
      <c r="M375" s="20"/>
      <c r="N375" s="20"/>
      <c r="O375" s="20"/>
      <c r="P375" s="20"/>
      <c r="Q375" s="20"/>
      <c r="R375" s="20"/>
      <c r="S375" s="20"/>
      <c r="T375" s="20"/>
      <c r="U375" s="20"/>
      <c r="V375" s="20"/>
    </row>
    <row r="376" ht="13.5" customHeight="1" spans="1:22">
      <c r="A376" s="20"/>
      <c r="B376" s="20"/>
      <c r="C376" s="20"/>
      <c r="D376" s="20"/>
      <c r="E376" s="20"/>
      <c r="F376" s="20"/>
      <c r="G376" s="20"/>
      <c r="H376" s="20"/>
      <c r="I376" s="20"/>
      <c r="J376" s="20"/>
      <c r="K376" s="20"/>
      <c r="L376" s="20"/>
      <c r="M376" s="20"/>
      <c r="N376" s="20"/>
      <c r="O376" s="20"/>
      <c r="P376" s="20"/>
      <c r="Q376" s="20"/>
      <c r="R376" s="20"/>
      <c r="S376" s="20"/>
      <c r="T376" s="20"/>
      <c r="U376" s="20"/>
      <c r="V376" s="20"/>
    </row>
    <row r="377" ht="13.5" customHeight="1" spans="1:22">
      <c r="A377" s="20"/>
      <c r="B377" s="20"/>
      <c r="C377" s="20"/>
      <c r="D377" s="20"/>
      <c r="E377" s="20"/>
      <c r="F377" s="20"/>
      <c r="G377" s="20"/>
      <c r="H377" s="20"/>
      <c r="I377" s="20"/>
      <c r="J377" s="20"/>
      <c r="K377" s="20"/>
      <c r="L377" s="20"/>
      <c r="M377" s="20"/>
      <c r="N377" s="20"/>
      <c r="O377" s="20"/>
      <c r="P377" s="20"/>
      <c r="Q377" s="20"/>
      <c r="R377" s="20"/>
      <c r="S377" s="20"/>
      <c r="T377" s="20"/>
      <c r="U377" s="20"/>
      <c r="V377" s="20"/>
    </row>
    <row r="378" ht="13.5" customHeight="1" spans="1:22">
      <c r="A378" s="20"/>
      <c r="B378" s="20"/>
      <c r="C378" s="20"/>
      <c r="D378" s="20"/>
      <c r="E378" s="20"/>
      <c r="F378" s="20"/>
      <c r="G378" s="20"/>
      <c r="H378" s="20"/>
      <c r="I378" s="20"/>
      <c r="J378" s="20"/>
      <c r="K378" s="20"/>
      <c r="L378" s="20"/>
      <c r="M378" s="20"/>
      <c r="N378" s="20"/>
      <c r="O378" s="20"/>
      <c r="P378" s="20"/>
      <c r="Q378" s="20"/>
      <c r="R378" s="20"/>
      <c r="S378" s="20"/>
      <c r="T378" s="20"/>
      <c r="U378" s="20"/>
      <c r="V378" s="20"/>
    </row>
    <row r="379" ht="13.5" customHeight="1" spans="1:22">
      <c r="A379" s="20"/>
      <c r="B379" s="20"/>
      <c r="C379" s="20"/>
      <c r="D379" s="20"/>
      <c r="E379" s="20"/>
      <c r="F379" s="20"/>
      <c r="G379" s="20"/>
      <c r="H379" s="20"/>
      <c r="I379" s="20"/>
      <c r="J379" s="20"/>
      <c r="K379" s="20"/>
      <c r="L379" s="20"/>
      <c r="M379" s="20"/>
      <c r="N379" s="20"/>
      <c r="O379" s="20"/>
      <c r="P379" s="20"/>
      <c r="Q379" s="20"/>
      <c r="R379" s="20"/>
      <c r="S379" s="20"/>
      <c r="T379" s="20"/>
      <c r="U379" s="20"/>
      <c r="V379" s="20"/>
    </row>
    <row r="380" ht="13.5" customHeight="1" spans="1:22">
      <c r="A380" s="20"/>
      <c r="B380" s="20"/>
      <c r="C380" s="20"/>
      <c r="D380" s="20"/>
      <c r="E380" s="20"/>
      <c r="F380" s="20"/>
      <c r="G380" s="20"/>
      <c r="H380" s="20"/>
      <c r="I380" s="20"/>
      <c r="J380" s="20"/>
      <c r="K380" s="20"/>
      <c r="L380" s="20"/>
      <c r="M380" s="20"/>
      <c r="N380" s="20"/>
      <c r="O380" s="20"/>
      <c r="P380" s="20"/>
      <c r="Q380" s="20"/>
      <c r="R380" s="20"/>
      <c r="S380" s="20"/>
      <c r="T380" s="20"/>
      <c r="U380" s="20"/>
      <c r="V380" s="20"/>
    </row>
    <row r="381" ht="13.5" customHeight="1" spans="1:22">
      <c r="A381" s="20"/>
      <c r="B381" s="20"/>
      <c r="C381" s="20"/>
      <c r="D381" s="20"/>
      <c r="E381" s="20"/>
      <c r="F381" s="20"/>
      <c r="G381" s="20"/>
      <c r="H381" s="20"/>
      <c r="I381" s="20"/>
      <c r="J381" s="20"/>
      <c r="K381" s="20"/>
      <c r="L381" s="20"/>
      <c r="M381" s="20"/>
      <c r="N381" s="20"/>
      <c r="O381" s="20"/>
      <c r="P381" s="20"/>
      <c r="Q381" s="20"/>
      <c r="R381" s="20"/>
      <c r="S381" s="20"/>
      <c r="T381" s="20"/>
      <c r="U381" s="20"/>
      <c r="V381" s="20"/>
    </row>
    <row r="382" ht="13.5" customHeight="1" spans="1:22">
      <c r="A382" s="20"/>
      <c r="B382" s="20"/>
      <c r="C382" s="20"/>
      <c r="D382" s="20"/>
      <c r="E382" s="20"/>
      <c r="F382" s="20"/>
      <c r="G382" s="20"/>
      <c r="H382" s="20"/>
      <c r="I382" s="20"/>
      <c r="J382" s="20"/>
      <c r="K382" s="20"/>
      <c r="L382" s="20"/>
      <c r="M382" s="20"/>
      <c r="N382" s="20"/>
      <c r="O382" s="20"/>
      <c r="P382" s="20"/>
      <c r="Q382" s="20"/>
      <c r="R382" s="20"/>
      <c r="S382" s="20"/>
      <c r="T382" s="20"/>
      <c r="U382" s="20"/>
      <c r="V382" s="20"/>
    </row>
    <row r="383" ht="13.5" customHeight="1" spans="1:22">
      <c r="A383" s="20"/>
      <c r="B383" s="20"/>
      <c r="C383" s="20"/>
      <c r="D383" s="20"/>
      <c r="E383" s="20"/>
      <c r="F383" s="20"/>
      <c r="G383" s="20"/>
      <c r="H383" s="20"/>
      <c r="I383" s="20"/>
      <c r="J383" s="20"/>
      <c r="K383" s="20"/>
      <c r="L383" s="20"/>
      <c r="M383" s="20"/>
      <c r="N383" s="20"/>
      <c r="O383" s="20"/>
      <c r="P383" s="20"/>
      <c r="Q383" s="20"/>
      <c r="R383" s="20"/>
      <c r="S383" s="20"/>
      <c r="T383" s="20"/>
      <c r="U383" s="20"/>
      <c r="V383" s="20"/>
    </row>
    <row r="384" ht="13.5" customHeight="1" spans="1:22">
      <c r="A384" s="20"/>
      <c r="B384" s="20"/>
      <c r="C384" s="20"/>
      <c r="D384" s="20"/>
      <c r="E384" s="20"/>
      <c r="F384" s="20"/>
      <c r="G384" s="20"/>
      <c r="H384" s="20"/>
      <c r="I384" s="20"/>
      <c r="J384" s="20"/>
      <c r="K384" s="20"/>
      <c r="L384" s="20"/>
      <c r="M384" s="20"/>
      <c r="N384" s="20"/>
      <c r="O384" s="20"/>
      <c r="P384" s="20"/>
      <c r="Q384" s="20"/>
      <c r="R384" s="20"/>
      <c r="S384" s="20"/>
      <c r="T384" s="20"/>
      <c r="U384" s="20"/>
      <c r="V384" s="20"/>
    </row>
    <row r="385" ht="13.5" customHeight="1" spans="1:22">
      <c r="A385" s="20"/>
      <c r="B385" s="20"/>
      <c r="C385" s="20"/>
      <c r="D385" s="20"/>
      <c r="E385" s="20"/>
      <c r="F385" s="20"/>
      <c r="G385" s="20"/>
      <c r="H385" s="20"/>
      <c r="I385" s="20"/>
      <c r="J385" s="20"/>
      <c r="K385" s="20"/>
      <c r="L385" s="20"/>
      <c r="M385" s="20"/>
      <c r="N385" s="20"/>
      <c r="O385" s="20"/>
      <c r="P385" s="20"/>
      <c r="Q385" s="20"/>
      <c r="R385" s="20"/>
      <c r="S385" s="20"/>
      <c r="T385" s="20"/>
      <c r="U385" s="20"/>
      <c r="V385" s="20"/>
    </row>
    <row r="386" ht="13.5" customHeight="1" spans="1:22">
      <c r="A386" s="20"/>
      <c r="B386" s="20"/>
      <c r="C386" s="20"/>
      <c r="D386" s="20"/>
      <c r="E386" s="20"/>
      <c r="F386" s="20"/>
      <c r="G386" s="20"/>
      <c r="H386" s="20"/>
      <c r="I386" s="20"/>
      <c r="J386" s="20"/>
      <c r="K386" s="20"/>
      <c r="L386" s="20"/>
      <c r="M386" s="20"/>
      <c r="N386" s="20"/>
      <c r="O386" s="20"/>
      <c r="P386" s="20"/>
      <c r="Q386" s="20"/>
      <c r="R386" s="20"/>
      <c r="S386" s="20"/>
      <c r="T386" s="20"/>
      <c r="U386" s="20"/>
      <c r="V386" s="20"/>
    </row>
    <row r="387" ht="13.5" customHeight="1" spans="1:22">
      <c r="A387" s="20"/>
      <c r="B387" s="20"/>
      <c r="C387" s="20"/>
      <c r="D387" s="20"/>
      <c r="E387" s="20"/>
      <c r="F387" s="20"/>
      <c r="G387" s="20"/>
      <c r="H387" s="20"/>
      <c r="I387" s="20"/>
      <c r="J387" s="20"/>
      <c r="K387" s="20"/>
      <c r="L387" s="20"/>
      <c r="M387" s="20"/>
      <c r="N387" s="20"/>
      <c r="O387" s="20"/>
      <c r="P387" s="20"/>
      <c r="Q387" s="20"/>
      <c r="R387" s="20"/>
      <c r="S387" s="20"/>
      <c r="T387" s="20"/>
      <c r="U387" s="20"/>
      <c r="V387" s="20"/>
    </row>
    <row r="388" ht="13.5" customHeight="1" spans="1:22">
      <c r="A388" s="20"/>
      <c r="B388" s="20"/>
      <c r="C388" s="20"/>
      <c r="D388" s="20"/>
      <c r="E388" s="20"/>
      <c r="F388" s="20"/>
      <c r="G388" s="20"/>
      <c r="H388" s="20"/>
      <c r="I388" s="20"/>
      <c r="J388" s="20"/>
      <c r="K388" s="20"/>
      <c r="L388" s="20"/>
      <c r="M388" s="20"/>
      <c r="N388" s="20"/>
      <c r="O388" s="20"/>
      <c r="P388" s="20"/>
      <c r="Q388" s="20"/>
      <c r="R388" s="20"/>
      <c r="S388" s="20"/>
      <c r="T388" s="20"/>
      <c r="U388" s="20"/>
      <c r="V388" s="20"/>
    </row>
    <row r="389" ht="13.5" customHeight="1" spans="1:22">
      <c r="A389" s="20"/>
      <c r="B389" s="20"/>
      <c r="C389" s="20"/>
      <c r="D389" s="20"/>
      <c r="E389" s="20"/>
      <c r="F389" s="20"/>
      <c r="G389" s="20"/>
      <c r="H389" s="20"/>
      <c r="I389" s="20"/>
      <c r="J389" s="20"/>
      <c r="K389" s="20"/>
      <c r="L389" s="20"/>
      <c r="M389" s="20"/>
      <c r="N389" s="20"/>
      <c r="O389" s="20"/>
      <c r="P389" s="20"/>
      <c r="Q389" s="20"/>
      <c r="R389" s="20"/>
      <c r="S389" s="20"/>
      <c r="T389" s="20"/>
      <c r="U389" s="20"/>
      <c r="V389" s="20"/>
    </row>
    <row r="390" ht="13.5" customHeight="1" spans="1:22">
      <c r="A390" s="20"/>
      <c r="B390" s="20"/>
      <c r="C390" s="20"/>
      <c r="D390" s="20"/>
      <c r="E390" s="20"/>
      <c r="F390" s="20"/>
      <c r="G390" s="20"/>
      <c r="H390" s="20"/>
      <c r="I390" s="20"/>
      <c r="J390" s="20"/>
      <c r="K390" s="20"/>
      <c r="L390" s="20"/>
      <c r="M390" s="20"/>
      <c r="N390" s="20"/>
      <c r="O390" s="20"/>
      <c r="P390" s="20"/>
      <c r="Q390" s="20"/>
      <c r="R390" s="20"/>
      <c r="S390" s="20"/>
      <c r="T390" s="20"/>
      <c r="U390" s="20"/>
      <c r="V390" s="20"/>
    </row>
    <row r="391" ht="13.5" customHeight="1" spans="1:22">
      <c r="A391" s="20"/>
      <c r="B391" s="20"/>
      <c r="C391" s="20"/>
      <c r="D391" s="20"/>
      <c r="E391" s="20"/>
      <c r="F391" s="20"/>
      <c r="G391" s="20"/>
      <c r="H391" s="20"/>
      <c r="I391" s="20"/>
      <c r="J391" s="20"/>
      <c r="K391" s="20"/>
      <c r="L391" s="20"/>
      <c r="M391" s="20"/>
      <c r="N391" s="20"/>
      <c r="O391" s="20"/>
      <c r="P391" s="20"/>
      <c r="Q391" s="20"/>
      <c r="R391" s="20"/>
      <c r="S391" s="20"/>
      <c r="T391" s="20"/>
      <c r="U391" s="20"/>
      <c r="V391" s="20"/>
    </row>
    <row r="392" ht="13.5" customHeight="1" spans="1:22">
      <c r="A392" s="20"/>
      <c r="B392" s="20"/>
      <c r="C392" s="20"/>
      <c r="D392" s="20"/>
      <c r="E392" s="20"/>
      <c r="F392" s="20"/>
      <c r="G392" s="20"/>
      <c r="H392" s="20"/>
      <c r="I392" s="20"/>
      <c r="J392" s="20"/>
      <c r="K392" s="20"/>
      <c r="L392" s="20"/>
      <c r="M392" s="20"/>
      <c r="N392" s="20"/>
      <c r="O392" s="20"/>
      <c r="P392" s="20"/>
      <c r="Q392" s="20"/>
      <c r="R392" s="20"/>
      <c r="S392" s="20"/>
      <c r="T392" s="20"/>
      <c r="U392" s="20"/>
      <c r="V392" s="20"/>
    </row>
    <row r="393" ht="13.5" customHeight="1" spans="1:22">
      <c r="A393" s="20"/>
      <c r="B393" s="20"/>
      <c r="C393" s="20"/>
      <c r="D393" s="20"/>
      <c r="E393" s="20"/>
      <c r="F393" s="20"/>
      <c r="G393" s="20"/>
      <c r="H393" s="20"/>
      <c r="I393" s="20"/>
      <c r="J393" s="20"/>
      <c r="K393" s="20"/>
      <c r="L393" s="20"/>
      <c r="M393" s="20"/>
      <c r="N393" s="20"/>
      <c r="O393" s="20"/>
      <c r="P393" s="20"/>
      <c r="Q393" s="20"/>
      <c r="R393" s="20"/>
      <c r="S393" s="20"/>
      <c r="T393" s="20"/>
      <c r="U393" s="20"/>
      <c r="V393" s="20"/>
    </row>
    <row r="394" ht="13.5" customHeight="1" spans="1:22">
      <c r="A394" s="20"/>
      <c r="B394" s="20"/>
      <c r="C394" s="20"/>
      <c r="D394" s="20"/>
      <c r="E394" s="20"/>
      <c r="F394" s="20"/>
      <c r="G394" s="20"/>
      <c r="H394" s="20"/>
      <c r="I394" s="20"/>
      <c r="J394" s="20"/>
      <c r="K394" s="20"/>
      <c r="L394" s="20"/>
      <c r="M394" s="20"/>
      <c r="N394" s="20"/>
      <c r="O394" s="20"/>
      <c r="P394" s="20"/>
      <c r="Q394" s="20"/>
      <c r="R394" s="20"/>
      <c r="S394" s="20"/>
      <c r="T394" s="20"/>
      <c r="U394" s="20"/>
      <c r="V394" s="20"/>
    </row>
    <row r="395" ht="13.5" customHeight="1" spans="1:22">
      <c r="A395" s="20"/>
      <c r="B395" s="20"/>
      <c r="C395" s="20"/>
      <c r="D395" s="20"/>
      <c r="E395" s="20"/>
      <c r="F395" s="20"/>
      <c r="G395" s="20"/>
      <c r="H395" s="20"/>
      <c r="I395" s="20"/>
      <c r="J395" s="20"/>
      <c r="K395" s="20"/>
      <c r="L395" s="20"/>
      <c r="M395" s="20"/>
      <c r="N395" s="20"/>
      <c r="O395" s="20"/>
      <c r="P395" s="20"/>
      <c r="Q395" s="20"/>
      <c r="R395" s="20"/>
      <c r="S395" s="20"/>
      <c r="T395" s="20"/>
      <c r="U395" s="20"/>
      <c r="V395" s="20"/>
    </row>
    <row r="396" ht="13.5" customHeight="1" spans="1:22">
      <c r="A396" s="20"/>
      <c r="B396" s="20"/>
      <c r="C396" s="20"/>
      <c r="D396" s="20"/>
      <c r="E396" s="20"/>
      <c r="F396" s="20"/>
      <c r="G396" s="20"/>
      <c r="H396" s="20"/>
      <c r="I396" s="20"/>
      <c r="J396" s="20"/>
      <c r="K396" s="20"/>
      <c r="L396" s="20"/>
      <c r="M396" s="20"/>
      <c r="N396" s="20"/>
      <c r="O396" s="20"/>
      <c r="P396" s="20"/>
      <c r="Q396" s="20"/>
      <c r="R396" s="20"/>
      <c r="S396" s="20"/>
      <c r="T396" s="20"/>
      <c r="U396" s="20"/>
      <c r="V396" s="20"/>
    </row>
    <row r="397" ht="13.5" customHeight="1" spans="1:22">
      <c r="A397" s="20"/>
      <c r="B397" s="20"/>
      <c r="C397" s="20"/>
      <c r="D397" s="20"/>
      <c r="E397" s="20"/>
      <c r="F397" s="20"/>
      <c r="G397" s="20"/>
      <c r="H397" s="20"/>
      <c r="I397" s="20"/>
      <c r="J397" s="20"/>
      <c r="K397" s="20"/>
      <c r="L397" s="20"/>
      <c r="M397" s="20"/>
      <c r="N397" s="20"/>
      <c r="O397" s="20"/>
      <c r="P397" s="20"/>
      <c r="Q397" s="20"/>
      <c r="R397" s="20"/>
      <c r="S397" s="20"/>
      <c r="T397" s="20"/>
      <c r="U397" s="20"/>
      <c r="V397" s="20"/>
    </row>
    <row r="398" ht="13.5" customHeight="1" spans="1:22">
      <c r="A398" s="20"/>
      <c r="B398" s="20"/>
      <c r="C398" s="20"/>
      <c r="D398" s="20"/>
      <c r="E398" s="20"/>
      <c r="F398" s="20"/>
      <c r="G398" s="20"/>
      <c r="H398" s="20"/>
      <c r="I398" s="20"/>
      <c r="J398" s="20"/>
      <c r="K398" s="20"/>
      <c r="L398" s="20"/>
      <c r="M398" s="20"/>
      <c r="N398" s="20"/>
      <c r="O398" s="20"/>
      <c r="P398" s="20"/>
      <c r="Q398" s="20"/>
      <c r="R398" s="20"/>
      <c r="S398" s="20"/>
      <c r="T398" s="20"/>
      <c r="U398" s="20"/>
      <c r="V398" s="20"/>
    </row>
    <row r="399" ht="13.5" customHeight="1" spans="1:22">
      <c r="A399" s="20"/>
      <c r="B399" s="20"/>
      <c r="C399" s="20"/>
      <c r="D399" s="20"/>
      <c r="E399" s="20"/>
      <c r="F399" s="20"/>
      <c r="G399" s="20"/>
      <c r="H399" s="20"/>
      <c r="I399" s="20"/>
      <c r="J399" s="20"/>
      <c r="K399" s="20"/>
      <c r="L399" s="20"/>
      <c r="M399" s="20"/>
      <c r="N399" s="20"/>
      <c r="O399" s="20"/>
      <c r="P399" s="20"/>
      <c r="Q399" s="20"/>
      <c r="R399" s="20"/>
      <c r="S399" s="20"/>
      <c r="T399" s="20"/>
      <c r="U399" s="20"/>
      <c r="V399" s="20"/>
    </row>
    <row r="400" ht="13.5" customHeight="1" spans="1:22">
      <c r="A400" s="20"/>
      <c r="B400" s="20"/>
      <c r="C400" s="20"/>
      <c r="D400" s="20"/>
      <c r="E400" s="20"/>
      <c r="F400" s="20"/>
      <c r="G400" s="20"/>
      <c r="H400" s="20"/>
      <c r="I400" s="20"/>
      <c r="J400" s="20"/>
      <c r="K400" s="20"/>
      <c r="L400" s="20"/>
      <c r="M400" s="20"/>
      <c r="N400" s="20"/>
      <c r="O400" s="20"/>
      <c r="P400" s="20"/>
      <c r="Q400" s="20"/>
      <c r="R400" s="20"/>
      <c r="S400" s="20"/>
      <c r="T400" s="20"/>
      <c r="U400" s="20"/>
      <c r="V400" s="20"/>
    </row>
    <row r="401" ht="13.5" customHeight="1" spans="1:22">
      <c r="A401" s="20"/>
      <c r="B401" s="20"/>
      <c r="C401" s="20"/>
      <c r="D401" s="20"/>
      <c r="E401" s="20"/>
      <c r="F401" s="20"/>
      <c r="G401" s="20"/>
      <c r="H401" s="20"/>
      <c r="I401" s="20"/>
      <c r="J401" s="20"/>
      <c r="K401" s="20"/>
      <c r="L401" s="20"/>
      <c r="M401" s="20"/>
      <c r="N401" s="20"/>
      <c r="O401" s="20"/>
      <c r="P401" s="20"/>
      <c r="Q401" s="20"/>
      <c r="R401" s="20"/>
      <c r="S401" s="20"/>
      <c r="T401" s="20"/>
      <c r="U401" s="20"/>
      <c r="V401" s="20"/>
    </row>
    <row r="402" ht="13.5" customHeight="1" spans="1:22">
      <c r="A402" s="20"/>
      <c r="B402" s="20"/>
      <c r="C402" s="20"/>
      <c r="D402" s="20"/>
      <c r="E402" s="20"/>
      <c r="F402" s="20"/>
      <c r="G402" s="20"/>
      <c r="H402" s="20"/>
      <c r="I402" s="20"/>
      <c r="J402" s="20"/>
      <c r="K402" s="20"/>
      <c r="L402" s="20"/>
      <c r="M402" s="20"/>
      <c r="N402" s="20"/>
      <c r="O402" s="20"/>
      <c r="P402" s="20"/>
      <c r="Q402" s="20"/>
      <c r="R402" s="20"/>
      <c r="S402" s="20"/>
      <c r="T402" s="20"/>
      <c r="U402" s="20"/>
      <c r="V402" s="20"/>
    </row>
    <row r="403" ht="13.5" customHeight="1" spans="1:22">
      <c r="A403" s="20"/>
      <c r="B403" s="20"/>
      <c r="C403" s="20"/>
      <c r="D403" s="20"/>
      <c r="E403" s="20"/>
      <c r="F403" s="20"/>
      <c r="G403" s="20"/>
      <c r="H403" s="20"/>
      <c r="I403" s="20"/>
      <c r="J403" s="20"/>
      <c r="K403" s="20"/>
      <c r="L403" s="20"/>
      <c r="M403" s="20"/>
      <c r="N403" s="20"/>
      <c r="O403" s="20"/>
      <c r="P403" s="20"/>
      <c r="Q403" s="20"/>
      <c r="R403" s="20"/>
      <c r="S403" s="20"/>
      <c r="T403" s="20"/>
      <c r="U403" s="20"/>
      <c r="V403" s="20"/>
    </row>
    <row r="404" ht="13.5" customHeight="1" spans="1:22">
      <c r="A404" s="20"/>
      <c r="B404" s="20"/>
      <c r="C404" s="20"/>
      <c r="D404" s="20"/>
      <c r="E404" s="20"/>
      <c r="F404" s="20"/>
      <c r="G404" s="20"/>
      <c r="H404" s="20"/>
      <c r="I404" s="20"/>
      <c r="J404" s="20"/>
      <c r="K404" s="20"/>
      <c r="L404" s="20"/>
      <c r="M404" s="20"/>
      <c r="N404" s="20"/>
      <c r="O404" s="20"/>
      <c r="P404" s="20"/>
      <c r="Q404" s="20"/>
      <c r="R404" s="20"/>
      <c r="S404" s="20"/>
      <c r="T404" s="20"/>
      <c r="U404" s="20"/>
      <c r="V404" s="20"/>
    </row>
    <row r="405" ht="13.5" customHeight="1" spans="1:22">
      <c r="A405" s="20"/>
      <c r="B405" s="20"/>
      <c r="C405" s="20"/>
      <c r="D405" s="20"/>
      <c r="E405" s="20"/>
      <c r="F405" s="20"/>
      <c r="G405" s="20"/>
      <c r="H405" s="20"/>
      <c r="I405" s="20"/>
      <c r="J405" s="20"/>
      <c r="K405" s="20"/>
      <c r="L405" s="20"/>
      <c r="M405" s="20"/>
      <c r="N405" s="20"/>
      <c r="O405" s="20"/>
      <c r="P405" s="20"/>
      <c r="Q405" s="20"/>
      <c r="R405" s="20"/>
      <c r="S405" s="20"/>
      <c r="T405" s="20"/>
      <c r="U405" s="20"/>
      <c r="V405" s="20"/>
    </row>
    <row r="406" ht="13.5" customHeight="1" spans="1:22">
      <c r="A406" s="20"/>
      <c r="B406" s="20"/>
      <c r="C406" s="20"/>
      <c r="D406" s="20"/>
      <c r="E406" s="20"/>
      <c r="F406" s="20"/>
      <c r="G406" s="20"/>
      <c r="H406" s="20"/>
      <c r="I406" s="20"/>
      <c r="J406" s="20"/>
      <c r="K406" s="20"/>
      <c r="L406" s="20"/>
      <c r="M406" s="20"/>
      <c r="N406" s="20"/>
      <c r="O406" s="20"/>
      <c r="P406" s="20"/>
      <c r="Q406" s="20"/>
      <c r="R406" s="20"/>
      <c r="S406" s="20"/>
      <c r="T406" s="20"/>
      <c r="U406" s="20"/>
      <c r="V406" s="20"/>
    </row>
    <row r="407" ht="13.5" customHeight="1" spans="1:22">
      <c r="A407" s="20"/>
      <c r="B407" s="20"/>
      <c r="C407" s="20"/>
      <c r="D407" s="20"/>
      <c r="E407" s="20"/>
      <c r="F407" s="20"/>
      <c r="G407" s="20"/>
      <c r="H407" s="20"/>
      <c r="I407" s="20"/>
      <c r="J407" s="20"/>
      <c r="K407" s="20"/>
      <c r="L407" s="20"/>
      <c r="M407" s="20"/>
      <c r="N407" s="20"/>
      <c r="O407" s="20"/>
      <c r="P407" s="20"/>
      <c r="Q407" s="20"/>
      <c r="R407" s="20"/>
      <c r="S407" s="20"/>
      <c r="T407" s="20"/>
      <c r="U407" s="20"/>
      <c r="V407" s="20"/>
    </row>
    <row r="408" ht="13.5" customHeight="1" spans="1:22">
      <c r="A408" s="20"/>
      <c r="B408" s="20"/>
      <c r="C408" s="20"/>
      <c r="D408" s="20"/>
      <c r="E408" s="20"/>
      <c r="F408" s="20"/>
      <c r="G408" s="20"/>
      <c r="H408" s="20"/>
      <c r="I408" s="20"/>
      <c r="J408" s="20"/>
      <c r="K408" s="20"/>
      <c r="L408" s="20"/>
      <c r="M408" s="20"/>
      <c r="N408" s="20"/>
      <c r="O408" s="20"/>
      <c r="P408" s="20"/>
      <c r="Q408" s="20"/>
      <c r="R408" s="20"/>
      <c r="S408" s="20"/>
      <c r="T408" s="20"/>
      <c r="U408" s="20"/>
      <c r="V408" s="20"/>
    </row>
    <row r="409" ht="13.5" customHeight="1" spans="1:22">
      <c r="A409" s="20"/>
      <c r="B409" s="20"/>
      <c r="C409" s="20"/>
      <c r="D409" s="20"/>
      <c r="E409" s="20"/>
      <c r="F409" s="20"/>
      <c r="G409" s="20"/>
      <c r="H409" s="20"/>
      <c r="I409" s="20"/>
      <c r="J409" s="20"/>
      <c r="K409" s="20"/>
      <c r="L409" s="20"/>
      <c r="M409" s="20"/>
      <c r="N409" s="20"/>
      <c r="O409" s="20"/>
      <c r="P409" s="20"/>
      <c r="Q409" s="20"/>
      <c r="R409" s="20"/>
      <c r="S409" s="20"/>
      <c r="T409" s="20"/>
      <c r="U409" s="20"/>
      <c r="V409" s="20"/>
    </row>
    <row r="410" ht="13.5" customHeight="1" spans="1:22">
      <c r="A410" s="20"/>
      <c r="B410" s="20"/>
      <c r="C410" s="20"/>
      <c r="D410" s="20"/>
      <c r="E410" s="20"/>
      <c r="F410" s="20"/>
      <c r="G410" s="20"/>
      <c r="H410" s="20"/>
      <c r="I410" s="20"/>
      <c r="J410" s="20"/>
      <c r="K410" s="20"/>
      <c r="L410" s="20"/>
      <c r="M410" s="20"/>
      <c r="N410" s="20"/>
      <c r="O410" s="20"/>
      <c r="P410" s="20"/>
      <c r="Q410" s="20"/>
      <c r="R410" s="20"/>
      <c r="S410" s="20"/>
      <c r="T410" s="20"/>
      <c r="U410" s="20"/>
      <c r="V410" s="20"/>
    </row>
    <row r="411" ht="13.5" customHeight="1" spans="1:22">
      <c r="A411" s="20"/>
      <c r="B411" s="20"/>
      <c r="C411" s="20"/>
      <c r="D411" s="20"/>
      <c r="E411" s="20"/>
      <c r="F411" s="20"/>
      <c r="G411" s="20"/>
      <c r="H411" s="20"/>
      <c r="I411" s="20"/>
      <c r="J411" s="20"/>
      <c r="K411" s="20"/>
      <c r="L411" s="20"/>
      <c r="M411" s="20"/>
      <c r="N411" s="20"/>
      <c r="O411" s="20"/>
      <c r="P411" s="20"/>
      <c r="Q411" s="20"/>
      <c r="R411" s="20"/>
      <c r="S411" s="20"/>
      <c r="T411" s="20"/>
      <c r="U411" s="20"/>
      <c r="V411" s="20"/>
    </row>
    <row r="412" ht="13.5" customHeight="1" spans="1:22">
      <c r="A412" s="20"/>
      <c r="B412" s="20"/>
      <c r="C412" s="20"/>
      <c r="D412" s="20"/>
      <c r="E412" s="20"/>
      <c r="F412" s="20"/>
      <c r="G412" s="20"/>
      <c r="H412" s="20"/>
      <c r="I412" s="20"/>
      <c r="J412" s="20"/>
      <c r="K412" s="20"/>
      <c r="L412" s="20"/>
      <c r="M412" s="20"/>
      <c r="N412" s="20"/>
      <c r="O412" s="20"/>
      <c r="P412" s="20"/>
      <c r="Q412" s="20"/>
      <c r="R412" s="20"/>
      <c r="S412" s="20"/>
      <c r="T412" s="20"/>
      <c r="U412" s="20"/>
      <c r="V412" s="20"/>
    </row>
    <row r="413" ht="13.5" customHeight="1" spans="1:22">
      <c r="A413" s="20"/>
      <c r="B413" s="20"/>
      <c r="C413" s="20"/>
      <c r="D413" s="20"/>
      <c r="E413" s="20"/>
      <c r="F413" s="20"/>
      <c r="G413" s="20"/>
      <c r="H413" s="20"/>
      <c r="I413" s="20"/>
      <c r="J413" s="20"/>
      <c r="K413" s="20"/>
      <c r="L413" s="20"/>
      <c r="M413" s="20"/>
      <c r="N413" s="20"/>
      <c r="O413" s="20"/>
      <c r="P413" s="20"/>
      <c r="Q413" s="20"/>
      <c r="R413" s="20"/>
      <c r="S413" s="20"/>
      <c r="T413" s="20"/>
      <c r="U413" s="20"/>
      <c r="V413" s="20"/>
    </row>
    <row r="414" ht="13.5" customHeight="1" spans="1:22">
      <c r="A414" s="20"/>
      <c r="B414" s="20"/>
      <c r="C414" s="20"/>
      <c r="D414" s="20"/>
      <c r="E414" s="20"/>
      <c r="F414" s="20"/>
      <c r="G414" s="20"/>
      <c r="H414" s="20"/>
      <c r="I414" s="20"/>
      <c r="J414" s="20"/>
      <c r="K414" s="20"/>
      <c r="L414" s="20"/>
      <c r="M414" s="20"/>
      <c r="N414" s="20"/>
      <c r="O414" s="20"/>
      <c r="P414" s="20"/>
      <c r="Q414" s="20"/>
      <c r="R414" s="20"/>
      <c r="S414" s="20"/>
      <c r="T414" s="20"/>
      <c r="U414" s="20"/>
      <c r="V414" s="20"/>
    </row>
    <row r="415" ht="13.5" customHeight="1" spans="1:22">
      <c r="A415" s="20"/>
      <c r="B415" s="20"/>
      <c r="C415" s="20"/>
      <c r="D415" s="20"/>
      <c r="E415" s="20"/>
      <c r="F415" s="20"/>
      <c r="G415" s="20"/>
      <c r="H415" s="20"/>
      <c r="I415" s="20"/>
      <c r="J415" s="20"/>
      <c r="K415" s="20"/>
      <c r="L415" s="20"/>
      <c r="M415" s="20"/>
      <c r="N415" s="20"/>
      <c r="O415" s="20"/>
      <c r="P415" s="20"/>
      <c r="Q415" s="20"/>
      <c r="R415" s="20"/>
      <c r="S415" s="20"/>
      <c r="T415" s="20"/>
      <c r="U415" s="20"/>
      <c r="V415" s="20"/>
    </row>
    <row r="416" ht="13.5" customHeight="1" spans="1:22">
      <c r="A416" s="20"/>
      <c r="B416" s="20"/>
      <c r="C416" s="20"/>
      <c r="D416" s="20"/>
      <c r="E416" s="20"/>
      <c r="F416" s="20"/>
      <c r="G416" s="20"/>
      <c r="H416" s="20"/>
      <c r="I416" s="20"/>
      <c r="J416" s="20"/>
      <c r="K416" s="20"/>
      <c r="L416" s="20"/>
      <c r="M416" s="20"/>
      <c r="N416" s="20"/>
      <c r="O416" s="20"/>
      <c r="P416" s="20"/>
      <c r="Q416" s="20"/>
      <c r="R416" s="20"/>
      <c r="S416" s="20"/>
      <c r="T416" s="20"/>
      <c r="U416" s="20"/>
      <c r="V416" s="20"/>
    </row>
    <row r="417" ht="13.5" customHeight="1" spans="1:22">
      <c r="A417" s="20"/>
      <c r="B417" s="20"/>
      <c r="C417" s="20"/>
      <c r="D417" s="20"/>
      <c r="E417" s="20"/>
      <c r="F417" s="20"/>
      <c r="G417" s="20"/>
      <c r="H417" s="20"/>
      <c r="I417" s="20"/>
      <c r="J417" s="20"/>
      <c r="K417" s="20"/>
      <c r="L417" s="20"/>
      <c r="M417" s="20"/>
      <c r="N417" s="20"/>
      <c r="O417" s="20"/>
      <c r="P417" s="20"/>
      <c r="Q417" s="20"/>
      <c r="R417" s="20"/>
      <c r="S417" s="20"/>
      <c r="T417" s="20"/>
      <c r="U417" s="20"/>
      <c r="V417" s="20"/>
    </row>
    <row r="418" ht="13.5" customHeight="1" spans="1:22">
      <c r="A418" s="20"/>
      <c r="B418" s="20"/>
      <c r="C418" s="20"/>
      <c r="D418" s="20"/>
      <c r="E418" s="20"/>
      <c r="F418" s="20"/>
      <c r="G418" s="20"/>
      <c r="H418" s="20"/>
      <c r="I418" s="20"/>
      <c r="J418" s="20"/>
      <c r="K418" s="20"/>
      <c r="L418" s="20"/>
      <c r="M418" s="20"/>
      <c r="N418" s="20"/>
      <c r="O418" s="20"/>
      <c r="P418" s="20"/>
      <c r="Q418" s="20"/>
      <c r="R418" s="20"/>
      <c r="S418" s="20"/>
      <c r="T418" s="20"/>
      <c r="U418" s="20"/>
      <c r="V418" s="20"/>
    </row>
    <row r="419" ht="13.5" customHeight="1" spans="1:22">
      <c r="A419" s="20"/>
      <c r="B419" s="20"/>
      <c r="C419" s="20"/>
      <c r="D419" s="20"/>
      <c r="E419" s="20"/>
      <c r="F419" s="20"/>
      <c r="G419" s="20"/>
      <c r="H419" s="20"/>
      <c r="I419" s="20"/>
      <c r="J419" s="20"/>
      <c r="K419" s="20"/>
      <c r="L419" s="20"/>
      <c r="M419" s="20"/>
      <c r="N419" s="20"/>
      <c r="O419" s="20"/>
      <c r="P419" s="20"/>
      <c r="Q419" s="20"/>
      <c r="R419" s="20"/>
      <c r="S419" s="20"/>
      <c r="T419" s="20"/>
      <c r="U419" s="20"/>
      <c r="V419" s="20"/>
    </row>
    <row r="420" ht="13.5" customHeight="1" spans="1:22">
      <c r="A420" s="20"/>
      <c r="B420" s="20"/>
      <c r="C420" s="20"/>
      <c r="D420" s="20"/>
      <c r="E420" s="20"/>
      <c r="F420" s="20"/>
      <c r="G420" s="20"/>
      <c r="H420" s="20"/>
      <c r="I420" s="20"/>
      <c r="J420" s="20"/>
      <c r="K420" s="20"/>
      <c r="L420" s="20"/>
      <c r="M420" s="20"/>
      <c r="N420" s="20"/>
      <c r="O420" s="20"/>
      <c r="P420" s="20"/>
      <c r="Q420" s="20"/>
      <c r="R420" s="20"/>
      <c r="S420" s="20"/>
      <c r="T420" s="20"/>
      <c r="U420" s="20"/>
      <c r="V420" s="20"/>
    </row>
    <row r="421" ht="13.5" customHeight="1" spans="1:22">
      <c r="A421" s="20"/>
      <c r="B421" s="20"/>
      <c r="C421" s="20"/>
      <c r="D421" s="20"/>
      <c r="E421" s="20"/>
      <c r="F421" s="20"/>
      <c r="G421" s="20"/>
      <c r="H421" s="20"/>
      <c r="I421" s="20"/>
      <c r="J421" s="20"/>
      <c r="K421" s="20"/>
      <c r="L421" s="20"/>
      <c r="M421" s="20"/>
      <c r="N421" s="20"/>
      <c r="O421" s="20"/>
      <c r="P421" s="20"/>
      <c r="Q421" s="20"/>
      <c r="R421" s="20"/>
      <c r="S421" s="20"/>
      <c r="T421" s="20"/>
      <c r="U421" s="20"/>
      <c r="V421" s="20"/>
    </row>
    <row r="422" ht="13.5" customHeight="1" spans="1:22">
      <c r="A422" s="20"/>
      <c r="B422" s="20"/>
      <c r="C422" s="20"/>
      <c r="D422" s="20"/>
      <c r="E422" s="20"/>
      <c r="F422" s="20"/>
      <c r="G422" s="20"/>
      <c r="H422" s="20"/>
      <c r="I422" s="20"/>
      <c r="J422" s="20"/>
      <c r="K422" s="20"/>
      <c r="L422" s="20"/>
      <c r="M422" s="20"/>
      <c r="N422" s="20"/>
      <c r="O422" s="20"/>
      <c r="P422" s="20"/>
      <c r="Q422" s="20"/>
      <c r="R422" s="20"/>
      <c r="S422" s="20"/>
      <c r="T422" s="20"/>
      <c r="U422" s="20"/>
      <c r="V422" s="20"/>
    </row>
    <row r="423" ht="13.5" customHeight="1" spans="1:22">
      <c r="A423" s="20"/>
      <c r="B423" s="20"/>
      <c r="C423" s="20"/>
      <c r="D423" s="20"/>
      <c r="E423" s="20"/>
      <c r="F423" s="20"/>
      <c r="G423" s="20"/>
      <c r="H423" s="20"/>
      <c r="I423" s="20"/>
      <c r="J423" s="20"/>
      <c r="K423" s="20"/>
      <c r="L423" s="20"/>
      <c r="M423" s="20"/>
      <c r="N423" s="20"/>
      <c r="O423" s="20"/>
      <c r="P423" s="20"/>
      <c r="Q423" s="20"/>
      <c r="R423" s="20"/>
      <c r="S423" s="20"/>
      <c r="T423" s="20"/>
      <c r="U423" s="20"/>
      <c r="V423" s="20"/>
    </row>
    <row r="424" ht="13.5" customHeight="1" spans="1:22">
      <c r="A424" s="20"/>
      <c r="B424" s="20"/>
      <c r="C424" s="20"/>
      <c r="D424" s="20"/>
      <c r="E424" s="20"/>
      <c r="F424" s="20"/>
      <c r="G424" s="20"/>
      <c r="H424" s="20"/>
      <c r="I424" s="20"/>
      <c r="J424" s="20"/>
      <c r="K424" s="20"/>
      <c r="L424" s="20"/>
      <c r="M424" s="20"/>
      <c r="N424" s="20"/>
      <c r="O424" s="20"/>
      <c r="P424" s="20"/>
      <c r="Q424" s="20"/>
      <c r="R424" s="20"/>
      <c r="S424" s="20"/>
      <c r="T424" s="20"/>
      <c r="U424" s="20"/>
      <c r="V424" s="20"/>
    </row>
    <row r="425" ht="13.5" customHeight="1" spans="1:22">
      <c r="A425" s="20"/>
      <c r="B425" s="20"/>
      <c r="C425" s="20"/>
      <c r="D425" s="20"/>
      <c r="E425" s="20"/>
      <c r="F425" s="20"/>
      <c r="G425" s="20"/>
      <c r="H425" s="20"/>
      <c r="I425" s="20"/>
      <c r="J425" s="20"/>
      <c r="K425" s="20"/>
      <c r="L425" s="20"/>
      <c r="M425" s="20"/>
      <c r="N425" s="20"/>
      <c r="O425" s="20"/>
      <c r="P425" s="20"/>
      <c r="Q425" s="20"/>
      <c r="R425" s="20"/>
      <c r="S425" s="20"/>
      <c r="T425" s="20"/>
      <c r="U425" s="20"/>
      <c r="V425" s="20"/>
    </row>
    <row r="426" ht="13.5" customHeight="1" spans="1:22">
      <c r="A426" s="20"/>
      <c r="B426" s="20"/>
      <c r="C426" s="20"/>
      <c r="D426" s="20"/>
      <c r="E426" s="20"/>
      <c r="F426" s="20"/>
      <c r="G426" s="20"/>
      <c r="H426" s="20"/>
      <c r="I426" s="20"/>
      <c r="J426" s="20"/>
      <c r="K426" s="20"/>
      <c r="L426" s="20"/>
      <c r="M426" s="20"/>
      <c r="N426" s="20"/>
      <c r="O426" s="20"/>
      <c r="P426" s="20"/>
      <c r="Q426" s="20"/>
      <c r="R426" s="20"/>
      <c r="S426" s="20"/>
      <c r="T426" s="20"/>
      <c r="U426" s="20"/>
      <c r="V426" s="20"/>
    </row>
    <row r="427" ht="13.5" customHeight="1" spans="1:22">
      <c r="A427" s="20"/>
      <c r="B427" s="20"/>
      <c r="C427" s="20"/>
      <c r="D427" s="20"/>
      <c r="E427" s="20"/>
      <c r="F427" s="20"/>
      <c r="G427" s="20"/>
      <c r="H427" s="20"/>
      <c r="I427" s="20"/>
      <c r="J427" s="20"/>
      <c r="K427" s="20"/>
      <c r="L427" s="20"/>
      <c r="M427" s="20"/>
      <c r="N427" s="20"/>
      <c r="O427" s="20"/>
      <c r="P427" s="20"/>
      <c r="Q427" s="20"/>
      <c r="R427" s="20"/>
      <c r="S427" s="20"/>
      <c r="T427" s="20"/>
      <c r="U427" s="20"/>
      <c r="V427" s="20"/>
    </row>
    <row r="428" ht="13.5" customHeight="1" spans="1:22">
      <c r="A428" s="20"/>
      <c r="B428" s="20"/>
      <c r="C428" s="20"/>
      <c r="D428" s="20"/>
      <c r="E428" s="20"/>
      <c r="F428" s="20"/>
      <c r="G428" s="20"/>
      <c r="H428" s="20"/>
      <c r="I428" s="20"/>
      <c r="J428" s="20"/>
      <c r="K428" s="20"/>
      <c r="L428" s="20"/>
      <c r="M428" s="20"/>
      <c r="N428" s="20"/>
      <c r="O428" s="20"/>
      <c r="P428" s="20"/>
      <c r="Q428" s="20"/>
      <c r="R428" s="20"/>
      <c r="S428" s="20"/>
      <c r="T428" s="20"/>
      <c r="U428" s="20"/>
      <c r="V428" s="20"/>
    </row>
    <row r="429" ht="13.5" customHeight="1" spans="1:22">
      <c r="A429" s="20"/>
      <c r="B429" s="20"/>
      <c r="C429" s="20"/>
      <c r="D429" s="20"/>
      <c r="E429" s="20"/>
      <c r="F429" s="20"/>
      <c r="G429" s="20"/>
      <c r="H429" s="20"/>
      <c r="I429" s="20"/>
      <c r="J429" s="20"/>
      <c r="K429" s="20"/>
      <c r="L429" s="20"/>
      <c r="M429" s="20"/>
      <c r="N429" s="20"/>
      <c r="O429" s="20"/>
      <c r="P429" s="20"/>
      <c r="Q429" s="20"/>
      <c r="R429" s="20"/>
      <c r="S429" s="20"/>
      <c r="T429" s="20"/>
      <c r="U429" s="20"/>
      <c r="V429" s="20"/>
    </row>
    <row r="430" ht="13.5" customHeight="1" spans="1:22">
      <c r="A430" s="20"/>
      <c r="B430" s="20"/>
      <c r="C430" s="20"/>
      <c r="D430" s="20"/>
      <c r="E430" s="20"/>
      <c r="F430" s="20"/>
      <c r="G430" s="20"/>
      <c r="H430" s="20"/>
      <c r="I430" s="20"/>
      <c r="J430" s="20"/>
      <c r="K430" s="20"/>
      <c r="L430" s="20"/>
      <c r="M430" s="20"/>
      <c r="N430" s="20"/>
      <c r="O430" s="20"/>
      <c r="P430" s="20"/>
      <c r="Q430" s="20"/>
      <c r="R430" s="20"/>
      <c r="S430" s="20"/>
      <c r="T430" s="20"/>
      <c r="U430" s="20"/>
      <c r="V430" s="20"/>
    </row>
    <row r="431" ht="13.5" customHeight="1" spans="1:22">
      <c r="A431" s="20"/>
      <c r="B431" s="20"/>
      <c r="C431" s="20"/>
      <c r="D431" s="20"/>
      <c r="E431" s="20"/>
      <c r="F431" s="20"/>
      <c r="G431" s="20"/>
      <c r="H431" s="20"/>
      <c r="I431" s="20"/>
      <c r="J431" s="20"/>
      <c r="K431" s="20"/>
      <c r="L431" s="20"/>
      <c r="M431" s="20"/>
      <c r="N431" s="20"/>
      <c r="O431" s="20"/>
      <c r="P431" s="20"/>
      <c r="Q431" s="20"/>
      <c r="R431" s="20"/>
      <c r="S431" s="20"/>
      <c r="T431" s="20"/>
      <c r="U431" s="20"/>
      <c r="V431" s="20"/>
    </row>
    <row r="432" ht="13.5" customHeight="1" spans="1:22">
      <c r="A432" s="20"/>
      <c r="B432" s="20"/>
      <c r="C432" s="20"/>
      <c r="D432" s="20"/>
      <c r="E432" s="20"/>
      <c r="F432" s="20"/>
      <c r="G432" s="20"/>
      <c r="H432" s="20"/>
      <c r="I432" s="20"/>
      <c r="J432" s="20"/>
      <c r="K432" s="20"/>
      <c r="L432" s="20"/>
      <c r="M432" s="20"/>
      <c r="N432" s="20"/>
      <c r="O432" s="20"/>
      <c r="P432" s="20"/>
      <c r="Q432" s="20"/>
      <c r="R432" s="20"/>
      <c r="S432" s="20"/>
      <c r="T432" s="20"/>
      <c r="U432" s="20"/>
      <c r="V432" s="20"/>
    </row>
    <row r="433" ht="13.5" customHeight="1" spans="1:22">
      <c r="A433" s="20"/>
      <c r="B433" s="20"/>
      <c r="C433" s="20"/>
      <c r="D433" s="20"/>
      <c r="E433" s="20"/>
      <c r="F433" s="20"/>
      <c r="G433" s="20"/>
      <c r="H433" s="20"/>
      <c r="I433" s="20"/>
      <c r="J433" s="20"/>
      <c r="K433" s="20"/>
      <c r="L433" s="20"/>
      <c r="M433" s="20"/>
      <c r="N433" s="20"/>
      <c r="O433" s="20"/>
      <c r="P433" s="20"/>
      <c r="Q433" s="20"/>
      <c r="R433" s="20"/>
      <c r="S433" s="20"/>
      <c r="T433" s="20"/>
      <c r="U433" s="20"/>
      <c r="V433" s="20"/>
    </row>
    <row r="434" ht="13.5" customHeight="1" spans="1:22">
      <c r="A434" s="20"/>
      <c r="B434" s="20"/>
      <c r="C434" s="20"/>
      <c r="D434" s="20"/>
      <c r="E434" s="20"/>
      <c r="F434" s="20"/>
      <c r="G434" s="20"/>
      <c r="H434" s="20"/>
      <c r="I434" s="20"/>
      <c r="J434" s="20"/>
      <c r="K434" s="20"/>
      <c r="L434" s="20"/>
      <c r="M434" s="20"/>
      <c r="N434" s="20"/>
      <c r="O434" s="20"/>
      <c r="P434" s="20"/>
      <c r="Q434" s="20"/>
      <c r="R434" s="20"/>
      <c r="S434" s="20"/>
      <c r="T434" s="20"/>
      <c r="U434" s="20"/>
      <c r="V434" s="20"/>
    </row>
    <row r="435" ht="13.5" customHeight="1" spans="1:22">
      <c r="A435" s="20"/>
      <c r="B435" s="20"/>
      <c r="C435" s="20"/>
      <c r="D435" s="20"/>
      <c r="E435" s="20"/>
      <c r="F435" s="20"/>
      <c r="G435" s="20"/>
      <c r="H435" s="20"/>
      <c r="I435" s="20"/>
      <c r="J435" s="20"/>
      <c r="K435" s="20"/>
      <c r="L435" s="20"/>
      <c r="M435" s="20"/>
      <c r="N435" s="20"/>
      <c r="O435" s="20"/>
      <c r="P435" s="20"/>
      <c r="Q435" s="20"/>
      <c r="R435" s="20"/>
      <c r="S435" s="20"/>
      <c r="T435" s="20"/>
      <c r="U435" s="20"/>
      <c r="V435" s="20"/>
    </row>
    <row r="436" ht="13.5" customHeight="1" spans="1:22">
      <c r="A436" s="20"/>
      <c r="B436" s="20"/>
      <c r="C436" s="20"/>
      <c r="D436" s="20"/>
      <c r="E436" s="20"/>
      <c r="F436" s="20"/>
      <c r="G436" s="20"/>
      <c r="H436" s="20"/>
      <c r="I436" s="20"/>
      <c r="J436" s="20"/>
      <c r="K436" s="20"/>
      <c r="L436" s="20"/>
      <c r="M436" s="20"/>
      <c r="N436" s="20"/>
      <c r="O436" s="20"/>
      <c r="P436" s="20"/>
      <c r="Q436" s="20"/>
      <c r="R436" s="20"/>
      <c r="S436" s="20"/>
      <c r="T436" s="20"/>
      <c r="U436" s="20"/>
      <c r="V436" s="20"/>
    </row>
    <row r="437" ht="13.5" customHeight="1" spans="1:22">
      <c r="A437" s="20"/>
      <c r="B437" s="20"/>
      <c r="C437" s="20"/>
      <c r="D437" s="20"/>
      <c r="E437" s="20"/>
      <c r="F437" s="20"/>
      <c r="G437" s="20"/>
      <c r="H437" s="20"/>
      <c r="I437" s="20"/>
      <c r="J437" s="20"/>
      <c r="K437" s="20"/>
      <c r="L437" s="20"/>
      <c r="M437" s="20"/>
      <c r="N437" s="20"/>
      <c r="O437" s="20"/>
      <c r="P437" s="20"/>
      <c r="Q437" s="20"/>
      <c r="R437" s="20"/>
      <c r="S437" s="20"/>
      <c r="T437" s="20"/>
      <c r="U437" s="20"/>
      <c r="V437" s="20"/>
    </row>
    <row r="438" ht="13.5" customHeight="1" spans="1:22">
      <c r="A438" s="20"/>
      <c r="B438" s="20"/>
      <c r="C438" s="20"/>
      <c r="D438" s="20"/>
      <c r="E438" s="20"/>
      <c r="F438" s="20"/>
      <c r="G438" s="20"/>
      <c r="H438" s="20"/>
      <c r="I438" s="20"/>
      <c r="J438" s="20"/>
      <c r="K438" s="20"/>
      <c r="L438" s="20"/>
      <c r="M438" s="20"/>
      <c r="N438" s="20"/>
      <c r="O438" s="20"/>
      <c r="P438" s="20"/>
      <c r="Q438" s="20"/>
      <c r="R438" s="20"/>
      <c r="S438" s="20"/>
      <c r="T438" s="20"/>
      <c r="U438" s="20"/>
      <c r="V438" s="20"/>
    </row>
    <row r="439" ht="13.5" customHeight="1" spans="1:22">
      <c r="A439" s="20"/>
      <c r="B439" s="20"/>
      <c r="C439" s="20"/>
      <c r="D439" s="20"/>
      <c r="E439" s="20"/>
      <c r="F439" s="20"/>
      <c r="G439" s="20"/>
      <c r="H439" s="20"/>
      <c r="I439" s="20"/>
      <c r="J439" s="20"/>
      <c r="K439" s="20"/>
      <c r="L439" s="20"/>
      <c r="M439" s="20"/>
      <c r="N439" s="20"/>
      <c r="O439" s="20"/>
      <c r="P439" s="20"/>
      <c r="Q439" s="20"/>
      <c r="R439" s="20"/>
      <c r="S439" s="20"/>
      <c r="T439" s="20"/>
      <c r="U439" s="20"/>
      <c r="V439" s="20"/>
    </row>
    <row r="440" ht="13.5" customHeight="1" spans="1:22">
      <c r="A440" s="20"/>
      <c r="B440" s="20"/>
      <c r="C440" s="20"/>
      <c r="D440" s="20"/>
      <c r="E440" s="20"/>
      <c r="F440" s="20"/>
      <c r="G440" s="20"/>
      <c r="H440" s="20"/>
      <c r="I440" s="20"/>
      <c r="J440" s="20"/>
      <c r="K440" s="20"/>
      <c r="L440" s="20"/>
      <c r="M440" s="20"/>
      <c r="N440" s="20"/>
      <c r="O440" s="20"/>
      <c r="P440" s="20"/>
      <c r="Q440" s="20"/>
      <c r="R440" s="20"/>
      <c r="S440" s="20"/>
      <c r="T440" s="20"/>
      <c r="U440" s="20"/>
      <c r="V440" s="20"/>
    </row>
    <row r="441" ht="13.5" customHeight="1" spans="1:22">
      <c r="A441" s="20"/>
      <c r="B441" s="20"/>
      <c r="C441" s="20"/>
      <c r="D441" s="20"/>
      <c r="E441" s="20"/>
      <c r="F441" s="20"/>
      <c r="G441" s="20"/>
      <c r="H441" s="20"/>
      <c r="I441" s="20"/>
      <c r="J441" s="20"/>
      <c r="K441" s="20"/>
      <c r="L441" s="20"/>
      <c r="M441" s="20"/>
      <c r="N441" s="20"/>
      <c r="O441" s="20"/>
      <c r="P441" s="20"/>
      <c r="Q441" s="20"/>
      <c r="R441" s="20"/>
      <c r="S441" s="20"/>
      <c r="T441" s="20"/>
      <c r="U441" s="20"/>
      <c r="V441" s="20"/>
    </row>
    <row r="442" ht="13.5" customHeight="1" spans="1:22">
      <c r="A442" s="20"/>
      <c r="B442" s="20"/>
      <c r="C442" s="20"/>
      <c r="D442" s="20"/>
      <c r="E442" s="20"/>
      <c r="F442" s="20"/>
      <c r="G442" s="20"/>
      <c r="H442" s="20"/>
      <c r="I442" s="20"/>
      <c r="J442" s="20"/>
      <c r="K442" s="20"/>
      <c r="L442" s="20"/>
      <c r="M442" s="20"/>
      <c r="N442" s="20"/>
      <c r="O442" s="20"/>
      <c r="P442" s="20"/>
      <c r="Q442" s="20"/>
      <c r="R442" s="20"/>
      <c r="S442" s="20"/>
      <c r="T442" s="20"/>
      <c r="U442" s="20"/>
      <c r="V442" s="20"/>
    </row>
    <row r="443" ht="13.5" customHeight="1" spans="1:22">
      <c r="A443" s="20"/>
      <c r="B443" s="20"/>
      <c r="C443" s="20"/>
      <c r="D443" s="20"/>
      <c r="E443" s="20"/>
      <c r="F443" s="20"/>
      <c r="G443" s="20"/>
      <c r="H443" s="20"/>
      <c r="I443" s="20"/>
      <c r="J443" s="20"/>
      <c r="K443" s="20"/>
      <c r="L443" s="20"/>
      <c r="M443" s="20"/>
      <c r="N443" s="20"/>
      <c r="O443" s="20"/>
      <c r="P443" s="20"/>
      <c r="Q443" s="20"/>
      <c r="R443" s="20"/>
      <c r="S443" s="20"/>
      <c r="T443" s="20"/>
      <c r="U443" s="20"/>
      <c r="V443" s="20"/>
    </row>
    <row r="444" ht="13.5" customHeight="1" spans="1:22">
      <c r="A444" s="20"/>
      <c r="B444" s="20"/>
      <c r="C444" s="20"/>
      <c r="D444" s="20"/>
      <c r="E444" s="20"/>
      <c r="F444" s="20"/>
      <c r="G444" s="20"/>
      <c r="H444" s="20"/>
      <c r="I444" s="20"/>
      <c r="J444" s="20"/>
      <c r="K444" s="20"/>
      <c r="L444" s="20"/>
      <c r="M444" s="20"/>
      <c r="N444" s="20"/>
      <c r="O444" s="20"/>
      <c r="P444" s="20"/>
      <c r="Q444" s="20"/>
      <c r="R444" s="20"/>
      <c r="S444" s="20"/>
      <c r="T444" s="20"/>
      <c r="U444" s="20"/>
      <c r="V444" s="20"/>
    </row>
    <row r="445" ht="13.5" customHeight="1" spans="1:22">
      <c r="A445" s="20"/>
      <c r="B445" s="20"/>
      <c r="C445" s="20"/>
      <c r="D445" s="20"/>
      <c r="E445" s="20"/>
      <c r="F445" s="20"/>
      <c r="G445" s="20"/>
      <c r="H445" s="20"/>
      <c r="I445" s="20"/>
      <c r="J445" s="20"/>
      <c r="K445" s="20"/>
      <c r="L445" s="20"/>
      <c r="M445" s="20"/>
      <c r="N445" s="20"/>
      <c r="O445" s="20"/>
      <c r="P445" s="20"/>
      <c r="Q445" s="20"/>
      <c r="R445" s="20"/>
      <c r="S445" s="20"/>
      <c r="T445" s="20"/>
      <c r="U445" s="20"/>
      <c r="V445" s="20"/>
    </row>
    <row r="446" ht="13.5" customHeight="1" spans="1:22">
      <c r="A446" s="20"/>
      <c r="B446" s="20"/>
      <c r="C446" s="20"/>
      <c r="D446" s="20"/>
      <c r="E446" s="20"/>
      <c r="F446" s="20"/>
      <c r="G446" s="20"/>
      <c r="H446" s="20"/>
      <c r="I446" s="20"/>
      <c r="J446" s="20"/>
      <c r="K446" s="20"/>
      <c r="L446" s="20"/>
      <c r="M446" s="20"/>
      <c r="N446" s="20"/>
      <c r="O446" s="20"/>
      <c r="P446" s="20"/>
      <c r="Q446" s="20"/>
      <c r="R446" s="20"/>
      <c r="S446" s="20"/>
      <c r="T446" s="20"/>
      <c r="U446" s="20"/>
      <c r="V446" s="20"/>
    </row>
    <row r="447" ht="13.5" customHeight="1" spans="1:22">
      <c r="A447" s="20"/>
      <c r="B447" s="20"/>
      <c r="C447" s="20"/>
      <c r="D447" s="20"/>
      <c r="E447" s="20"/>
      <c r="F447" s="20"/>
      <c r="G447" s="20"/>
      <c r="H447" s="20"/>
      <c r="I447" s="20"/>
      <c r="J447" s="20"/>
      <c r="K447" s="20"/>
      <c r="L447" s="20"/>
      <c r="M447" s="20"/>
      <c r="N447" s="20"/>
      <c r="O447" s="20"/>
      <c r="P447" s="20"/>
      <c r="Q447" s="20"/>
      <c r="R447" s="20"/>
      <c r="S447" s="20"/>
      <c r="T447" s="20"/>
      <c r="U447" s="20"/>
      <c r="V447" s="20"/>
    </row>
    <row r="448" ht="13.5" customHeight="1" spans="1:22">
      <c r="A448" s="20"/>
      <c r="B448" s="20"/>
      <c r="C448" s="20"/>
      <c r="D448" s="20"/>
      <c r="E448" s="20"/>
      <c r="F448" s="20"/>
      <c r="G448" s="20"/>
      <c r="H448" s="20"/>
      <c r="I448" s="20"/>
      <c r="J448" s="20"/>
      <c r="K448" s="20"/>
      <c r="L448" s="20"/>
      <c r="M448" s="20"/>
      <c r="N448" s="20"/>
      <c r="O448" s="20"/>
      <c r="P448" s="20"/>
      <c r="Q448" s="20"/>
      <c r="R448" s="20"/>
      <c r="S448" s="20"/>
      <c r="T448" s="20"/>
      <c r="U448" s="20"/>
      <c r="V448" s="20"/>
    </row>
    <row r="449" ht="13.5" customHeight="1" spans="1:22">
      <c r="A449" s="20"/>
      <c r="B449" s="20"/>
      <c r="C449" s="20"/>
      <c r="D449" s="20"/>
      <c r="E449" s="20"/>
      <c r="F449" s="20"/>
      <c r="G449" s="20"/>
      <c r="H449" s="20"/>
      <c r="I449" s="20"/>
      <c r="J449" s="20"/>
      <c r="K449" s="20"/>
      <c r="L449" s="20"/>
      <c r="M449" s="20"/>
      <c r="N449" s="20"/>
      <c r="O449" s="20"/>
      <c r="P449" s="20"/>
      <c r="Q449" s="20"/>
      <c r="R449" s="20"/>
      <c r="S449" s="20"/>
      <c r="T449" s="20"/>
      <c r="U449" s="20"/>
      <c r="V449" s="20"/>
    </row>
    <row r="450" ht="13.5" customHeight="1" spans="1:22">
      <c r="A450" s="20"/>
      <c r="B450" s="20"/>
      <c r="C450" s="20"/>
      <c r="D450" s="20"/>
      <c r="E450" s="20"/>
      <c r="F450" s="20"/>
      <c r="G450" s="20"/>
      <c r="H450" s="20"/>
      <c r="I450" s="20"/>
      <c r="J450" s="20"/>
      <c r="K450" s="20"/>
      <c r="L450" s="20"/>
      <c r="M450" s="20"/>
      <c r="N450" s="20"/>
      <c r="O450" s="20"/>
      <c r="P450" s="20"/>
      <c r="Q450" s="20"/>
      <c r="R450" s="20"/>
      <c r="S450" s="20"/>
      <c r="T450" s="20"/>
      <c r="U450" s="20"/>
      <c r="V450" s="20"/>
    </row>
    <row r="451" ht="13.5" customHeight="1" spans="1:22">
      <c r="A451" s="20"/>
      <c r="B451" s="20"/>
      <c r="C451" s="20"/>
      <c r="D451" s="20"/>
      <c r="E451" s="20"/>
      <c r="F451" s="20"/>
      <c r="G451" s="20"/>
      <c r="H451" s="20"/>
      <c r="I451" s="20"/>
      <c r="J451" s="20"/>
      <c r="K451" s="20"/>
      <c r="L451" s="20"/>
      <c r="M451" s="20"/>
      <c r="N451" s="20"/>
      <c r="O451" s="20"/>
      <c r="P451" s="20"/>
      <c r="Q451" s="20"/>
      <c r="R451" s="20"/>
      <c r="S451" s="20"/>
      <c r="T451" s="20"/>
      <c r="U451" s="20"/>
      <c r="V451" s="20"/>
    </row>
    <row r="452" ht="13.5" customHeight="1" spans="1:22">
      <c r="A452" s="20"/>
      <c r="B452" s="20"/>
      <c r="C452" s="20"/>
      <c r="D452" s="20"/>
      <c r="E452" s="20"/>
      <c r="F452" s="20"/>
      <c r="G452" s="20"/>
      <c r="H452" s="20"/>
      <c r="I452" s="20"/>
      <c r="J452" s="20"/>
      <c r="K452" s="20"/>
      <c r="L452" s="20"/>
      <c r="M452" s="20"/>
      <c r="N452" s="20"/>
      <c r="O452" s="20"/>
      <c r="P452" s="20"/>
      <c r="Q452" s="20"/>
      <c r="R452" s="20"/>
      <c r="S452" s="20"/>
      <c r="T452" s="20"/>
      <c r="U452" s="20"/>
      <c r="V452" s="20"/>
    </row>
    <row r="453" ht="13.5" customHeight="1" spans="1:22">
      <c r="A453" s="20"/>
      <c r="B453" s="20"/>
      <c r="C453" s="20"/>
      <c r="D453" s="20"/>
      <c r="E453" s="20"/>
      <c r="F453" s="20"/>
      <c r="G453" s="20"/>
      <c r="H453" s="20"/>
      <c r="I453" s="20"/>
      <c r="J453" s="20"/>
      <c r="K453" s="20"/>
      <c r="L453" s="20"/>
      <c r="M453" s="20"/>
      <c r="N453" s="20"/>
      <c r="O453" s="20"/>
      <c r="P453" s="20"/>
      <c r="Q453" s="20"/>
      <c r="R453" s="20"/>
      <c r="S453" s="20"/>
      <c r="T453" s="20"/>
      <c r="U453" s="20"/>
      <c r="V453" s="20"/>
    </row>
    <row r="454" ht="13.5" customHeight="1" spans="1:22">
      <c r="A454" s="20"/>
      <c r="B454" s="20"/>
      <c r="C454" s="20"/>
      <c r="D454" s="20"/>
      <c r="E454" s="20"/>
      <c r="F454" s="20"/>
      <c r="G454" s="20"/>
      <c r="H454" s="20"/>
      <c r="I454" s="20"/>
      <c r="J454" s="20"/>
      <c r="K454" s="20"/>
      <c r="L454" s="20"/>
      <c r="M454" s="20"/>
      <c r="N454" s="20"/>
      <c r="O454" s="20"/>
      <c r="P454" s="20"/>
      <c r="Q454" s="20"/>
      <c r="R454" s="20"/>
      <c r="S454" s="20"/>
      <c r="T454" s="20"/>
      <c r="U454" s="20"/>
      <c r="V454" s="20"/>
    </row>
    <row r="455" ht="13.5" customHeight="1" spans="1:22">
      <c r="A455" s="20"/>
      <c r="B455" s="20"/>
      <c r="C455" s="20"/>
      <c r="D455" s="20"/>
      <c r="E455" s="20"/>
      <c r="F455" s="20"/>
      <c r="G455" s="20"/>
      <c r="H455" s="20"/>
      <c r="I455" s="20"/>
      <c r="J455" s="20"/>
      <c r="K455" s="20"/>
      <c r="L455" s="20"/>
      <c r="M455" s="20"/>
      <c r="N455" s="20"/>
      <c r="O455" s="20"/>
      <c r="P455" s="20"/>
      <c r="Q455" s="20"/>
      <c r="R455" s="20"/>
      <c r="S455" s="20"/>
      <c r="T455" s="20"/>
      <c r="U455" s="20"/>
      <c r="V455" s="20"/>
    </row>
    <row r="456" ht="13.5" customHeight="1" spans="1:22">
      <c r="A456" s="20"/>
      <c r="B456" s="20"/>
      <c r="C456" s="20"/>
      <c r="D456" s="20"/>
      <c r="E456" s="20"/>
      <c r="F456" s="20"/>
      <c r="G456" s="20"/>
      <c r="H456" s="20"/>
      <c r="I456" s="20"/>
      <c r="J456" s="20"/>
      <c r="K456" s="20"/>
      <c r="L456" s="20"/>
      <c r="M456" s="20"/>
      <c r="N456" s="20"/>
      <c r="O456" s="20"/>
      <c r="P456" s="20"/>
      <c r="Q456" s="20"/>
      <c r="R456" s="20"/>
      <c r="S456" s="20"/>
      <c r="T456" s="20"/>
      <c r="U456" s="20"/>
      <c r="V456" s="20"/>
    </row>
    <row r="457" ht="13.5" customHeight="1" spans="1:22">
      <c r="A457" s="20"/>
      <c r="B457" s="20"/>
      <c r="C457" s="20"/>
      <c r="D457" s="20"/>
      <c r="E457" s="20"/>
      <c r="F457" s="20"/>
      <c r="G457" s="20"/>
      <c r="H457" s="20"/>
      <c r="I457" s="20"/>
      <c r="J457" s="20"/>
      <c r="K457" s="20"/>
      <c r="L457" s="20"/>
      <c r="M457" s="20"/>
      <c r="N457" s="20"/>
      <c r="O457" s="20"/>
      <c r="P457" s="20"/>
      <c r="Q457" s="20"/>
      <c r="R457" s="20"/>
      <c r="S457" s="20"/>
      <c r="T457" s="20"/>
      <c r="U457" s="20"/>
      <c r="V457" s="20"/>
    </row>
    <row r="458" ht="13.5" customHeight="1" spans="1:22">
      <c r="A458" s="20"/>
      <c r="B458" s="20"/>
      <c r="C458" s="20"/>
      <c r="D458" s="20"/>
      <c r="E458" s="20"/>
      <c r="F458" s="20"/>
      <c r="G458" s="20"/>
      <c r="H458" s="20"/>
      <c r="I458" s="20"/>
      <c r="J458" s="20"/>
      <c r="K458" s="20"/>
      <c r="L458" s="20"/>
      <c r="M458" s="20"/>
      <c r="N458" s="20"/>
      <c r="O458" s="20"/>
      <c r="P458" s="20"/>
      <c r="Q458" s="20"/>
      <c r="R458" s="20"/>
      <c r="S458" s="20"/>
      <c r="T458" s="20"/>
      <c r="U458" s="20"/>
      <c r="V458" s="20"/>
    </row>
    <row r="459" ht="13.5" customHeight="1" spans="1:22">
      <c r="A459" s="20"/>
      <c r="B459" s="20"/>
      <c r="C459" s="20"/>
      <c r="D459" s="20"/>
      <c r="E459" s="20"/>
      <c r="F459" s="20"/>
      <c r="G459" s="20"/>
      <c r="H459" s="20"/>
      <c r="I459" s="20"/>
      <c r="J459" s="20"/>
      <c r="K459" s="20"/>
      <c r="L459" s="20"/>
      <c r="M459" s="20"/>
      <c r="N459" s="20"/>
      <c r="O459" s="20"/>
      <c r="P459" s="20"/>
      <c r="Q459" s="20"/>
      <c r="R459" s="20"/>
      <c r="S459" s="20"/>
      <c r="T459" s="20"/>
      <c r="U459" s="20"/>
      <c r="V459" s="20"/>
    </row>
    <row r="460" ht="13.5" customHeight="1" spans="1:22">
      <c r="A460" s="20"/>
      <c r="B460" s="20"/>
      <c r="C460" s="20"/>
      <c r="D460" s="20"/>
      <c r="E460" s="20"/>
      <c r="F460" s="20"/>
      <c r="G460" s="20"/>
      <c r="H460" s="20"/>
      <c r="I460" s="20"/>
      <c r="J460" s="20"/>
      <c r="K460" s="20"/>
      <c r="L460" s="20"/>
      <c r="M460" s="20"/>
      <c r="N460" s="20"/>
      <c r="O460" s="20"/>
      <c r="P460" s="20"/>
      <c r="Q460" s="20"/>
      <c r="R460" s="20"/>
      <c r="S460" s="20"/>
      <c r="T460" s="20"/>
      <c r="U460" s="20"/>
      <c r="V460" s="20"/>
    </row>
    <row r="461" ht="13.5" customHeight="1" spans="1:22">
      <c r="A461" s="20"/>
      <c r="B461" s="20"/>
      <c r="C461" s="20"/>
      <c r="D461" s="20"/>
      <c r="E461" s="20"/>
      <c r="F461" s="20"/>
      <c r="G461" s="20"/>
      <c r="H461" s="20"/>
      <c r="I461" s="20"/>
      <c r="J461" s="20"/>
      <c r="K461" s="20"/>
      <c r="L461" s="20"/>
      <c r="M461" s="20"/>
      <c r="N461" s="20"/>
      <c r="O461" s="20"/>
      <c r="P461" s="20"/>
      <c r="Q461" s="20"/>
      <c r="R461" s="20"/>
      <c r="S461" s="20"/>
      <c r="T461" s="20"/>
      <c r="U461" s="20"/>
      <c r="V461" s="20"/>
    </row>
    <row r="462" ht="13.5" customHeight="1" spans="1:22">
      <c r="A462" s="20"/>
      <c r="B462" s="20"/>
      <c r="C462" s="20"/>
      <c r="D462" s="20"/>
      <c r="E462" s="20"/>
      <c r="F462" s="20"/>
      <c r="G462" s="20"/>
      <c r="H462" s="20"/>
      <c r="I462" s="20"/>
      <c r="J462" s="20"/>
      <c r="K462" s="20"/>
      <c r="L462" s="20"/>
      <c r="M462" s="20"/>
      <c r="N462" s="20"/>
      <c r="O462" s="20"/>
      <c r="P462" s="20"/>
      <c r="Q462" s="20"/>
      <c r="R462" s="20"/>
      <c r="S462" s="20"/>
      <c r="T462" s="20"/>
      <c r="U462" s="20"/>
      <c r="V462" s="20"/>
    </row>
    <row r="463" ht="13.5" customHeight="1" spans="1:22">
      <c r="A463" s="20"/>
      <c r="B463" s="20"/>
      <c r="C463" s="20"/>
      <c r="D463" s="20"/>
      <c r="E463" s="20"/>
      <c r="F463" s="20"/>
      <c r="G463" s="20"/>
      <c r="H463" s="20"/>
      <c r="I463" s="20"/>
      <c r="J463" s="20"/>
      <c r="K463" s="20"/>
      <c r="L463" s="20"/>
      <c r="M463" s="20"/>
      <c r="N463" s="20"/>
      <c r="O463" s="20"/>
      <c r="P463" s="20"/>
      <c r="Q463" s="20"/>
      <c r="R463" s="20"/>
      <c r="S463" s="20"/>
      <c r="T463" s="20"/>
      <c r="U463" s="20"/>
      <c r="V463" s="20"/>
    </row>
    <row r="464" ht="13.5" customHeight="1" spans="1:22">
      <c r="A464" s="20"/>
      <c r="B464" s="20"/>
      <c r="C464" s="20"/>
      <c r="D464" s="20"/>
      <c r="E464" s="20"/>
      <c r="F464" s="20"/>
      <c r="G464" s="20"/>
      <c r="H464" s="20"/>
      <c r="I464" s="20"/>
      <c r="J464" s="20"/>
      <c r="K464" s="20"/>
      <c r="L464" s="20"/>
      <c r="M464" s="20"/>
      <c r="N464" s="20"/>
      <c r="O464" s="20"/>
      <c r="P464" s="20"/>
      <c r="Q464" s="20"/>
      <c r="R464" s="20"/>
      <c r="S464" s="20"/>
      <c r="T464" s="20"/>
      <c r="U464" s="20"/>
      <c r="V464" s="20"/>
    </row>
    <row r="465" ht="13.5" customHeight="1" spans="1:22">
      <c r="A465" s="20"/>
      <c r="B465" s="20"/>
      <c r="C465" s="20"/>
      <c r="D465" s="20"/>
      <c r="E465" s="20"/>
      <c r="F465" s="20"/>
      <c r="G465" s="20"/>
      <c r="H465" s="20"/>
      <c r="I465" s="20"/>
      <c r="J465" s="20"/>
      <c r="K465" s="20"/>
      <c r="L465" s="20"/>
      <c r="M465" s="20"/>
      <c r="N465" s="20"/>
      <c r="O465" s="20"/>
      <c r="P465" s="20"/>
      <c r="Q465" s="20"/>
      <c r="R465" s="20"/>
      <c r="S465" s="20"/>
      <c r="T465" s="20"/>
      <c r="U465" s="20"/>
      <c r="V465" s="20"/>
    </row>
    <row r="466" ht="13.5" customHeight="1" spans="1:22">
      <c r="A466" s="20"/>
      <c r="B466" s="20"/>
      <c r="C466" s="20"/>
      <c r="D466" s="20"/>
      <c r="E466" s="20"/>
      <c r="F466" s="20"/>
      <c r="G466" s="20"/>
      <c r="H466" s="20"/>
      <c r="I466" s="20"/>
      <c r="J466" s="20"/>
      <c r="K466" s="20"/>
      <c r="L466" s="20"/>
      <c r="M466" s="20"/>
      <c r="N466" s="20"/>
      <c r="O466" s="20"/>
      <c r="P466" s="20"/>
      <c r="Q466" s="20"/>
      <c r="R466" s="20"/>
      <c r="S466" s="20"/>
      <c r="T466" s="20"/>
      <c r="U466" s="20"/>
      <c r="V466" s="20"/>
    </row>
    <row r="467" ht="13.5" customHeight="1" spans="1:22">
      <c r="A467" s="20"/>
      <c r="B467" s="20"/>
      <c r="C467" s="20"/>
      <c r="D467" s="20"/>
      <c r="E467" s="20"/>
      <c r="F467" s="20"/>
      <c r="G467" s="20"/>
      <c r="H467" s="20"/>
      <c r="I467" s="20"/>
      <c r="J467" s="20"/>
      <c r="K467" s="20"/>
      <c r="L467" s="20"/>
      <c r="M467" s="20"/>
      <c r="N467" s="20"/>
      <c r="O467" s="20"/>
      <c r="P467" s="20"/>
      <c r="Q467" s="20"/>
      <c r="R467" s="20"/>
      <c r="S467" s="20"/>
      <c r="T467" s="20"/>
      <c r="U467" s="20"/>
      <c r="V467" s="20"/>
    </row>
    <row r="468" ht="13.5" customHeight="1" spans="1:22">
      <c r="A468" s="20"/>
      <c r="B468" s="20"/>
      <c r="C468" s="20"/>
      <c r="D468" s="20"/>
      <c r="E468" s="20"/>
      <c r="F468" s="20"/>
      <c r="G468" s="20"/>
      <c r="H468" s="20"/>
      <c r="I468" s="20"/>
      <c r="J468" s="20"/>
      <c r="K468" s="20"/>
      <c r="L468" s="20"/>
      <c r="M468" s="20"/>
      <c r="N468" s="20"/>
      <c r="O468" s="20"/>
      <c r="P468" s="20"/>
      <c r="Q468" s="20"/>
      <c r="R468" s="20"/>
      <c r="S468" s="20"/>
      <c r="T468" s="20"/>
      <c r="U468" s="20"/>
      <c r="V468" s="20"/>
    </row>
    <row r="469" ht="13.5" customHeight="1" spans="1:22">
      <c r="A469" s="20"/>
      <c r="B469" s="20"/>
      <c r="C469" s="20"/>
      <c r="D469" s="20"/>
      <c r="E469" s="20"/>
      <c r="F469" s="20"/>
      <c r="G469" s="20"/>
      <c r="H469" s="20"/>
      <c r="I469" s="20"/>
      <c r="J469" s="20"/>
      <c r="K469" s="20"/>
      <c r="L469" s="20"/>
      <c r="M469" s="20"/>
      <c r="N469" s="20"/>
      <c r="O469" s="20"/>
      <c r="P469" s="20"/>
      <c r="Q469" s="20"/>
      <c r="R469" s="20"/>
      <c r="S469" s="20"/>
      <c r="T469" s="20"/>
      <c r="U469" s="20"/>
      <c r="V469" s="20"/>
    </row>
    <row r="470" ht="13.5" customHeight="1" spans="1:22">
      <c r="A470" s="20"/>
      <c r="B470" s="20"/>
      <c r="C470" s="20"/>
      <c r="D470" s="20"/>
      <c r="E470" s="20"/>
      <c r="F470" s="20"/>
      <c r="G470" s="20"/>
      <c r="H470" s="20"/>
      <c r="I470" s="20"/>
      <c r="J470" s="20"/>
      <c r="K470" s="20"/>
      <c r="L470" s="20"/>
      <c r="M470" s="20"/>
      <c r="N470" s="20"/>
      <c r="O470" s="20"/>
      <c r="P470" s="20"/>
      <c r="Q470" s="20"/>
      <c r="R470" s="20"/>
      <c r="S470" s="20"/>
      <c r="T470" s="20"/>
      <c r="U470" s="20"/>
      <c r="V470" s="20"/>
    </row>
    <row r="471" ht="13.5" customHeight="1" spans="1:22">
      <c r="A471" s="20"/>
      <c r="B471" s="20"/>
      <c r="C471" s="20"/>
      <c r="D471" s="20"/>
      <c r="E471" s="20"/>
      <c r="F471" s="20"/>
      <c r="G471" s="20"/>
      <c r="H471" s="20"/>
      <c r="I471" s="20"/>
      <c r="J471" s="20"/>
      <c r="K471" s="20"/>
      <c r="L471" s="20"/>
      <c r="M471" s="20"/>
      <c r="N471" s="20"/>
      <c r="O471" s="20"/>
      <c r="P471" s="20"/>
      <c r="Q471" s="20"/>
      <c r="R471" s="20"/>
      <c r="S471" s="20"/>
      <c r="T471" s="20"/>
      <c r="U471" s="20"/>
      <c r="V471" s="20"/>
    </row>
    <row r="472" ht="13.5" customHeight="1" spans="1:22">
      <c r="A472" s="20"/>
      <c r="B472" s="20"/>
      <c r="C472" s="20"/>
      <c r="D472" s="20"/>
      <c r="E472" s="20"/>
      <c r="F472" s="20"/>
      <c r="G472" s="20"/>
      <c r="H472" s="20"/>
      <c r="I472" s="20"/>
      <c r="J472" s="20"/>
      <c r="K472" s="20"/>
      <c r="L472" s="20"/>
      <c r="M472" s="20"/>
      <c r="N472" s="20"/>
      <c r="O472" s="20"/>
      <c r="P472" s="20"/>
      <c r="Q472" s="20"/>
      <c r="R472" s="20"/>
      <c r="S472" s="20"/>
      <c r="T472" s="20"/>
      <c r="U472" s="20"/>
      <c r="V472" s="20"/>
    </row>
    <row r="473" ht="13.5" customHeight="1" spans="1:22">
      <c r="A473" s="20"/>
      <c r="B473" s="20"/>
      <c r="C473" s="20"/>
      <c r="D473" s="20"/>
      <c r="E473" s="20"/>
      <c r="F473" s="20"/>
      <c r="G473" s="20"/>
      <c r="H473" s="20"/>
      <c r="I473" s="20"/>
      <c r="J473" s="20"/>
      <c r="K473" s="20"/>
      <c r="L473" s="20"/>
      <c r="M473" s="20"/>
      <c r="N473" s="20"/>
      <c r="O473" s="20"/>
      <c r="P473" s="20"/>
      <c r="Q473" s="20"/>
      <c r="R473" s="20"/>
      <c r="S473" s="20"/>
      <c r="T473" s="20"/>
      <c r="U473" s="20"/>
      <c r="V473" s="20"/>
    </row>
    <row r="474" ht="13.5" customHeight="1" spans="1:22">
      <c r="A474" s="20"/>
      <c r="B474" s="20"/>
      <c r="C474" s="20"/>
      <c r="D474" s="20"/>
      <c r="E474" s="20"/>
      <c r="F474" s="20"/>
      <c r="G474" s="20"/>
      <c r="H474" s="20"/>
      <c r="I474" s="20"/>
      <c r="J474" s="20"/>
      <c r="K474" s="20"/>
      <c r="L474" s="20"/>
      <c r="M474" s="20"/>
      <c r="N474" s="20"/>
      <c r="O474" s="20"/>
      <c r="P474" s="20"/>
      <c r="Q474" s="20"/>
      <c r="R474" s="20"/>
      <c r="S474" s="20"/>
      <c r="T474" s="20"/>
      <c r="U474" s="20"/>
      <c r="V474" s="20"/>
    </row>
    <row r="475" ht="13.5" customHeight="1" spans="1:22">
      <c r="A475" s="20"/>
      <c r="B475" s="20"/>
      <c r="C475" s="20"/>
      <c r="D475" s="20"/>
      <c r="E475" s="20"/>
      <c r="F475" s="20"/>
      <c r="G475" s="20"/>
      <c r="H475" s="20"/>
      <c r="I475" s="20"/>
      <c r="J475" s="20"/>
      <c r="K475" s="20"/>
      <c r="L475" s="20"/>
      <c r="M475" s="20"/>
      <c r="N475" s="20"/>
      <c r="O475" s="20"/>
      <c r="P475" s="20"/>
      <c r="Q475" s="20"/>
      <c r="R475" s="20"/>
      <c r="S475" s="20"/>
      <c r="T475" s="20"/>
      <c r="U475" s="20"/>
      <c r="V475" s="20"/>
    </row>
    <row r="476" ht="13.5" customHeight="1" spans="1:22">
      <c r="A476" s="20"/>
      <c r="B476" s="20"/>
      <c r="C476" s="20"/>
      <c r="D476" s="20"/>
      <c r="E476" s="20"/>
      <c r="F476" s="20"/>
      <c r="G476" s="20"/>
      <c r="H476" s="20"/>
      <c r="I476" s="20"/>
      <c r="J476" s="20"/>
      <c r="K476" s="20"/>
      <c r="L476" s="20"/>
      <c r="M476" s="20"/>
      <c r="N476" s="20"/>
      <c r="O476" s="20"/>
      <c r="P476" s="20"/>
      <c r="Q476" s="20"/>
      <c r="R476" s="20"/>
      <c r="S476" s="20"/>
      <c r="T476" s="20"/>
      <c r="U476" s="20"/>
      <c r="V476" s="20"/>
    </row>
    <row r="477" ht="13.5" customHeight="1" spans="1:22">
      <c r="A477" s="20"/>
      <c r="B477" s="20"/>
      <c r="C477" s="20"/>
      <c r="D477" s="20"/>
      <c r="E477" s="20"/>
      <c r="F477" s="20"/>
      <c r="G477" s="20"/>
      <c r="H477" s="20"/>
      <c r="I477" s="20"/>
      <c r="J477" s="20"/>
      <c r="K477" s="20"/>
      <c r="L477" s="20"/>
      <c r="M477" s="20"/>
      <c r="N477" s="20"/>
      <c r="O477" s="20"/>
      <c r="P477" s="20"/>
      <c r="Q477" s="20"/>
      <c r="R477" s="20"/>
      <c r="S477" s="20"/>
      <c r="T477" s="20"/>
      <c r="U477" s="20"/>
      <c r="V477" s="20"/>
    </row>
    <row r="478" ht="13.5" customHeight="1" spans="1:22">
      <c r="A478" s="20"/>
      <c r="B478" s="20"/>
      <c r="C478" s="20"/>
      <c r="D478" s="20"/>
      <c r="E478" s="20"/>
      <c r="F478" s="20"/>
      <c r="G478" s="20"/>
      <c r="H478" s="20"/>
      <c r="I478" s="20"/>
      <c r="J478" s="20"/>
      <c r="K478" s="20"/>
      <c r="L478" s="20"/>
      <c r="M478" s="20"/>
      <c r="N478" s="20"/>
      <c r="O478" s="20"/>
      <c r="P478" s="20"/>
      <c r="Q478" s="20"/>
      <c r="R478" s="20"/>
      <c r="S478" s="20"/>
      <c r="T478" s="20"/>
      <c r="U478" s="20"/>
      <c r="V478" s="20"/>
    </row>
    <row r="479" ht="13.5" customHeight="1" spans="1:22">
      <c r="A479" s="20"/>
      <c r="B479" s="20"/>
      <c r="C479" s="20"/>
      <c r="D479" s="20"/>
      <c r="E479" s="20"/>
      <c r="F479" s="20"/>
      <c r="G479" s="20"/>
      <c r="H479" s="20"/>
      <c r="I479" s="20"/>
      <c r="J479" s="20"/>
      <c r="K479" s="20"/>
      <c r="L479" s="20"/>
      <c r="M479" s="20"/>
      <c r="N479" s="20"/>
      <c r="O479" s="20"/>
      <c r="P479" s="20"/>
      <c r="Q479" s="20"/>
      <c r="R479" s="20"/>
      <c r="S479" s="20"/>
      <c r="T479" s="20"/>
      <c r="U479" s="20"/>
      <c r="V479" s="20"/>
    </row>
    <row r="480" ht="13.5" customHeight="1" spans="1:22">
      <c r="A480" s="20"/>
      <c r="B480" s="20"/>
      <c r="C480" s="20"/>
      <c r="D480" s="20"/>
      <c r="E480" s="20"/>
      <c r="F480" s="20"/>
      <c r="G480" s="20"/>
      <c r="H480" s="20"/>
      <c r="I480" s="20"/>
      <c r="J480" s="20"/>
      <c r="K480" s="20"/>
      <c r="L480" s="20"/>
      <c r="M480" s="20"/>
      <c r="N480" s="20"/>
      <c r="O480" s="20"/>
      <c r="P480" s="20"/>
      <c r="Q480" s="20"/>
      <c r="R480" s="20"/>
      <c r="S480" s="20"/>
      <c r="T480" s="20"/>
      <c r="U480" s="20"/>
      <c r="V480" s="20"/>
    </row>
    <row r="481" ht="13.5" customHeight="1" spans="1:22">
      <c r="A481" s="20"/>
      <c r="B481" s="20"/>
      <c r="C481" s="20"/>
      <c r="D481" s="20"/>
      <c r="E481" s="20"/>
      <c r="F481" s="20"/>
      <c r="G481" s="20"/>
      <c r="H481" s="20"/>
      <c r="I481" s="20"/>
      <c r="J481" s="20"/>
      <c r="K481" s="20"/>
      <c r="L481" s="20"/>
      <c r="M481" s="20"/>
      <c r="N481" s="20"/>
      <c r="O481" s="20"/>
      <c r="P481" s="20"/>
      <c r="Q481" s="20"/>
      <c r="R481" s="20"/>
      <c r="S481" s="20"/>
      <c r="T481" s="20"/>
      <c r="U481" s="20"/>
      <c r="V481" s="20"/>
    </row>
    <row r="482" ht="13.5" customHeight="1" spans="1:22">
      <c r="A482" s="20"/>
      <c r="B482" s="20"/>
      <c r="C482" s="20"/>
      <c r="D482" s="20"/>
      <c r="E482" s="20"/>
      <c r="F482" s="20"/>
      <c r="G482" s="20"/>
      <c r="H482" s="20"/>
      <c r="I482" s="20"/>
      <c r="J482" s="20"/>
      <c r="K482" s="20"/>
      <c r="L482" s="20"/>
      <c r="M482" s="20"/>
      <c r="N482" s="20"/>
      <c r="O482" s="20"/>
      <c r="P482" s="20"/>
      <c r="Q482" s="20"/>
      <c r="R482" s="20"/>
      <c r="S482" s="20"/>
      <c r="T482" s="20"/>
      <c r="U482" s="20"/>
      <c r="V482" s="20"/>
    </row>
    <row r="483" ht="13.5" customHeight="1" spans="1:22">
      <c r="A483" s="20"/>
      <c r="B483" s="20"/>
      <c r="C483" s="20"/>
      <c r="D483" s="20"/>
      <c r="E483" s="20"/>
      <c r="F483" s="20"/>
      <c r="G483" s="20"/>
      <c r="H483" s="20"/>
      <c r="I483" s="20"/>
      <c r="J483" s="20"/>
      <c r="K483" s="20"/>
      <c r="L483" s="20"/>
      <c r="M483" s="20"/>
      <c r="N483" s="20"/>
      <c r="O483" s="20"/>
      <c r="P483" s="20"/>
      <c r="Q483" s="20"/>
      <c r="R483" s="20"/>
      <c r="S483" s="20"/>
      <c r="T483" s="20"/>
      <c r="U483" s="20"/>
      <c r="V483" s="20"/>
    </row>
    <row r="484" ht="13.5" customHeight="1" spans="1:22">
      <c r="A484" s="20"/>
      <c r="B484" s="20"/>
      <c r="C484" s="20"/>
      <c r="D484" s="20"/>
      <c r="E484" s="20"/>
      <c r="F484" s="20"/>
      <c r="G484" s="20"/>
      <c r="H484" s="20"/>
      <c r="I484" s="20"/>
      <c r="J484" s="20"/>
      <c r="K484" s="20"/>
      <c r="L484" s="20"/>
      <c r="M484" s="20"/>
      <c r="N484" s="20"/>
      <c r="O484" s="20"/>
      <c r="P484" s="20"/>
      <c r="Q484" s="20"/>
      <c r="R484" s="20"/>
      <c r="S484" s="20"/>
      <c r="T484" s="20"/>
      <c r="U484" s="20"/>
      <c r="V484" s="20"/>
    </row>
    <row r="485" ht="13.5" customHeight="1" spans="1:22">
      <c r="A485" s="20"/>
      <c r="B485" s="20"/>
      <c r="C485" s="20"/>
      <c r="D485" s="20"/>
      <c r="E485" s="20"/>
      <c r="F485" s="20"/>
      <c r="G485" s="20"/>
      <c r="H485" s="20"/>
      <c r="I485" s="20"/>
      <c r="J485" s="20"/>
      <c r="K485" s="20"/>
      <c r="L485" s="20"/>
      <c r="M485" s="20"/>
      <c r="N485" s="20"/>
      <c r="O485" s="20"/>
      <c r="P485" s="20"/>
      <c r="Q485" s="20"/>
      <c r="R485" s="20"/>
      <c r="S485" s="20"/>
      <c r="T485" s="20"/>
      <c r="U485" s="20"/>
      <c r="V485" s="20"/>
    </row>
    <row r="486" ht="13.5" customHeight="1" spans="1:22">
      <c r="A486" s="20"/>
      <c r="B486" s="20"/>
      <c r="C486" s="20"/>
      <c r="D486" s="20"/>
      <c r="E486" s="20"/>
      <c r="F486" s="20"/>
      <c r="G486" s="20"/>
      <c r="H486" s="20"/>
      <c r="I486" s="20"/>
      <c r="J486" s="20"/>
      <c r="K486" s="20"/>
      <c r="L486" s="20"/>
      <c r="M486" s="20"/>
      <c r="N486" s="20"/>
      <c r="O486" s="20"/>
      <c r="P486" s="20"/>
      <c r="Q486" s="20"/>
      <c r="R486" s="20"/>
      <c r="S486" s="20"/>
      <c r="T486" s="20"/>
      <c r="U486" s="20"/>
      <c r="V486" s="20"/>
    </row>
    <row r="487" ht="13.5" customHeight="1" spans="1:22">
      <c r="A487" s="20"/>
      <c r="B487" s="20"/>
      <c r="C487" s="20"/>
      <c r="D487" s="20"/>
      <c r="E487" s="20"/>
      <c r="F487" s="20"/>
      <c r="G487" s="20"/>
      <c r="H487" s="20"/>
      <c r="I487" s="20"/>
      <c r="J487" s="20"/>
      <c r="K487" s="20"/>
      <c r="L487" s="20"/>
      <c r="M487" s="20"/>
      <c r="N487" s="20"/>
      <c r="O487" s="20"/>
      <c r="P487" s="20"/>
      <c r="Q487" s="20"/>
      <c r="R487" s="20"/>
      <c r="S487" s="20"/>
      <c r="T487" s="20"/>
      <c r="U487" s="20"/>
      <c r="V487" s="20"/>
    </row>
    <row r="488" ht="13.5" customHeight="1" spans="1:22">
      <c r="A488" s="20"/>
      <c r="B488" s="20"/>
      <c r="C488" s="20"/>
      <c r="D488" s="20"/>
      <c r="E488" s="20"/>
      <c r="F488" s="20"/>
      <c r="G488" s="20"/>
      <c r="H488" s="20"/>
      <c r="I488" s="20"/>
      <c r="J488" s="20"/>
      <c r="K488" s="20"/>
      <c r="L488" s="20"/>
      <c r="M488" s="20"/>
      <c r="N488" s="20"/>
      <c r="O488" s="20"/>
      <c r="P488" s="20"/>
      <c r="Q488" s="20"/>
      <c r="R488" s="20"/>
      <c r="S488" s="20"/>
      <c r="T488" s="20"/>
      <c r="U488" s="20"/>
      <c r="V488" s="20"/>
    </row>
    <row r="489" ht="13.5" customHeight="1" spans="1:22">
      <c r="A489" s="20"/>
      <c r="B489" s="20"/>
      <c r="C489" s="20"/>
      <c r="D489" s="20"/>
      <c r="E489" s="20"/>
      <c r="F489" s="20"/>
      <c r="G489" s="20"/>
      <c r="H489" s="20"/>
      <c r="I489" s="20"/>
      <c r="J489" s="20"/>
      <c r="K489" s="20"/>
      <c r="L489" s="20"/>
      <c r="M489" s="20"/>
      <c r="N489" s="20"/>
      <c r="O489" s="20"/>
      <c r="P489" s="20"/>
      <c r="Q489" s="20"/>
      <c r="R489" s="20"/>
      <c r="S489" s="20"/>
      <c r="T489" s="20"/>
      <c r="U489" s="20"/>
      <c r="V489" s="20"/>
    </row>
    <row r="490" ht="13.5" customHeight="1" spans="1:22">
      <c r="A490" s="20"/>
      <c r="B490" s="20"/>
      <c r="C490" s="20"/>
      <c r="D490" s="20"/>
      <c r="E490" s="20"/>
      <c r="F490" s="20"/>
      <c r="G490" s="20"/>
      <c r="H490" s="20"/>
      <c r="I490" s="20"/>
      <c r="J490" s="20"/>
      <c r="K490" s="20"/>
      <c r="L490" s="20"/>
      <c r="M490" s="20"/>
      <c r="N490" s="20"/>
      <c r="O490" s="20"/>
      <c r="P490" s="20"/>
      <c r="Q490" s="20"/>
      <c r="R490" s="20"/>
      <c r="S490" s="20"/>
      <c r="T490" s="20"/>
      <c r="U490" s="20"/>
      <c r="V490" s="20"/>
    </row>
    <row r="491" ht="13.5" customHeight="1" spans="1:22">
      <c r="A491" s="20"/>
      <c r="B491" s="20"/>
      <c r="C491" s="20"/>
      <c r="D491" s="20"/>
      <c r="E491" s="20"/>
      <c r="F491" s="20"/>
      <c r="G491" s="20"/>
      <c r="H491" s="20"/>
      <c r="I491" s="20"/>
      <c r="J491" s="20"/>
      <c r="K491" s="20"/>
      <c r="L491" s="20"/>
      <c r="M491" s="20"/>
      <c r="N491" s="20"/>
      <c r="O491" s="20"/>
      <c r="P491" s="20"/>
      <c r="Q491" s="20"/>
      <c r="R491" s="20"/>
      <c r="S491" s="20"/>
      <c r="T491" s="20"/>
      <c r="U491" s="20"/>
      <c r="V491" s="20"/>
    </row>
    <row r="492" ht="13.5" customHeight="1" spans="1:22">
      <c r="A492" s="20"/>
      <c r="B492" s="20"/>
      <c r="C492" s="20"/>
      <c r="D492" s="20"/>
      <c r="E492" s="20"/>
      <c r="F492" s="20"/>
      <c r="G492" s="20"/>
      <c r="H492" s="20"/>
      <c r="I492" s="20"/>
      <c r="J492" s="20"/>
      <c r="K492" s="20"/>
      <c r="L492" s="20"/>
      <c r="M492" s="20"/>
      <c r="N492" s="20"/>
      <c r="O492" s="20"/>
      <c r="P492" s="20"/>
      <c r="Q492" s="20"/>
      <c r="R492" s="20"/>
      <c r="S492" s="20"/>
      <c r="T492" s="20"/>
      <c r="U492" s="20"/>
      <c r="V492" s="20"/>
    </row>
    <row r="493" ht="13.5" customHeight="1" spans="1:22">
      <c r="A493" s="20"/>
      <c r="B493" s="20"/>
      <c r="C493" s="20"/>
      <c r="D493" s="20"/>
      <c r="E493" s="20"/>
      <c r="F493" s="20"/>
      <c r="G493" s="20"/>
      <c r="H493" s="20"/>
      <c r="I493" s="20"/>
      <c r="J493" s="20"/>
      <c r="K493" s="20"/>
      <c r="L493" s="20"/>
      <c r="M493" s="20"/>
      <c r="N493" s="20"/>
      <c r="O493" s="20"/>
      <c r="P493" s="20"/>
      <c r="Q493" s="20"/>
      <c r="R493" s="20"/>
      <c r="S493" s="20"/>
      <c r="T493" s="20"/>
      <c r="U493" s="20"/>
      <c r="V493" s="20"/>
    </row>
    <row r="494" ht="13.5" customHeight="1" spans="1:22">
      <c r="A494" s="20"/>
      <c r="B494" s="20"/>
      <c r="C494" s="20"/>
      <c r="D494" s="20"/>
      <c r="E494" s="20"/>
      <c r="F494" s="20"/>
      <c r="G494" s="20"/>
      <c r="H494" s="20"/>
      <c r="I494" s="20"/>
      <c r="J494" s="20"/>
      <c r="K494" s="20"/>
      <c r="L494" s="20"/>
      <c r="M494" s="20"/>
      <c r="N494" s="20"/>
      <c r="O494" s="20"/>
      <c r="P494" s="20"/>
      <c r="Q494" s="20"/>
      <c r="R494" s="20"/>
      <c r="S494" s="20"/>
      <c r="T494" s="20"/>
      <c r="U494" s="20"/>
      <c r="V494" s="20"/>
    </row>
    <row r="495" ht="13.5" customHeight="1" spans="1:22">
      <c r="A495" s="20"/>
      <c r="B495" s="20"/>
      <c r="C495" s="20"/>
      <c r="D495" s="20"/>
      <c r="E495" s="20"/>
      <c r="F495" s="20"/>
      <c r="G495" s="20"/>
      <c r="H495" s="20"/>
      <c r="I495" s="20"/>
      <c r="J495" s="20"/>
      <c r="K495" s="20"/>
      <c r="L495" s="20"/>
      <c r="M495" s="20"/>
      <c r="N495" s="20"/>
      <c r="O495" s="20"/>
      <c r="P495" s="20"/>
      <c r="Q495" s="20"/>
      <c r="R495" s="20"/>
      <c r="S495" s="20"/>
      <c r="T495" s="20"/>
      <c r="U495" s="20"/>
      <c r="V495" s="20"/>
    </row>
    <row r="496" ht="13.5" customHeight="1" spans="1:22">
      <c r="A496" s="20"/>
      <c r="B496" s="20"/>
      <c r="C496" s="20"/>
      <c r="D496" s="20"/>
      <c r="E496" s="20"/>
      <c r="F496" s="20"/>
      <c r="G496" s="20"/>
      <c r="H496" s="20"/>
      <c r="I496" s="20"/>
      <c r="J496" s="20"/>
      <c r="K496" s="20"/>
      <c r="L496" s="20"/>
      <c r="M496" s="20"/>
      <c r="N496" s="20"/>
      <c r="O496" s="20"/>
      <c r="P496" s="20"/>
      <c r="Q496" s="20"/>
      <c r="R496" s="20"/>
      <c r="S496" s="20"/>
      <c r="T496" s="20"/>
      <c r="U496" s="20"/>
      <c r="V496" s="20"/>
    </row>
    <row r="497" ht="13.5" customHeight="1" spans="1:22">
      <c r="A497" s="20"/>
      <c r="B497" s="20"/>
      <c r="C497" s="20"/>
      <c r="D497" s="20"/>
      <c r="E497" s="20"/>
      <c r="F497" s="20"/>
      <c r="G497" s="20"/>
      <c r="H497" s="20"/>
      <c r="I497" s="20"/>
      <c r="J497" s="20"/>
      <c r="K497" s="20"/>
      <c r="L497" s="20"/>
      <c r="M497" s="20"/>
      <c r="N497" s="20"/>
      <c r="O497" s="20"/>
      <c r="P497" s="20"/>
      <c r="Q497" s="20"/>
      <c r="R497" s="20"/>
      <c r="S497" s="20"/>
      <c r="T497" s="20"/>
      <c r="U497" s="20"/>
      <c r="V497" s="20"/>
    </row>
    <row r="498" ht="13.5" customHeight="1" spans="1:22">
      <c r="A498" s="20"/>
      <c r="B498" s="20"/>
      <c r="C498" s="20"/>
      <c r="D498" s="20"/>
      <c r="E498" s="20"/>
      <c r="F498" s="20"/>
      <c r="G498" s="20"/>
      <c r="H498" s="20"/>
      <c r="I498" s="20"/>
      <c r="J498" s="20"/>
      <c r="K498" s="20"/>
      <c r="L498" s="20"/>
      <c r="M498" s="20"/>
      <c r="N498" s="20"/>
      <c r="O498" s="20"/>
      <c r="P498" s="20"/>
      <c r="Q498" s="20"/>
      <c r="R498" s="20"/>
      <c r="S498" s="20"/>
      <c r="T498" s="20"/>
      <c r="U498" s="20"/>
      <c r="V498" s="20"/>
    </row>
    <row r="499" ht="13.5" customHeight="1" spans="1:22">
      <c r="A499" s="20"/>
      <c r="B499" s="20"/>
      <c r="C499" s="20"/>
      <c r="D499" s="20"/>
      <c r="E499" s="20"/>
      <c r="F499" s="20"/>
      <c r="G499" s="20"/>
      <c r="H499" s="20"/>
      <c r="I499" s="20"/>
      <c r="J499" s="20"/>
      <c r="K499" s="20"/>
      <c r="L499" s="20"/>
      <c r="M499" s="20"/>
      <c r="N499" s="20"/>
      <c r="O499" s="20"/>
      <c r="P499" s="20"/>
      <c r="Q499" s="20"/>
      <c r="R499" s="20"/>
      <c r="S499" s="20"/>
      <c r="T499" s="20"/>
      <c r="U499" s="20"/>
      <c r="V499" s="20"/>
    </row>
    <row r="500" ht="13.5" customHeight="1" spans="1:22">
      <c r="A500" s="20"/>
      <c r="B500" s="20"/>
      <c r="C500" s="20"/>
      <c r="D500" s="20"/>
      <c r="E500" s="20"/>
      <c r="F500" s="20"/>
      <c r="G500" s="20"/>
      <c r="H500" s="20"/>
      <c r="I500" s="20"/>
      <c r="J500" s="20"/>
      <c r="K500" s="20"/>
      <c r="L500" s="20"/>
      <c r="M500" s="20"/>
      <c r="N500" s="20"/>
      <c r="O500" s="20"/>
      <c r="P500" s="20"/>
      <c r="Q500" s="20"/>
      <c r="R500" s="20"/>
      <c r="S500" s="20"/>
      <c r="T500" s="20"/>
      <c r="U500" s="20"/>
      <c r="V500" s="20"/>
    </row>
    <row r="501" ht="13.5" customHeight="1" spans="1:22">
      <c r="A501" s="20"/>
      <c r="B501" s="20"/>
      <c r="C501" s="20"/>
      <c r="D501" s="20"/>
      <c r="E501" s="20"/>
      <c r="F501" s="20"/>
      <c r="G501" s="20"/>
      <c r="H501" s="20"/>
      <c r="I501" s="20"/>
      <c r="J501" s="20"/>
      <c r="K501" s="20"/>
      <c r="L501" s="20"/>
      <c r="M501" s="20"/>
      <c r="N501" s="20"/>
      <c r="O501" s="20"/>
      <c r="P501" s="20"/>
      <c r="Q501" s="20"/>
      <c r="R501" s="20"/>
      <c r="S501" s="20"/>
      <c r="T501" s="20"/>
      <c r="U501" s="20"/>
      <c r="V501" s="20"/>
    </row>
    <row r="502" ht="13.5" customHeight="1" spans="1:22">
      <c r="A502" s="20"/>
      <c r="B502" s="20"/>
      <c r="C502" s="20"/>
      <c r="D502" s="20"/>
      <c r="E502" s="20"/>
      <c r="F502" s="20"/>
      <c r="G502" s="20"/>
      <c r="H502" s="20"/>
      <c r="I502" s="20"/>
      <c r="J502" s="20"/>
      <c r="K502" s="20"/>
      <c r="L502" s="20"/>
      <c r="M502" s="20"/>
      <c r="N502" s="20"/>
      <c r="O502" s="20"/>
      <c r="P502" s="20"/>
      <c r="Q502" s="20"/>
      <c r="R502" s="20"/>
      <c r="S502" s="20"/>
      <c r="T502" s="20"/>
      <c r="U502" s="20"/>
      <c r="V502" s="20"/>
    </row>
    <row r="503" ht="13.5" customHeight="1" spans="1:22">
      <c r="A503" s="20"/>
      <c r="B503" s="20"/>
      <c r="C503" s="20"/>
      <c r="D503" s="20"/>
      <c r="E503" s="20"/>
      <c r="F503" s="20"/>
      <c r="G503" s="20"/>
      <c r="H503" s="20"/>
      <c r="I503" s="20"/>
      <c r="J503" s="20"/>
      <c r="K503" s="20"/>
      <c r="L503" s="20"/>
      <c r="M503" s="20"/>
      <c r="N503" s="20"/>
      <c r="O503" s="20"/>
      <c r="P503" s="20"/>
      <c r="Q503" s="20"/>
      <c r="R503" s="20"/>
      <c r="S503" s="20"/>
      <c r="T503" s="20"/>
      <c r="U503" s="20"/>
      <c r="V503" s="20"/>
    </row>
    <row r="504" ht="13.5" customHeight="1" spans="1:22">
      <c r="A504" s="20"/>
      <c r="B504" s="20"/>
      <c r="C504" s="20"/>
      <c r="D504" s="20"/>
      <c r="E504" s="20"/>
      <c r="F504" s="20"/>
      <c r="G504" s="20"/>
      <c r="H504" s="20"/>
      <c r="I504" s="20"/>
      <c r="J504" s="20"/>
      <c r="K504" s="20"/>
      <c r="L504" s="20"/>
      <c r="M504" s="20"/>
      <c r="N504" s="20"/>
      <c r="O504" s="20"/>
      <c r="P504" s="20"/>
      <c r="Q504" s="20"/>
      <c r="R504" s="20"/>
      <c r="S504" s="20"/>
      <c r="T504" s="20"/>
      <c r="U504" s="20"/>
      <c r="V504" s="20"/>
    </row>
    <row r="505" ht="13.5" customHeight="1" spans="1:22">
      <c r="A505" s="20"/>
      <c r="B505" s="20"/>
      <c r="C505" s="20"/>
      <c r="D505" s="20"/>
      <c r="E505" s="20"/>
      <c r="F505" s="20"/>
      <c r="G505" s="20"/>
      <c r="H505" s="20"/>
      <c r="I505" s="20"/>
      <c r="J505" s="20"/>
      <c r="K505" s="20"/>
      <c r="L505" s="20"/>
      <c r="M505" s="20"/>
      <c r="N505" s="20"/>
      <c r="O505" s="20"/>
      <c r="P505" s="20"/>
      <c r="Q505" s="20"/>
      <c r="R505" s="20"/>
      <c r="S505" s="20"/>
      <c r="T505" s="20"/>
      <c r="U505" s="20"/>
      <c r="V505" s="20"/>
    </row>
    <row r="506" ht="13.5" customHeight="1" spans="1:22">
      <c r="A506" s="20"/>
      <c r="B506" s="20"/>
      <c r="C506" s="20"/>
      <c r="D506" s="20"/>
      <c r="E506" s="20"/>
      <c r="F506" s="20"/>
      <c r="G506" s="20"/>
      <c r="H506" s="20"/>
      <c r="I506" s="20"/>
      <c r="J506" s="20"/>
      <c r="K506" s="20"/>
      <c r="L506" s="20"/>
      <c r="M506" s="20"/>
      <c r="N506" s="20"/>
      <c r="O506" s="20"/>
      <c r="P506" s="20"/>
      <c r="Q506" s="20"/>
      <c r="R506" s="20"/>
      <c r="S506" s="20"/>
      <c r="T506" s="20"/>
      <c r="U506" s="20"/>
      <c r="V506" s="20"/>
    </row>
    <row r="507" ht="13.5" customHeight="1" spans="1:22">
      <c r="A507" s="20"/>
      <c r="B507" s="20"/>
      <c r="C507" s="20"/>
      <c r="D507" s="20"/>
      <c r="E507" s="20"/>
      <c r="F507" s="20"/>
      <c r="G507" s="20"/>
      <c r="H507" s="20"/>
      <c r="I507" s="20"/>
      <c r="J507" s="20"/>
      <c r="K507" s="20"/>
      <c r="L507" s="20"/>
      <c r="M507" s="20"/>
      <c r="N507" s="20"/>
      <c r="O507" s="20"/>
      <c r="P507" s="20"/>
      <c r="Q507" s="20"/>
      <c r="R507" s="20"/>
      <c r="S507" s="20"/>
      <c r="T507" s="20"/>
      <c r="U507" s="20"/>
      <c r="V507" s="20"/>
    </row>
    <row r="508" ht="13.5" customHeight="1" spans="1:22">
      <c r="A508" s="20"/>
      <c r="B508" s="20"/>
      <c r="C508" s="20"/>
      <c r="D508" s="20"/>
      <c r="E508" s="20"/>
      <c r="F508" s="20"/>
      <c r="G508" s="20"/>
      <c r="H508" s="20"/>
      <c r="I508" s="20"/>
      <c r="J508" s="20"/>
      <c r="K508" s="20"/>
      <c r="L508" s="20"/>
      <c r="M508" s="20"/>
      <c r="N508" s="20"/>
      <c r="O508" s="20"/>
      <c r="P508" s="20"/>
      <c r="Q508" s="20"/>
      <c r="R508" s="20"/>
      <c r="S508" s="20"/>
      <c r="T508" s="20"/>
      <c r="U508" s="20"/>
      <c r="V508" s="20"/>
    </row>
    <row r="509" ht="13.5" customHeight="1" spans="1:22">
      <c r="A509" s="20"/>
      <c r="B509" s="20"/>
      <c r="C509" s="20"/>
      <c r="D509" s="20"/>
      <c r="E509" s="20"/>
      <c r="F509" s="20"/>
      <c r="G509" s="20"/>
      <c r="H509" s="20"/>
      <c r="I509" s="20"/>
      <c r="J509" s="20"/>
      <c r="K509" s="20"/>
      <c r="L509" s="20"/>
      <c r="M509" s="20"/>
      <c r="N509" s="20"/>
      <c r="O509" s="20"/>
      <c r="P509" s="20"/>
      <c r="Q509" s="20"/>
      <c r="R509" s="20"/>
      <c r="S509" s="20"/>
      <c r="T509" s="20"/>
      <c r="U509" s="20"/>
      <c r="V509" s="20"/>
    </row>
    <row r="510" ht="13.5" customHeight="1" spans="1:22">
      <c r="A510" s="20"/>
      <c r="B510" s="20"/>
      <c r="C510" s="20"/>
      <c r="D510" s="20"/>
      <c r="E510" s="20"/>
      <c r="F510" s="20"/>
      <c r="G510" s="20"/>
      <c r="H510" s="20"/>
      <c r="I510" s="20"/>
      <c r="J510" s="20"/>
      <c r="K510" s="20"/>
      <c r="L510" s="20"/>
      <c r="M510" s="20"/>
      <c r="N510" s="20"/>
      <c r="O510" s="20"/>
      <c r="P510" s="20"/>
      <c r="Q510" s="20"/>
      <c r="R510" s="20"/>
      <c r="S510" s="20"/>
      <c r="T510" s="20"/>
      <c r="U510" s="20"/>
      <c r="V510" s="20"/>
    </row>
    <row r="511" ht="13.5" customHeight="1" spans="1:22">
      <c r="A511" s="20"/>
      <c r="B511" s="20"/>
      <c r="C511" s="20"/>
      <c r="D511" s="20"/>
      <c r="E511" s="20"/>
      <c r="F511" s="20"/>
      <c r="G511" s="20"/>
      <c r="H511" s="20"/>
      <c r="I511" s="20"/>
      <c r="J511" s="20"/>
      <c r="K511" s="20"/>
      <c r="L511" s="20"/>
      <c r="M511" s="20"/>
      <c r="N511" s="20"/>
      <c r="O511" s="20"/>
      <c r="P511" s="20"/>
      <c r="Q511" s="20"/>
      <c r="R511" s="20"/>
      <c r="S511" s="20"/>
      <c r="T511" s="20"/>
      <c r="U511" s="20"/>
      <c r="V511" s="20"/>
    </row>
    <row r="512" ht="13.5" customHeight="1" spans="1:22">
      <c r="A512" s="20"/>
      <c r="B512" s="20"/>
      <c r="C512" s="20"/>
      <c r="D512" s="20"/>
      <c r="E512" s="20"/>
      <c r="F512" s="20"/>
      <c r="G512" s="20"/>
      <c r="H512" s="20"/>
      <c r="I512" s="20"/>
      <c r="J512" s="20"/>
      <c r="K512" s="20"/>
      <c r="L512" s="20"/>
      <c r="M512" s="20"/>
      <c r="N512" s="20"/>
      <c r="O512" s="20"/>
      <c r="P512" s="20"/>
      <c r="Q512" s="20"/>
      <c r="R512" s="20"/>
      <c r="S512" s="20"/>
      <c r="T512" s="20"/>
      <c r="U512" s="20"/>
      <c r="V512" s="20"/>
    </row>
    <row r="513" ht="13.5" customHeight="1" spans="1:22">
      <c r="A513" s="20"/>
      <c r="B513" s="20"/>
      <c r="C513" s="20"/>
      <c r="D513" s="20"/>
      <c r="E513" s="20"/>
      <c r="F513" s="20"/>
      <c r="G513" s="20"/>
      <c r="H513" s="20"/>
      <c r="I513" s="20"/>
      <c r="J513" s="20"/>
      <c r="K513" s="20"/>
      <c r="L513" s="20"/>
      <c r="M513" s="20"/>
      <c r="N513" s="20"/>
      <c r="O513" s="20"/>
      <c r="P513" s="20"/>
      <c r="Q513" s="20"/>
      <c r="R513" s="20"/>
      <c r="S513" s="20"/>
      <c r="T513" s="20"/>
      <c r="U513" s="20"/>
      <c r="V513" s="20"/>
    </row>
    <row r="514" ht="13.5" customHeight="1" spans="1:22">
      <c r="A514" s="20"/>
      <c r="B514" s="20"/>
      <c r="C514" s="20"/>
      <c r="D514" s="20"/>
      <c r="E514" s="20"/>
      <c r="F514" s="20"/>
      <c r="G514" s="20"/>
      <c r="H514" s="20"/>
      <c r="I514" s="20"/>
      <c r="J514" s="20"/>
      <c r="K514" s="20"/>
      <c r="L514" s="20"/>
      <c r="M514" s="20"/>
      <c r="N514" s="20"/>
      <c r="O514" s="20"/>
      <c r="P514" s="20"/>
      <c r="Q514" s="20"/>
      <c r="R514" s="20"/>
      <c r="S514" s="20"/>
      <c r="T514" s="20"/>
      <c r="U514" s="20"/>
      <c r="V514" s="20"/>
    </row>
    <row r="515" ht="13.5" customHeight="1" spans="1:22">
      <c r="A515" s="20"/>
      <c r="B515" s="20"/>
      <c r="C515" s="20"/>
      <c r="D515" s="20"/>
      <c r="E515" s="20"/>
      <c r="F515" s="20"/>
      <c r="G515" s="20"/>
      <c r="H515" s="20"/>
      <c r="I515" s="20"/>
      <c r="J515" s="20"/>
      <c r="K515" s="20"/>
      <c r="L515" s="20"/>
      <c r="M515" s="20"/>
      <c r="N515" s="20"/>
      <c r="O515" s="20"/>
      <c r="P515" s="20"/>
      <c r="Q515" s="20"/>
      <c r="R515" s="20"/>
      <c r="S515" s="20"/>
      <c r="T515" s="20"/>
      <c r="U515" s="20"/>
      <c r="V515" s="20"/>
    </row>
    <row r="516" ht="13.5" customHeight="1" spans="1:22">
      <c r="A516" s="20"/>
      <c r="B516" s="20"/>
      <c r="C516" s="20"/>
      <c r="D516" s="20"/>
      <c r="E516" s="20"/>
      <c r="F516" s="20"/>
      <c r="G516" s="20"/>
      <c r="H516" s="20"/>
      <c r="I516" s="20"/>
      <c r="J516" s="20"/>
      <c r="K516" s="20"/>
      <c r="L516" s="20"/>
      <c r="M516" s="20"/>
      <c r="N516" s="20"/>
      <c r="O516" s="20"/>
      <c r="P516" s="20"/>
      <c r="Q516" s="20"/>
      <c r="R516" s="20"/>
      <c r="S516" s="20"/>
      <c r="T516" s="20"/>
      <c r="U516" s="20"/>
      <c r="V516" s="20"/>
    </row>
    <row r="517" ht="13.5" customHeight="1" spans="1:22">
      <c r="A517" s="20"/>
      <c r="B517" s="20"/>
      <c r="C517" s="20"/>
      <c r="D517" s="20"/>
      <c r="E517" s="20"/>
      <c r="F517" s="20"/>
      <c r="G517" s="20"/>
      <c r="H517" s="20"/>
      <c r="I517" s="20"/>
      <c r="J517" s="20"/>
      <c r="K517" s="20"/>
      <c r="L517" s="20"/>
      <c r="M517" s="20"/>
      <c r="N517" s="20"/>
      <c r="O517" s="20"/>
      <c r="P517" s="20"/>
      <c r="Q517" s="20"/>
      <c r="R517" s="20"/>
      <c r="S517" s="20"/>
      <c r="T517" s="20"/>
      <c r="U517" s="20"/>
      <c r="V517" s="20"/>
    </row>
    <row r="518" ht="13.5" customHeight="1" spans="1:22">
      <c r="A518" s="20"/>
      <c r="B518" s="20"/>
      <c r="C518" s="20"/>
      <c r="D518" s="20"/>
      <c r="E518" s="20"/>
      <c r="F518" s="20"/>
      <c r="G518" s="20"/>
      <c r="H518" s="20"/>
      <c r="I518" s="20"/>
      <c r="J518" s="20"/>
      <c r="K518" s="20"/>
      <c r="L518" s="20"/>
      <c r="M518" s="20"/>
      <c r="N518" s="20"/>
      <c r="O518" s="20"/>
      <c r="P518" s="20"/>
      <c r="Q518" s="20"/>
      <c r="R518" s="20"/>
      <c r="S518" s="20"/>
      <c r="T518" s="20"/>
      <c r="U518" s="20"/>
      <c r="V518" s="20"/>
    </row>
    <row r="519" ht="13.5" customHeight="1" spans="1:22">
      <c r="A519" s="20"/>
      <c r="B519" s="20"/>
      <c r="C519" s="20"/>
      <c r="D519" s="20"/>
      <c r="E519" s="20"/>
      <c r="F519" s="20"/>
      <c r="G519" s="20"/>
      <c r="H519" s="20"/>
      <c r="I519" s="20"/>
      <c r="J519" s="20"/>
      <c r="K519" s="20"/>
      <c r="L519" s="20"/>
      <c r="M519" s="20"/>
      <c r="N519" s="20"/>
      <c r="O519" s="20"/>
      <c r="P519" s="20"/>
      <c r="Q519" s="20"/>
      <c r="R519" s="20"/>
      <c r="S519" s="20"/>
      <c r="T519" s="20"/>
      <c r="U519" s="20"/>
      <c r="V519" s="20"/>
    </row>
    <row r="520" ht="13.5" customHeight="1" spans="1:22">
      <c r="A520" s="20"/>
      <c r="B520" s="20"/>
      <c r="C520" s="20"/>
      <c r="D520" s="20"/>
      <c r="E520" s="20"/>
      <c r="F520" s="20"/>
      <c r="G520" s="20"/>
      <c r="H520" s="20"/>
      <c r="I520" s="20"/>
      <c r="J520" s="20"/>
      <c r="K520" s="20"/>
      <c r="L520" s="20"/>
      <c r="M520" s="20"/>
      <c r="N520" s="20"/>
      <c r="O520" s="20"/>
      <c r="P520" s="20"/>
      <c r="Q520" s="20"/>
      <c r="R520" s="20"/>
      <c r="S520" s="20"/>
      <c r="T520" s="20"/>
      <c r="U520" s="20"/>
      <c r="V520" s="20"/>
    </row>
    <row r="521" ht="13.5" customHeight="1" spans="1:22">
      <c r="A521" s="20"/>
      <c r="B521" s="20"/>
      <c r="C521" s="20"/>
      <c r="D521" s="20"/>
      <c r="E521" s="20"/>
      <c r="F521" s="20"/>
      <c r="G521" s="20"/>
      <c r="H521" s="20"/>
      <c r="I521" s="20"/>
      <c r="J521" s="20"/>
      <c r="K521" s="20"/>
      <c r="L521" s="20"/>
      <c r="M521" s="20"/>
      <c r="N521" s="20"/>
      <c r="O521" s="20"/>
      <c r="P521" s="20"/>
      <c r="Q521" s="20"/>
      <c r="R521" s="20"/>
      <c r="S521" s="20"/>
      <c r="T521" s="20"/>
      <c r="U521" s="20"/>
      <c r="V521" s="20"/>
    </row>
    <row r="522" ht="13.5" customHeight="1" spans="1:22">
      <c r="A522" s="20"/>
      <c r="B522" s="20"/>
      <c r="C522" s="20"/>
      <c r="D522" s="20"/>
      <c r="E522" s="20"/>
      <c r="F522" s="20"/>
      <c r="G522" s="20"/>
      <c r="H522" s="20"/>
      <c r="I522" s="20"/>
      <c r="J522" s="20"/>
      <c r="K522" s="20"/>
      <c r="L522" s="20"/>
      <c r="M522" s="20"/>
      <c r="N522" s="20"/>
      <c r="O522" s="20"/>
      <c r="P522" s="20"/>
      <c r="Q522" s="20"/>
      <c r="R522" s="20"/>
      <c r="S522" s="20"/>
      <c r="T522" s="20"/>
      <c r="U522" s="20"/>
      <c r="V522" s="20"/>
    </row>
    <row r="523" ht="13.5" customHeight="1" spans="1:22">
      <c r="A523" s="20"/>
      <c r="B523" s="20"/>
      <c r="C523" s="20"/>
      <c r="D523" s="20"/>
      <c r="E523" s="20"/>
      <c r="F523" s="20"/>
      <c r="G523" s="20"/>
      <c r="H523" s="20"/>
      <c r="I523" s="20"/>
      <c r="J523" s="20"/>
      <c r="K523" s="20"/>
      <c r="L523" s="20"/>
      <c r="M523" s="20"/>
      <c r="N523" s="20"/>
      <c r="O523" s="20"/>
      <c r="P523" s="20"/>
      <c r="Q523" s="20"/>
      <c r="R523" s="20"/>
      <c r="S523" s="20"/>
      <c r="T523" s="20"/>
      <c r="U523" s="20"/>
      <c r="V523" s="20"/>
    </row>
    <row r="524" ht="13.5" customHeight="1" spans="1:22">
      <c r="A524" s="20"/>
      <c r="B524" s="20"/>
      <c r="C524" s="20"/>
      <c r="D524" s="20"/>
      <c r="E524" s="20"/>
      <c r="F524" s="20"/>
      <c r="G524" s="20"/>
      <c r="H524" s="20"/>
      <c r="I524" s="20"/>
      <c r="J524" s="20"/>
      <c r="K524" s="20"/>
      <c r="L524" s="20"/>
      <c r="M524" s="20"/>
      <c r="N524" s="20"/>
      <c r="O524" s="20"/>
      <c r="P524" s="20"/>
      <c r="Q524" s="20"/>
      <c r="R524" s="20"/>
      <c r="S524" s="20"/>
      <c r="T524" s="20"/>
      <c r="U524" s="20"/>
      <c r="V524" s="20"/>
    </row>
    <row r="525" ht="13.5" customHeight="1" spans="1:22">
      <c r="A525" s="20"/>
      <c r="B525" s="20"/>
      <c r="C525" s="20"/>
      <c r="D525" s="20"/>
      <c r="E525" s="20"/>
      <c r="F525" s="20"/>
      <c r="G525" s="20"/>
      <c r="H525" s="20"/>
      <c r="I525" s="20"/>
      <c r="J525" s="20"/>
      <c r="K525" s="20"/>
      <c r="L525" s="20"/>
      <c r="M525" s="20"/>
      <c r="N525" s="20"/>
      <c r="O525" s="20"/>
      <c r="P525" s="20"/>
      <c r="Q525" s="20"/>
      <c r="R525" s="20"/>
      <c r="S525" s="20"/>
      <c r="T525" s="20"/>
      <c r="U525" s="20"/>
      <c r="V525" s="20"/>
    </row>
    <row r="526" ht="13.5" customHeight="1" spans="1:22">
      <c r="A526" s="20"/>
      <c r="B526" s="20"/>
      <c r="C526" s="20"/>
      <c r="D526" s="20"/>
      <c r="E526" s="20"/>
      <c r="F526" s="20"/>
      <c r="G526" s="20"/>
      <c r="H526" s="20"/>
      <c r="I526" s="20"/>
      <c r="J526" s="20"/>
      <c r="K526" s="20"/>
      <c r="L526" s="20"/>
      <c r="M526" s="20"/>
      <c r="N526" s="20"/>
      <c r="O526" s="20"/>
      <c r="P526" s="20"/>
      <c r="Q526" s="20"/>
      <c r="R526" s="20"/>
      <c r="S526" s="20"/>
      <c r="T526" s="20"/>
      <c r="U526" s="20"/>
      <c r="V526" s="20"/>
    </row>
    <row r="527" ht="13.5" customHeight="1" spans="1:22">
      <c r="A527" s="20"/>
      <c r="B527" s="20"/>
      <c r="C527" s="20"/>
      <c r="D527" s="20"/>
      <c r="E527" s="20"/>
      <c r="F527" s="20"/>
      <c r="G527" s="20"/>
      <c r="H527" s="20"/>
      <c r="I527" s="20"/>
      <c r="J527" s="20"/>
      <c r="K527" s="20"/>
      <c r="L527" s="20"/>
      <c r="M527" s="20"/>
      <c r="N527" s="20"/>
      <c r="O527" s="20"/>
      <c r="P527" s="20"/>
      <c r="Q527" s="20"/>
      <c r="R527" s="20"/>
      <c r="S527" s="20"/>
      <c r="T527" s="20"/>
      <c r="U527" s="20"/>
      <c r="V527" s="20"/>
    </row>
    <row r="528" ht="13.5" customHeight="1" spans="1:22">
      <c r="A528" s="20"/>
      <c r="B528" s="20"/>
      <c r="C528" s="20"/>
      <c r="D528" s="20"/>
      <c r="E528" s="20"/>
      <c r="F528" s="20"/>
      <c r="G528" s="20"/>
      <c r="H528" s="20"/>
      <c r="I528" s="20"/>
      <c r="J528" s="20"/>
      <c r="K528" s="20"/>
      <c r="L528" s="20"/>
      <c r="M528" s="20"/>
      <c r="N528" s="20"/>
      <c r="O528" s="20"/>
      <c r="P528" s="20"/>
      <c r="Q528" s="20"/>
      <c r="R528" s="20"/>
      <c r="S528" s="20"/>
      <c r="T528" s="20"/>
      <c r="U528" s="20"/>
      <c r="V528" s="20"/>
    </row>
    <row r="529" ht="13.5" customHeight="1" spans="1:22">
      <c r="A529" s="20"/>
      <c r="B529" s="20"/>
      <c r="C529" s="20"/>
      <c r="D529" s="20"/>
      <c r="E529" s="20"/>
      <c r="F529" s="20"/>
      <c r="G529" s="20"/>
      <c r="H529" s="20"/>
      <c r="I529" s="20"/>
      <c r="J529" s="20"/>
      <c r="K529" s="20"/>
      <c r="L529" s="20"/>
      <c r="M529" s="20"/>
      <c r="N529" s="20"/>
      <c r="O529" s="20"/>
      <c r="P529" s="20"/>
      <c r="Q529" s="20"/>
      <c r="R529" s="20"/>
      <c r="S529" s="20"/>
      <c r="T529" s="20"/>
      <c r="U529" s="20"/>
      <c r="V529" s="20"/>
    </row>
    <row r="530" ht="13.5" customHeight="1" spans="1:22">
      <c r="A530" s="20"/>
      <c r="B530" s="20"/>
      <c r="C530" s="20"/>
      <c r="D530" s="20"/>
      <c r="E530" s="20"/>
      <c r="F530" s="20"/>
      <c r="G530" s="20"/>
      <c r="H530" s="20"/>
      <c r="I530" s="20"/>
      <c r="J530" s="20"/>
      <c r="K530" s="20"/>
      <c r="L530" s="20"/>
      <c r="M530" s="20"/>
      <c r="N530" s="20"/>
      <c r="O530" s="20"/>
      <c r="P530" s="20"/>
      <c r="Q530" s="20"/>
      <c r="R530" s="20"/>
      <c r="S530" s="20"/>
      <c r="T530" s="20"/>
      <c r="U530" s="20"/>
      <c r="V530" s="20"/>
    </row>
    <row r="531" ht="13.5" customHeight="1" spans="1:22">
      <c r="A531" s="20"/>
      <c r="B531" s="20"/>
      <c r="C531" s="20"/>
      <c r="D531" s="20"/>
      <c r="E531" s="20"/>
      <c r="F531" s="20"/>
      <c r="G531" s="20"/>
      <c r="H531" s="20"/>
      <c r="I531" s="20"/>
      <c r="J531" s="20"/>
      <c r="K531" s="20"/>
      <c r="L531" s="20"/>
      <c r="M531" s="20"/>
      <c r="N531" s="20"/>
      <c r="O531" s="20"/>
      <c r="P531" s="20"/>
      <c r="Q531" s="20"/>
      <c r="R531" s="20"/>
      <c r="S531" s="20"/>
      <c r="T531" s="20"/>
      <c r="U531" s="20"/>
      <c r="V531" s="20"/>
    </row>
    <row r="532" ht="13.5" customHeight="1" spans="1:22">
      <c r="A532" s="20"/>
      <c r="B532" s="20"/>
      <c r="C532" s="20"/>
      <c r="D532" s="20"/>
      <c r="E532" s="20"/>
      <c r="F532" s="20"/>
      <c r="G532" s="20"/>
      <c r="H532" s="20"/>
      <c r="I532" s="20"/>
      <c r="J532" s="20"/>
      <c r="K532" s="20"/>
      <c r="L532" s="20"/>
      <c r="M532" s="20"/>
      <c r="N532" s="20"/>
      <c r="O532" s="20"/>
      <c r="P532" s="20"/>
      <c r="Q532" s="20"/>
      <c r="R532" s="20"/>
      <c r="S532" s="20"/>
      <c r="T532" s="20"/>
      <c r="U532" s="20"/>
      <c r="V532" s="20"/>
    </row>
    <row r="533" ht="13.5" customHeight="1" spans="1:22">
      <c r="A533" s="20"/>
      <c r="B533" s="20"/>
      <c r="C533" s="20"/>
      <c r="D533" s="20"/>
      <c r="E533" s="20"/>
      <c r="F533" s="20"/>
      <c r="G533" s="20"/>
      <c r="H533" s="20"/>
      <c r="I533" s="20"/>
      <c r="J533" s="20"/>
      <c r="K533" s="20"/>
      <c r="L533" s="20"/>
      <c r="M533" s="20"/>
      <c r="N533" s="20"/>
      <c r="O533" s="20"/>
      <c r="P533" s="20"/>
      <c r="Q533" s="20"/>
      <c r="R533" s="20"/>
      <c r="S533" s="20"/>
      <c r="T533" s="20"/>
      <c r="U533" s="20"/>
      <c r="V533" s="20"/>
    </row>
    <row r="534" ht="13.5" customHeight="1" spans="1:22">
      <c r="A534" s="20"/>
      <c r="B534" s="20"/>
      <c r="C534" s="20"/>
      <c r="D534" s="20"/>
      <c r="E534" s="20"/>
      <c r="F534" s="20"/>
      <c r="G534" s="20"/>
      <c r="H534" s="20"/>
      <c r="I534" s="20"/>
      <c r="J534" s="20"/>
      <c r="K534" s="20"/>
      <c r="L534" s="20"/>
      <c r="M534" s="20"/>
      <c r="N534" s="20"/>
      <c r="O534" s="20"/>
      <c r="P534" s="20"/>
      <c r="Q534" s="20"/>
      <c r="R534" s="20"/>
      <c r="S534" s="20"/>
      <c r="T534" s="20"/>
      <c r="U534" s="20"/>
      <c r="V534" s="20"/>
    </row>
    <row r="535" ht="13.5" customHeight="1" spans="1:22">
      <c r="A535" s="20"/>
      <c r="B535" s="20"/>
      <c r="C535" s="20"/>
      <c r="D535" s="20"/>
      <c r="E535" s="20"/>
      <c r="F535" s="20"/>
      <c r="G535" s="20"/>
      <c r="H535" s="20"/>
      <c r="I535" s="20"/>
      <c r="J535" s="20"/>
      <c r="K535" s="20"/>
      <c r="L535" s="20"/>
      <c r="M535" s="20"/>
      <c r="N535" s="20"/>
      <c r="O535" s="20"/>
      <c r="P535" s="20"/>
      <c r="Q535" s="20"/>
      <c r="R535" s="20"/>
      <c r="S535" s="20"/>
      <c r="T535" s="20"/>
      <c r="U535" s="20"/>
      <c r="V535" s="20"/>
    </row>
    <row r="536" ht="13.5" customHeight="1" spans="1:22">
      <c r="A536" s="20"/>
      <c r="B536" s="20"/>
      <c r="C536" s="20"/>
      <c r="D536" s="20"/>
      <c r="E536" s="20"/>
      <c r="F536" s="20"/>
      <c r="G536" s="20"/>
      <c r="H536" s="20"/>
      <c r="I536" s="20"/>
      <c r="J536" s="20"/>
      <c r="K536" s="20"/>
      <c r="L536" s="20"/>
      <c r="M536" s="20"/>
      <c r="N536" s="20"/>
      <c r="O536" s="20"/>
      <c r="P536" s="20"/>
      <c r="Q536" s="20"/>
      <c r="R536" s="20"/>
      <c r="S536" s="20"/>
      <c r="T536" s="20"/>
      <c r="U536" s="20"/>
      <c r="V536" s="20"/>
    </row>
    <row r="537" ht="13.5" customHeight="1" spans="1:22">
      <c r="A537" s="20"/>
      <c r="B537" s="20"/>
      <c r="C537" s="20"/>
      <c r="D537" s="20"/>
      <c r="E537" s="20"/>
      <c r="F537" s="20"/>
      <c r="G537" s="20"/>
      <c r="H537" s="20"/>
      <c r="I537" s="20"/>
      <c r="J537" s="20"/>
      <c r="K537" s="20"/>
      <c r="L537" s="20"/>
      <c r="M537" s="20"/>
      <c r="N537" s="20"/>
      <c r="O537" s="20"/>
      <c r="P537" s="20"/>
      <c r="Q537" s="20"/>
      <c r="R537" s="20"/>
      <c r="S537" s="20"/>
      <c r="T537" s="20"/>
      <c r="U537" s="20"/>
      <c r="V537" s="20"/>
    </row>
    <row r="538" ht="13.5" customHeight="1" spans="1:22">
      <c r="A538" s="20"/>
      <c r="B538" s="20"/>
      <c r="C538" s="20"/>
      <c r="D538" s="20"/>
      <c r="E538" s="20"/>
      <c r="F538" s="20"/>
      <c r="G538" s="20"/>
      <c r="H538" s="20"/>
      <c r="I538" s="20"/>
      <c r="J538" s="20"/>
      <c r="K538" s="20"/>
      <c r="L538" s="20"/>
      <c r="M538" s="20"/>
      <c r="N538" s="20"/>
      <c r="O538" s="20"/>
      <c r="P538" s="20"/>
      <c r="Q538" s="20"/>
      <c r="R538" s="20"/>
      <c r="S538" s="20"/>
      <c r="T538" s="20"/>
      <c r="U538" s="20"/>
      <c r="V538" s="20"/>
    </row>
    <row r="539" ht="13.5" customHeight="1" spans="1:22">
      <c r="A539" s="20"/>
      <c r="B539" s="20"/>
      <c r="C539" s="20"/>
      <c r="D539" s="20"/>
      <c r="E539" s="20"/>
      <c r="F539" s="20"/>
      <c r="G539" s="20"/>
      <c r="H539" s="20"/>
      <c r="I539" s="20"/>
      <c r="J539" s="20"/>
      <c r="K539" s="20"/>
      <c r="L539" s="20"/>
      <c r="M539" s="20"/>
      <c r="N539" s="20"/>
      <c r="O539" s="20"/>
      <c r="P539" s="20"/>
      <c r="Q539" s="20"/>
      <c r="R539" s="20"/>
      <c r="S539" s="20"/>
      <c r="T539" s="20"/>
      <c r="U539" s="20"/>
      <c r="V539" s="20"/>
    </row>
    <row r="540" ht="13.5" customHeight="1" spans="1:22">
      <c r="A540" s="20"/>
      <c r="B540" s="20"/>
      <c r="C540" s="20"/>
      <c r="D540" s="20"/>
      <c r="E540" s="20"/>
      <c r="F540" s="20"/>
      <c r="G540" s="20"/>
      <c r="H540" s="20"/>
      <c r="I540" s="20"/>
      <c r="J540" s="20"/>
      <c r="K540" s="20"/>
      <c r="L540" s="20"/>
      <c r="M540" s="20"/>
      <c r="N540" s="20"/>
      <c r="O540" s="20"/>
      <c r="P540" s="20"/>
      <c r="Q540" s="20"/>
      <c r="R540" s="20"/>
      <c r="S540" s="20"/>
      <c r="T540" s="20"/>
      <c r="U540" s="20"/>
      <c r="V540" s="20"/>
    </row>
    <row r="541" ht="13.5" customHeight="1" spans="1:22">
      <c r="A541" s="20"/>
      <c r="B541" s="20"/>
      <c r="C541" s="20"/>
      <c r="D541" s="20"/>
      <c r="E541" s="20"/>
      <c r="F541" s="20"/>
      <c r="G541" s="20"/>
      <c r="H541" s="20"/>
      <c r="I541" s="20"/>
      <c r="J541" s="20"/>
      <c r="K541" s="20"/>
      <c r="L541" s="20"/>
      <c r="M541" s="20"/>
      <c r="N541" s="20"/>
      <c r="O541" s="20"/>
      <c r="P541" s="20"/>
      <c r="Q541" s="20"/>
      <c r="R541" s="20"/>
      <c r="S541" s="20"/>
      <c r="T541" s="20"/>
      <c r="U541" s="20"/>
      <c r="V541" s="20"/>
    </row>
    <row r="542" ht="13.5" customHeight="1" spans="1:22">
      <c r="A542" s="20"/>
      <c r="B542" s="20"/>
      <c r="C542" s="20"/>
      <c r="D542" s="20"/>
      <c r="E542" s="20"/>
      <c r="F542" s="20"/>
      <c r="G542" s="20"/>
      <c r="H542" s="20"/>
      <c r="I542" s="20"/>
      <c r="J542" s="20"/>
      <c r="K542" s="20"/>
      <c r="L542" s="20"/>
      <c r="M542" s="20"/>
      <c r="N542" s="20"/>
      <c r="O542" s="20"/>
      <c r="P542" s="20"/>
      <c r="Q542" s="20"/>
      <c r="R542" s="20"/>
      <c r="S542" s="20"/>
      <c r="T542" s="20"/>
      <c r="U542" s="20"/>
      <c r="V542" s="20"/>
    </row>
    <row r="543" ht="13.5" customHeight="1" spans="1:22">
      <c r="A543" s="20"/>
      <c r="B543" s="20"/>
      <c r="C543" s="20"/>
      <c r="D543" s="20"/>
      <c r="E543" s="20"/>
      <c r="F543" s="20"/>
      <c r="G543" s="20"/>
      <c r="H543" s="20"/>
      <c r="I543" s="20"/>
      <c r="J543" s="20"/>
      <c r="K543" s="20"/>
      <c r="L543" s="20"/>
      <c r="M543" s="20"/>
      <c r="N543" s="20"/>
      <c r="O543" s="20"/>
      <c r="P543" s="20"/>
      <c r="Q543" s="20"/>
      <c r="R543" s="20"/>
      <c r="S543" s="20"/>
      <c r="T543" s="20"/>
      <c r="U543" s="20"/>
      <c r="V543" s="20"/>
    </row>
    <row r="544" ht="13.5" customHeight="1" spans="1:22">
      <c r="A544" s="20"/>
      <c r="B544" s="20"/>
      <c r="C544" s="20"/>
      <c r="D544" s="20"/>
      <c r="E544" s="20"/>
      <c r="F544" s="20"/>
      <c r="G544" s="20"/>
      <c r="H544" s="20"/>
      <c r="I544" s="20"/>
      <c r="J544" s="20"/>
      <c r="K544" s="20"/>
      <c r="L544" s="20"/>
      <c r="M544" s="20"/>
      <c r="N544" s="20"/>
      <c r="O544" s="20"/>
      <c r="P544" s="20"/>
      <c r="Q544" s="20"/>
      <c r="R544" s="20"/>
      <c r="S544" s="20"/>
      <c r="T544" s="20"/>
      <c r="U544" s="20"/>
      <c r="V544" s="20"/>
    </row>
    <row r="545" ht="13.5" customHeight="1" spans="1:22">
      <c r="A545" s="20"/>
      <c r="B545" s="20"/>
      <c r="C545" s="20"/>
      <c r="D545" s="20"/>
      <c r="E545" s="20"/>
      <c r="F545" s="20"/>
      <c r="G545" s="20"/>
      <c r="H545" s="20"/>
      <c r="I545" s="20"/>
      <c r="J545" s="20"/>
      <c r="K545" s="20"/>
      <c r="L545" s="20"/>
      <c r="M545" s="20"/>
      <c r="N545" s="20"/>
      <c r="O545" s="20"/>
      <c r="P545" s="20"/>
      <c r="Q545" s="20"/>
      <c r="R545" s="20"/>
      <c r="S545" s="20"/>
      <c r="T545" s="20"/>
      <c r="U545" s="20"/>
      <c r="V545" s="20"/>
    </row>
    <row r="546" ht="13.5" customHeight="1" spans="1:22">
      <c r="A546" s="20"/>
      <c r="B546" s="20"/>
      <c r="C546" s="20"/>
      <c r="D546" s="20"/>
      <c r="E546" s="20"/>
      <c r="F546" s="20"/>
      <c r="G546" s="20"/>
      <c r="H546" s="20"/>
      <c r="I546" s="20"/>
      <c r="J546" s="20"/>
      <c r="K546" s="20"/>
      <c r="L546" s="20"/>
      <c r="M546" s="20"/>
      <c r="N546" s="20"/>
      <c r="O546" s="20"/>
      <c r="P546" s="20"/>
      <c r="Q546" s="20"/>
      <c r="R546" s="20"/>
      <c r="S546" s="20"/>
      <c r="T546" s="20"/>
      <c r="U546" s="20"/>
      <c r="V546" s="20"/>
    </row>
    <row r="547" ht="13.5" customHeight="1" spans="1:22">
      <c r="A547" s="20"/>
      <c r="B547" s="20"/>
      <c r="C547" s="20"/>
      <c r="D547" s="20"/>
      <c r="E547" s="20"/>
      <c r="F547" s="20"/>
      <c r="G547" s="20"/>
      <c r="H547" s="20"/>
      <c r="I547" s="20"/>
      <c r="J547" s="20"/>
      <c r="K547" s="20"/>
      <c r="L547" s="20"/>
      <c r="M547" s="20"/>
      <c r="N547" s="20"/>
      <c r="O547" s="20"/>
      <c r="P547" s="20"/>
      <c r="Q547" s="20"/>
      <c r="R547" s="20"/>
      <c r="S547" s="20"/>
      <c r="T547" s="20"/>
      <c r="U547" s="20"/>
      <c r="V547" s="20"/>
    </row>
    <row r="548" ht="13.5" customHeight="1" spans="1:22">
      <c r="A548" s="20"/>
      <c r="B548" s="20"/>
      <c r="C548" s="20"/>
      <c r="D548" s="20"/>
      <c r="E548" s="20"/>
      <c r="F548" s="20"/>
      <c r="G548" s="20"/>
      <c r="H548" s="20"/>
      <c r="I548" s="20"/>
      <c r="J548" s="20"/>
      <c r="K548" s="20"/>
      <c r="L548" s="20"/>
      <c r="M548" s="20"/>
      <c r="N548" s="20"/>
      <c r="O548" s="20"/>
      <c r="P548" s="20"/>
      <c r="Q548" s="20"/>
      <c r="R548" s="20"/>
      <c r="S548" s="20"/>
      <c r="T548" s="20"/>
      <c r="U548" s="20"/>
      <c r="V548" s="20"/>
    </row>
    <row r="549" ht="13.5" customHeight="1" spans="1:22">
      <c r="A549" s="20"/>
      <c r="B549" s="20"/>
      <c r="C549" s="20"/>
      <c r="D549" s="20"/>
      <c r="E549" s="20"/>
      <c r="F549" s="20"/>
      <c r="G549" s="20"/>
      <c r="H549" s="20"/>
      <c r="I549" s="20"/>
      <c r="J549" s="20"/>
      <c r="K549" s="20"/>
      <c r="L549" s="20"/>
      <c r="M549" s="20"/>
      <c r="N549" s="20"/>
      <c r="O549" s="20"/>
      <c r="P549" s="20"/>
      <c r="Q549" s="20"/>
      <c r="R549" s="20"/>
      <c r="S549" s="20"/>
      <c r="T549" s="20"/>
      <c r="U549" s="20"/>
      <c r="V549" s="20"/>
    </row>
    <row r="550" ht="13.5" customHeight="1" spans="1:22">
      <c r="A550" s="20"/>
      <c r="B550" s="20"/>
      <c r="C550" s="20"/>
      <c r="D550" s="20"/>
      <c r="E550" s="20"/>
      <c r="F550" s="20"/>
      <c r="G550" s="20"/>
      <c r="H550" s="20"/>
      <c r="I550" s="20"/>
      <c r="J550" s="20"/>
      <c r="K550" s="20"/>
      <c r="L550" s="20"/>
      <c r="M550" s="20"/>
      <c r="N550" s="20"/>
      <c r="O550" s="20"/>
      <c r="P550" s="20"/>
      <c r="Q550" s="20"/>
      <c r="R550" s="20"/>
      <c r="S550" s="20"/>
      <c r="T550" s="20"/>
      <c r="U550" s="20"/>
      <c r="V550" s="20"/>
    </row>
    <row r="551" ht="13.5" customHeight="1" spans="1:22">
      <c r="A551" s="20"/>
      <c r="B551" s="20"/>
      <c r="C551" s="20"/>
      <c r="D551" s="20"/>
      <c r="E551" s="20"/>
      <c r="F551" s="20"/>
      <c r="G551" s="20"/>
      <c r="H551" s="20"/>
      <c r="I551" s="20"/>
      <c r="J551" s="20"/>
      <c r="K551" s="20"/>
      <c r="L551" s="20"/>
      <c r="M551" s="20"/>
      <c r="N551" s="20"/>
      <c r="O551" s="20"/>
      <c r="P551" s="20"/>
      <c r="Q551" s="20"/>
      <c r="R551" s="20"/>
      <c r="S551" s="20"/>
      <c r="T551" s="20"/>
      <c r="U551" s="20"/>
      <c r="V551" s="20"/>
    </row>
    <row r="552" ht="13.5" customHeight="1" spans="1:22">
      <c r="A552" s="20"/>
      <c r="B552" s="20"/>
      <c r="C552" s="20"/>
      <c r="D552" s="20"/>
      <c r="E552" s="20"/>
      <c r="F552" s="20"/>
      <c r="G552" s="20"/>
      <c r="H552" s="20"/>
      <c r="I552" s="20"/>
      <c r="J552" s="20"/>
      <c r="K552" s="20"/>
      <c r="L552" s="20"/>
      <c r="M552" s="20"/>
      <c r="N552" s="20"/>
      <c r="O552" s="20"/>
      <c r="P552" s="20"/>
      <c r="Q552" s="20"/>
      <c r="R552" s="20"/>
      <c r="S552" s="20"/>
      <c r="T552" s="20"/>
      <c r="U552" s="20"/>
      <c r="V552" s="20"/>
    </row>
    <row r="553" ht="13.5" customHeight="1" spans="1:22">
      <c r="A553" s="20"/>
      <c r="B553" s="20"/>
      <c r="C553" s="20"/>
      <c r="D553" s="20"/>
      <c r="E553" s="20"/>
      <c r="F553" s="20"/>
      <c r="G553" s="20"/>
      <c r="H553" s="20"/>
      <c r="I553" s="20"/>
      <c r="J553" s="20"/>
      <c r="K553" s="20"/>
      <c r="L553" s="20"/>
      <c r="M553" s="20"/>
      <c r="N553" s="20"/>
      <c r="O553" s="20"/>
      <c r="P553" s="20"/>
      <c r="Q553" s="20"/>
      <c r="R553" s="20"/>
      <c r="S553" s="20"/>
      <c r="T553" s="20"/>
      <c r="U553" s="20"/>
      <c r="V553" s="20"/>
    </row>
    <row r="554" ht="13.5" customHeight="1" spans="1:22">
      <c r="A554" s="20"/>
      <c r="B554" s="20"/>
      <c r="C554" s="20"/>
      <c r="D554" s="20"/>
      <c r="E554" s="20"/>
      <c r="F554" s="20"/>
      <c r="G554" s="20"/>
      <c r="H554" s="20"/>
      <c r="I554" s="20"/>
      <c r="J554" s="20"/>
      <c r="K554" s="20"/>
      <c r="L554" s="20"/>
      <c r="M554" s="20"/>
      <c r="N554" s="20"/>
      <c r="O554" s="20"/>
      <c r="P554" s="20"/>
      <c r="Q554" s="20"/>
      <c r="R554" s="20"/>
      <c r="S554" s="20"/>
      <c r="T554" s="20"/>
      <c r="U554" s="20"/>
      <c r="V554" s="20"/>
    </row>
    <row r="555" ht="13.5" customHeight="1" spans="1:22">
      <c r="A555" s="20"/>
      <c r="B555" s="20"/>
      <c r="C555" s="20"/>
      <c r="D555" s="20"/>
      <c r="E555" s="20"/>
      <c r="F555" s="20"/>
      <c r="G555" s="20"/>
      <c r="H555" s="20"/>
      <c r="I555" s="20"/>
      <c r="J555" s="20"/>
      <c r="K555" s="20"/>
      <c r="L555" s="20"/>
      <c r="M555" s="20"/>
      <c r="N555" s="20"/>
      <c r="O555" s="20"/>
      <c r="P555" s="20"/>
      <c r="Q555" s="20"/>
      <c r="R555" s="20"/>
      <c r="S555" s="20"/>
      <c r="T555" s="20"/>
      <c r="U555" s="20"/>
      <c r="V555" s="20"/>
    </row>
    <row r="556" ht="13.5" customHeight="1" spans="1:22">
      <c r="A556" s="20"/>
      <c r="B556" s="20"/>
      <c r="C556" s="20"/>
      <c r="D556" s="20"/>
      <c r="E556" s="20"/>
      <c r="F556" s="20"/>
      <c r="G556" s="20"/>
      <c r="H556" s="20"/>
      <c r="I556" s="20"/>
      <c r="J556" s="20"/>
      <c r="K556" s="20"/>
      <c r="L556" s="20"/>
      <c r="M556" s="20"/>
      <c r="N556" s="20"/>
      <c r="O556" s="20"/>
      <c r="P556" s="20"/>
      <c r="Q556" s="20"/>
      <c r="R556" s="20"/>
      <c r="S556" s="20"/>
      <c r="T556" s="20"/>
      <c r="U556" s="20"/>
      <c r="V556" s="20"/>
    </row>
    <row r="557" ht="13.5" customHeight="1" spans="1:22">
      <c r="A557" s="20"/>
      <c r="B557" s="20"/>
      <c r="C557" s="20"/>
      <c r="D557" s="20"/>
      <c r="E557" s="20"/>
      <c r="F557" s="20"/>
      <c r="G557" s="20"/>
      <c r="H557" s="20"/>
      <c r="I557" s="20"/>
      <c r="J557" s="20"/>
      <c r="K557" s="20"/>
      <c r="L557" s="20"/>
      <c r="M557" s="20"/>
      <c r="N557" s="20"/>
      <c r="O557" s="20"/>
      <c r="P557" s="20"/>
      <c r="Q557" s="20"/>
      <c r="R557" s="20"/>
      <c r="S557" s="20"/>
      <c r="T557" s="20"/>
      <c r="U557" s="20"/>
      <c r="V557" s="20"/>
    </row>
    <row r="558" ht="13.5" customHeight="1" spans="1:22">
      <c r="A558" s="20"/>
      <c r="B558" s="20"/>
      <c r="C558" s="20"/>
      <c r="D558" s="20"/>
      <c r="E558" s="20"/>
      <c r="F558" s="20"/>
      <c r="G558" s="20"/>
      <c r="H558" s="20"/>
      <c r="I558" s="20"/>
      <c r="J558" s="20"/>
      <c r="K558" s="20"/>
      <c r="L558" s="20"/>
      <c r="M558" s="20"/>
      <c r="N558" s="20"/>
      <c r="O558" s="20"/>
      <c r="P558" s="20"/>
      <c r="Q558" s="20"/>
      <c r="R558" s="20"/>
      <c r="S558" s="20"/>
      <c r="T558" s="20"/>
      <c r="U558" s="20"/>
      <c r="V558" s="20"/>
    </row>
    <row r="559" ht="13.5" customHeight="1" spans="1:22">
      <c r="A559" s="20"/>
      <c r="B559" s="20"/>
      <c r="C559" s="20"/>
      <c r="D559" s="20"/>
      <c r="E559" s="20"/>
      <c r="F559" s="20"/>
      <c r="G559" s="20"/>
      <c r="H559" s="20"/>
      <c r="I559" s="20"/>
      <c r="J559" s="20"/>
      <c r="K559" s="20"/>
      <c r="L559" s="20"/>
      <c r="M559" s="20"/>
      <c r="N559" s="20"/>
      <c r="O559" s="20"/>
      <c r="P559" s="20"/>
      <c r="Q559" s="20"/>
      <c r="R559" s="20"/>
      <c r="S559" s="20"/>
      <c r="T559" s="20"/>
      <c r="U559" s="20"/>
      <c r="V559" s="20"/>
    </row>
    <row r="560" ht="13.5" customHeight="1" spans="1:22">
      <c r="A560" s="20"/>
      <c r="B560" s="20"/>
      <c r="C560" s="20"/>
      <c r="D560" s="20"/>
      <c r="E560" s="20"/>
      <c r="F560" s="20"/>
      <c r="G560" s="20"/>
      <c r="H560" s="20"/>
      <c r="I560" s="20"/>
      <c r="J560" s="20"/>
      <c r="K560" s="20"/>
      <c r="L560" s="20"/>
      <c r="M560" s="20"/>
      <c r="N560" s="20"/>
      <c r="O560" s="20"/>
      <c r="P560" s="20"/>
      <c r="Q560" s="20"/>
      <c r="R560" s="20"/>
      <c r="S560" s="20"/>
      <c r="T560" s="20"/>
      <c r="U560" s="20"/>
      <c r="V560" s="20"/>
    </row>
    <row r="561" ht="13.5" customHeight="1" spans="1:22">
      <c r="A561" s="20"/>
      <c r="B561" s="20"/>
      <c r="C561" s="20"/>
      <c r="D561" s="20"/>
      <c r="E561" s="20"/>
      <c r="F561" s="20"/>
      <c r="G561" s="20"/>
      <c r="H561" s="20"/>
      <c r="I561" s="20"/>
      <c r="J561" s="20"/>
      <c r="K561" s="20"/>
      <c r="L561" s="20"/>
      <c r="M561" s="20"/>
      <c r="N561" s="20"/>
      <c r="O561" s="20"/>
      <c r="P561" s="20"/>
      <c r="Q561" s="20"/>
      <c r="R561" s="20"/>
      <c r="S561" s="20"/>
      <c r="T561" s="20"/>
      <c r="U561" s="20"/>
      <c r="V561" s="20"/>
    </row>
    <row r="562" ht="13.5" customHeight="1" spans="1:22">
      <c r="A562" s="20"/>
      <c r="B562" s="20"/>
      <c r="C562" s="20"/>
      <c r="D562" s="20"/>
      <c r="E562" s="20"/>
      <c r="F562" s="20"/>
      <c r="G562" s="20"/>
      <c r="H562" s="20"/>
      <c r="I562" s="20"/>
      <c r="J562" s="20"/>
      <c r="K562" s="20"/>
      <c r="L562" s="20"/>
      <c r="M562" s="20"/>
      <c r="N562" s="20"/>
      <c r="O562" s="20"/>
      <c r="P562" s="20"/>
      <c r="Q562" s="20"/>
      <c r="R562" s="20"/>
      <c r="S562" s="20"/>
      <c r="T562" s="20"/>
      <c r="U562" s="20"/>
      <c r="V562" s="20"/>
    </row>
    <row r="563" ht="13.5" customHeight="1" spans="1:22">
      <c r="A563" s="20"/>
      <c r="B563" s="20"/>
      <c r="C563" s="20"/>
      <c r="D563" s="20"/>
      <c r="E563" s="20"/>
      <c r="F563" s="20"/>
      <c r="G563" s="20"/>
      <c r="H563" s="20"/>
      <c r="I563" s="20"/>
      <c r="J563" s="20"/>
      <c r="K563" s="20"/>
      <c r="L563" s="20"/>
      <c r="M563" s="20"/>
      <c r="N563" s="20"/>
      <c r="O563" s="20"/>
      <c r="P563" s="20"/>
      <c r="Q563" s="20"/>
      <c r="R563" s="20"/>
      <c r="S563" s="20"/>
      <c r="T563" s="20"/>
      <c r="U563" s="20"/>
      <c r="V563" s="20"/>
    </row>
    <row r="564" ht="13.5" customHeight="1" spans="1:22">
      <c r="A564" s="20"/>
      <c r="B564" s="20"/>
      <c r="C564" s="20"/>
      <c r="D564" s="20"/>
      <c r="E564" s="20"/>
      <c r="F564" s="20"/>
      <c r="G564" s="20"/>
      <c r="H564" s="20"/>
      <c r="I564" s="20"/>
      <c r="J564" s="20"/>
      <c r="K564" s="20"/>
      <c r="L564" s="20"/>
      <c r="M564" s="20"/>
      <c r="N564" s="20"/>
      <c r="O564" s="20"/>
      <c r="P564" s="20"/>
      <c r="Q564" s="20"/>
      <c r="R564" s="20"/>
      <c r="S564" s="20"/>
      <c r="T564" s="20"/>
      <c r="U564" s="20"/>
      <c r="V564" s="20"/>
    </row>
    <row r="565" ht="13.5" customHeight="1" spans="1:22">
      <c r="A565" s="20"/>
      <c r="B565" s="20"/>
      <c r="C565" s="20"/>
      <c r="D565" s="20"/>
      <c r="E565" s="20"/>
      <c r="F565" s="20"/>
      <c r="G565" s="20"/>
      <c r="H565" s="20"/>
      <c r="I565" s="20"/>
      <c r="J565" s="20"/>
      <c r="K565" s="20"/>
      <c r="L565" s="20"/>
      <c r="M565" s="20"/>
      <c r="N565" s="20"/>
      <c r="O565" s="20"/>
      <c r="P565" s="20"/>
      <c r="Q565" s="20"/>
      <c r="R565" s="20"/>
      <c r="S565" s="20"/>
      <c r="T565" s="20"/>
      <c r="U565" s="20"/>
      <c r="V565" s="20"/>
    </row>
    <row r="566" ht="13.5" customHeight="1" spans="1:22">
      <c r="A566" s="20"/>
      <c r="B566" s="20"/>
      <c r="C566" s="20"/>
      <c r="D566" s="20"/>
      <c r="E566" s="20"/>
      <c r="F566" s="20"/>
      <c r="G566" s="20"/>
      <c r="H566" s="20"/>
      <c r="I566" s="20"/>
      <c r="J566" s="20"/>
      <c r="K566" s="20"/>
      <c r="L566" s="20"/>
      <c r="M566" s="20"/>
      <c r="N566" s="20"/>
      <c r="O566" s="20"/>
      <c r="P566" s="20"/>
      <c r="Q566" s="20"/>
      <c r="R566" s="20"/>
      <c r="S566" s="20"/>
      <c r="T566" s="20"/>
      <c r="U566" s="20"/>
      <c r="V566" s="20"/>
    </row>
    <row r="567" ht="13.5" customHeight="1" spans="1:22">
      <c r="A567" s="20"/>
      <c r="B567" s="20"/>
      <c r="C567" s="20"/>
      <c r="D567" s="20"/>
      <c r="E567" s="20"/>
      <c r="F567" s="20"/>
      <c r="G567" s="20"/>
      <c r="H567" s="20"/>
      <c r="I567" s="20"/>
      <c r="J567" s="20"/>
      <c r="K567" s="20"/>
      <c r="L567" s="20"/>
      <c r="M567" s="20"/>
      <c r="N567" s="20"/>
      <c r="O567" s="20"/>
      <c r="P567" s="20"/>
      <c r="Q567" s="20"/>
      <c r="R567" s="20"/>
      <c r="S567" s="20"/>
      <c r="T567" s="20"/>
      <c r="U567" s="20"/>
      <c r="V567" s="20"/>
    </row>
    <row r="568" ht="13.5" customHeight="1" spans="1:22">
      <c r="A568" s="20"/>
      <c r="B568" s="20"/>
      <c r="C568" s="20"/>
      <c r="D568" s="20"/>
      <c r="E568" s="20"/>
      <c r="F568" s="20"/>
      <c r="G568" s="20"/>
      <c r="H568" s="20"/>
      <c r="I568" s="20"/>
      <c r="J568" s="20"/>
      <c r="K568" s="20"/>
      <c r="L568" s="20"/>
      <c r="M568" s="20"/>
      <c r="N568" s="20"/>
      <c r="O568" s="20"/>
      <c r="P568" s="20"/>
      <c r="Q568" s="20"/>
      <c r="R568" s="20"/>
      <c r="S568" s="20"/>
      <c r="T568" s="20"/>
      <c r="U568" s="20"/>
      <c r="V568" s="20"/>
    </row>
    <row r="569" ht="13.5" customHeight="1" spans="1:22">
      <c r="A569" s="20"/>
      <c r="B569" s="20"/>
      <c r="C569" s="20"/>
      <c r="D569" s="20"/>
      <c r="E569" s="20"/>
      <c r="F569" s="20"/>
      <c r="G569" s="20"/>
      <c r="H569" s="20"/>
      <c r="I569" s="20"/>
      <c r="J569" s="20"/>
      <c r="K569" s="20"/>
      <c r="L569" s="20"/>
      <c r="M569" s="20"/>
      <c r="N569" s="20"/>
      <c r="O569" s="20"/>
      <c r="P569" s="20"/>
      <c r="Q569" s="20"/>
      <c r="R569" s="20"/>
      <c r="S569" s="20"/>
      <c r="T569" s="20"/>
      <c r="U569" s="20"/>
      <c r="V569" s="20"/>
    </row>
    <row r="570" ht="13.5" customHeight="1" spans="1:22">
      <c r="A570" s="20"/>
      <c r="B570" s="20"/>
      <c r="C570" s="20"/>
      <c r="D570" s="20"/>
      <c r="E570" s="20"/>
      <c r="F570" s="20"/>
      <c r="G570" s="20"/>
      <c r="H570" s="20"/>
      <c r="I570" s="20"/>
      <c r="J570" s="20"/>
      <c r="K570" s="20"/>
      <c r="L570" s="20"/>
      <c r="M570" s="20"/>
      <c r="N570" s="20"/>
      <c r="O570" s="20"/>
      <c r="P570" s="20"/>
      <c r="Q570" s="20"/>
      <c r="R570" s="20"/>
      <c r="S570" s="20"/>
      <c r="T570" s="20"/>
      <c r="U570" s="20"/>
      <c r="V570" s="20"/>
    </row>
    <row r="571" ht="13.5" customHeight="1" spans="1:22">
      <c r="A571" s="20"/>
      <c r="B571" s="20"/>
      <c r="C571" s="20"/>
      <c r="D571" s="20"/>
      <c r="E571" s="20"/>
      <c r="F571" s="20"/>
      <c r="G571" s="20"/>
      <c r="H571" s="20"/>
      <c r="I571" s="20"/>
      <c r="J571" s="20"/>
      <c r="K571" s="20"/>
      <c r="L571" s="20"/>
      <c r="M571" s="20"/>
      <c r="N571" s="20"/>
      <c r="O571" s="20"/>
      <c r="P571" s="20"/>
      <c r="Q571" s="20"/>
      <c r="R571" s="20"/>
      <c r="S571" s="20"/>
      <c r="T571" s="20"/>
      <c r="U571" s="20"/>
      <c r="V571" s="20"/>
    </row>
    <row r="572" ht="13.5" customHeight="1" spans="1:22">
      <c r="A572" s="20"/>
      <c r="B572" s="20"/>
      <c r="C572" s="20"/>
      <c r="D572" s="20"/>
      <c r="E572" s="20"/>
      <c r="F572" s="20"/>
      <c r="G572" s="20"/>
      <c r="H572" s="20"/>
      <c r="I572" s="20"/>
      <c r="J572" s="20"/>
      <c r="K572" s="20"/>
      <c r="L572" s="20"/>
      <c r="M572" s="20"/>
      <c r="N572" s="20"/>
      <c r="O572" s="20"/>
      <c r="P572" s="20"/>
      <c r="Q572" s="20"/>
      <c r="R572" s="20"/>
      <c r="S572" s="20"/>
      <c r="T572" s="20"/>
      <c r="U572" s="20"/>
      <c r="V572" s="20"/>
    </row>
    <row r="573" ht="13.5" customHeight="1" spans="1:22">
      <c r="A573" s="20"/>
      <c r="B573" s="20"/>
      <c r="C573" s="20"/>
      <c r="D573" s="20"/>
      <c r="E573" s="20"/>
      <c r="F573" s="20"/>
      <c r="G573" s="20"/>
      <c r="H573" s="20"/>
      <c r="I573" s="20"/>
      <c r="J573" s="20"/>
      <c r="K573" s="20"/>
      <c r="L573" s="20"/>
      <c r="M573" s="20"/>
      <c r="N573" s="20"/>
      <c r="O573" s="20"/>
      <c r="P573" s="20"/>
      <c r="Q573" s="20"/>
      <c r="R573" s="20"/>
      <c r="S573" s="20"/>
      <c r="T573" s="20"/>
      <c r="U573" s="20"/>
      <c r="V573" s="20"/>
    </row>
    <row r="574" ht="13.5" customHeight="1" spans="1:22">
      <c r="A574" s="20"/>
      <c r="B574" s="20"/>
      <c r="C574" s="20"/>
      <c r="D574" s="20"/>
      <c r="E574" s="20"/>
      <c r="F574" s="20"/>
      <c r="G574" s="20"/>
      <c r="H574" s="20"/>
      <c r="I574" s="20"/>
      <c r="J574" s="20"/>
      <c r="K574" s="20"/>
      <c r="L574" s="20"/>
      <c r="M574" s="20"/>
      <c r="N574" s="20"/>
      <c r="O574" s="20"/>
      <c r="P574" s="20"/>
      <c r="Q574" s="20"/>
      <c r="R574" s="20"/>
      <c r="S574" s="20"/>
      <c r="T574" s="20"/>
      <c r="U574" s="20"/>
      <c r="V574" s="20"/>
    </row>
    <row r="575" ht="13.5" customHeight="1" spans="1:22">
      <c r="A575" s="20"/>
      <c r="B575" s="20"/>
      <c r="C575" s="20"/>
      <c r="D575" s="20"/>
      <c r="E575" s="20"/>
      <c r="F575" s="20"/>
      <c r="G575" s="20"/>
      <c r="H575" s="20"/>
      <c r="I575" s="20"/>
      <c r="J575" s="20"/>
      <c r="K575" s="20"/>
      <c r="L575" s="20"/>
      <c r="M575" s="20"/>
      <c r="N575" s="20"/>
      <c r="O575" s="20"/>
      <c r="P575" s="20"/>
      <c r="Q575" s="20"/>
      <c r="R575" s="20"/>
      <c r="S575" s="20"/>
      <c r="T575" s="20"/>
      <c r="U575" s="20"/>
      <c r="V575" s="20"/>
    </row>
    <row r="576" ht="13.5" customHeight="1" spans="1:22">
      <c r="A576" s="20"/>
      <c r="B576" s="20"/>
      <c r="C576" s="20"/>
      <c r="D576" s="20"/>
      <c r="E576" s="20"/>
      <c r="F576" s="20"/>
      <c r="G576" s="20"/>
      <c r="H576" s="20"/>
      <c r="I576" s="20"/>
      <c r="J576" s="20"/>
      <c r="K576" s="20"/>
      <c r="L576" s="20"/>
      <c r="M576" s="20"/>
      <c r="N576" s="20"/>
      <c r="O576" s="20"/>
      <c r="P576" s="20"/>
      <c r="Q576" s="20"/>
      <c r="R576" s="20"/>
      <c r="S576" s="20"/>
      <c r="T576" s="20"/>
      <c r="U576" s="20"/>
      <c r="V576" s="20"/>
    </row>
    <row r="577" ht="13.5" customHeight="1" spans="1:22">
      <c r="A577" s="20"/>
      <c r="B577" s="20"/>
      <c r="C577" s="20"/>
      <c r="D577" s="20"/>
      <c r="E577" s="20"/>
      <c r="F577" s="20"/>
      <c r="G577" s="20"/>
      <c r="H577" s="20"/>
      <c r="I577" s="20"/>
      <c r="J577" s="20"/>
      <c r="K577" s="20"/>
      <c r="L577" s="20"/>
      <c r="M577" s="20"/>
      <c r="N577" s="20"/>
      <c r="O577" s="20"/>
      <c r="P577" s="20"/>
      <c r="Q577" s="20"/>
      <c r="R577" s="20"/>
      <c r="S577" s="20"/>
      <c r="T577" s="20"/>
      <c r="U577" s="20"/>
      <c r="V577" s="20"/>
    </row>
    <row r="578" ht="13.5" customHeight="1" spans="1:22">
      <c r="A578" s="20"/>
      <c r="B578" s="20"/>
      <c r="C578" s="20"/>
      <c r="D578" s="20"/>
      <c r="E578" s="20"/>
      <c r="F578" s="20"/>
      <c r="G578" s="20"/>
      <c r="H578" s="20"/>
      <c r="I578" s="20"/>
      <c r="J578" s="20"/>
      <c r="K578" s="20"/>
      <c r="L578" s="20"/>
      <c r="M578" s="20"/>
      <c r="N578" s="20"/>
      <c r="O578" s="20"/>
      <c r="P578" s="20"/>
      <c r="Q578" s="20"/>
      <c r="R578" s="20"/>
      <c r="S578" s="20"/>
      <c r="T578" s="20"/>
      <c r="U578" s="20"/>
      <c r="V578" s="20"/>
    </row>
    <row r="579" ht="13.5" customHeight="1" spans="1:22">
      <c r="A579" s="20"/>
      <c r="B579" s="20"/>
      <c r="C579" s="20"/>
      <c r="D579" s="20"/>
      <c r="E579" s="20"/>
      <c r="F579" s="20"/>
      <c r="G579" s="20"/>
      <c r="H579" s="20"/>
      <c r="I579" s="20"/>
      <c r="J579" s="20"/>
      <c r="K579" s="20"/>
      <c r="L579" s="20"/>
      <c r="M579" s="20"/>
      <c r="N579" s="20"/>
      <c r="O579" s="20"/>
      <c r="P579" s="20"/>
      <c r="Q579" s="20"/>
      <c r="R579" s="20"/>
      <c r="S579" s="20"/>
      <c r="T579" s="20"/>
      <c r="U579" s="20"/>
      <c r="V579" s="20"/>
    </row>
    <row r="580" ht="13.5" customHeight="1" spans="1:22">
      <c r="A580" s="20"/>
      <c r="B580" s="20"/>
      <c r="C580" s="20"/>
      <c r="D580" s="20"/>
      <c r="E580" s="20"/>
      <c r="F580" s="20"/>
      <c r="G580" s="20"/>
      <c r="H580" s="20"/>
      <c r="I580" s="20"/>
      <c r="J580" s="20"/>
      <c r="K580" s="20"/>
      <c r="L580" s="20"/>
      <c r="M580" s="20"/>
      <c r="N580" s="20"/>
      <c r="O580" s="20"/>
      <c r="P580" s="20"/>
      <c r="Q580" s="20"/>
      <c r="R580" s="20"/>
      <c r="S580" s="20"/>
      <c r="T580" s="20"/>
      <c r="U580" s="20"/>
      <c r="V580" s="20"/>
    </row>
    <row r="581" ht="13.5" customHeight="1" spans="1:22">
      <c r="A581" s="20"/>
      <c r="B581" s="20"/>
      <c r="C581" s="20"/>
      <c r="D581" s="20"/>
      <c r="E581" s="20"/>
      <c r="F581" s="20"/>
      <c r="G581" s="20"/>
      <c r="H581" s="20"/>
      <c r="I581" s="20"/>
      <c r="J581" s="20"/>
      <c r="K581" s="20"/>
      <c r="L581" s="20"/>
      <c r="M581" s="20"/>
      <c r="N581" s="20"/>
      <c r="O581" s="20"/>
      <c r="P581" s="20"/>
      <c r="Q581" s="20"/>
      <c r="R581" s="20"/>
      <c r="S581" s="20"/>
      <c r="T581" s="20"/>
      <c r="U581" s="20"/>
      <c r="V581" s="20"/>
    </row>
    <row r="582" ht="13.5" customHeight="1" spans="1:22">
      <c r="A582" s="20"/>
      <c r="B582" s="20"/>
      <c r="C582" s="20"/>
      <c r="D582" s="20"/>
      <c r="E582" s="20"/>
      <c r="F582" s="20"/>
      <c r="G582" s="20"/>
      <c r="H582" s="20"/>
      <c r="I582" s="20"/>
      <c r="J582" s="20"/>
      <c r="K582" s="20"/>
      <c r="L582" s="20"/>
      <c r="M582" s="20"/>
      <c r="N582" s="20"/>
      <c r="O582" s="20"/>
      <c r="P582" s="20"/>
      <c r="Q582" s="20"/>
      <c r="R582" s="20"/>
      <c r="S582" s="20"/>
      <c r="T582" s="20"/>
      <c r="U582" s="20"/>
      <c r="V582" s="20"/>
    </row>
    <row r="583" ht="13.5" customHeight="1" spans="1:22">
      <c r="A583" s="20"/>
      <c r="B583" s="20"/>
      <c r="C583" s="20"/>
      <c r="D583" s="20"/>
      <c r="E583" s="20"/>
      <c r="F583" s="20"/>
      <c r="G583" s="20"/>
      <c r="H583" s="20"/>
      <c r="I583" s="20"/>
      <c r="J583" s="20"/>
      <c r="K583" s="20"/>
      <c r="L583" s="20"/>
      <c r="M583" s="20"/>
      <c r="N583" s="20"/>
      <c r="O583" s="20"/>
      <c r="P583" s="20"/>
      <c r="Q583" s="20"/>
      <c r="R583" s="20"/>
      <c r="S583" s="20"/>
      <c r="T583" s="20"/>
      <c r="U583" s="20"/>
      <c r="V583" s="20"/>
    </row>
    <row r="584" ht="13.5" customHeight="1" spans="1:22">
      <c r="A584" s="20"/>
      <c r="B584" s="20"/>
      <c r="C584" s="20"/>
      <c r="D584" s="20"/>
      <c r="E584" s="20"/>
      <c r="F584" s="20"/>
      <c r="G584" s="20"/>
      <c r="H584" s="20"/>
      <c r="I584" s="20"/>
      <c r="J584" s="20"/>
      <c r="K584" s="20"/>
      <c r="L584" s="20"/>
      <c r="M584" s="20"/>
      <c r="N584" s="20"/>
      <c r="O584" s="20"/>
      <c r="P584" s="20"/>
      <c r="Q584" s="20"/>
      <c r="R584" s="20"/>
      <c r="S584" s="20"/>
      <c r="T584" s="20"/>
      <c r="U584" s="20"/>
      <c r="V584" s="20"/>
    </row>
    <row r="585" ht="13.5" customHeight="1" spans="1:22">
      <c r="A585" s="20"/>
      <c r="B585" s="20"/>
      <c r="C585" s="20"/>
      <c r="D585" s="20"/>
      <c r="E585" s="20"/>
      <c r="F585" s="20"/>
      <c r="G585" s="20"/>
      <c r="H585" s="20"/>
      <c r="I585" s="20"/>
      <c r="J585" s="20"/>
      <c r="K585" s="20"/>
      <c r="L585" s="20"/>
      <c r="M585" s="20"/>
      <c r="N585" s="20"/>
      <c r="O585" s="20"/>
      <c r="P585" s="20"/>
      <c r="Q585" s="20"/>
      <c r="R585" s="20"/>
      <c r="S585" s="20"/>
      <c r="T585" s="20"/>
      <c r="U585" s="20"/>
      <c r="V585" s="20"/>
    </row>
    <row r="586" ht="13.5" customHeight="1" spans="1:22">
      <c r="A586" s="20"/>
      <c r="B586" s="20"/>
      <c r="C586" s="20"/>
      <c r="D586" s="20"/>
      <c r="E586" s="20"/>
      <c r="F586" s="20"/>
      <c r="G586" s="20"/>
      <c r="H586" s="20"/>
      <c r="I586" s="20"/>
      <c r="J586" s="20"/>
      <c r="K586" s="20"/>
      <c r="L586" s="20"/>
      <c r="M586" s="20"/>
      <c r="N586" s="20"/>
      <c r="O586" s="20"/>
      <c r="P586" s="20"/>
      <c r="Q586" s="20"/>
      <c r="R586" s="20"/>
      <c r="S586" s="20"/>
      <c r="T586" s="20"/>
      <c r="U586" s="20"/>
      <c r="V586" s="20"/>
    </row>
    <row r="587" ht="13.5" customHeight="1" spans="1:22">
      <c r="A587" s="20"/>
      <c r="B587" s="20"/>
      <c r="C587" s="20"/>
      <c r="D587" s="20"/>
      <c r="E587" s="20"/>
      <c r="F587" s="20"/>
      <c r="G587" s="20"/>
      <c r="H587" s="20"/>
      <c r="I587" s="20"/>
      <c r="J587" s="20"/>
      <c r="K587" s="20"/>
      <c r="L587" s="20"/>
      <c r="M587" s="20"/>
      <c r="N587" s="20"/>
      <c r="O587" s="20"/>
      <c r="P587" s="20"/>
      <c r="Q587" s="20"/>
      <c r="R587" s="20"/>
      <c r="S587" s="20"/>
      <c r="T587" s="20"/>
      <c r="U587" s="20"/>
      <c r="V587" s="20"/>
    </row>
    <row r="588" ht="13.5" customHeight="1" spans="1:22">
      <c r="A588" s="20"/>
      <c r="B588" s="20"/>
      <c r="C588" s="20"/>
      <c r="D588" s="20"/>
      <c r="E588" s="20"/>
      <c r="F588" s="20"/>
      <c r="G588" s="20"/>
      <c r="H588" s="20"/>
      <c r="I588" s="20"/>
      <c r="J588" s="20"/>
      <c r="K588" s="20"/>
      <c r="L588" s="20"/>
      <c r="M588" s="20"/>
      <c r="N588" s="20"/>
      <c r="O588" s="20"/>
      <c r="P588" s="20"/>
      <c r="Q588" s="20"/>
      <c r="R588" s="20"/>
      <c r="S588" s="20"/>
      <c r="T588" s="20"/>
      <c r="U588" s="20"/>
      <c r="V588" s="20"/>
    </row>
    <row r="589" ht="13.5" customHeight="1" spans="1:22">
      <c r="A589" s="20"/>
      <c r="B589" s="20"/>
      <c r="C589" s="20"/>
      <c r="D589" s="20"/>
      <c r="E589" s="20"/>
      <c r="F589" s="20"/>
      <c r="G589" s="20"/>
      <c r="H589" s="20"/>
      <c r="I589" s="20"/>
      <c r="J589" s="20"/>
      <c r="K589" s="20"/>
      <c r="L589" s="20"/>
      <c r="M589" s="20"/>
      <c r="N589" s="20"/>
      <c r="O589" s="20"/>
      <c r="P589" s="20"/>
      <c r="Q589" s="20"/>
      <c r="R589" s="20"/>
      <c r="S589" s="20"/>
      <c r="T589" s="20"/>
      <c r="U589" s="20"/>
      <c r="V589" s="20"/>
    </row>
    <row r="590" ht="13.5" customHeight="1" spans="1:22">
      <c r="A590" s="20"/>
      <c r="B590" s="20"/>
      <c r="C590" s="20"/>
      <c r="D590" s="20"/>
      <c r="E590" s="20"/>
      <c r="F590" s="20"/>
      <c r="G590" s="20"/>
      <c r="H590" s="20"/>
      <c r="I590" s="20"/>
      <c r="J590" s="20"/>
      <c r="K590" s="20"/>
      <c r="L590" s="20"/>
      <c r="M590" s="20"/>
      <c r="N590" s="20"/>
      <c r="O590" s="20"/>
      <c r="P590" s="20"/>
      <c r="Q590" s="20"/>
      <c r="R590" s="20"/>
      <c r="S590" s="20"/>
      <c r="T590" s="20"/>
      <c r="U590" s="20"/>
      <c r="V590" s="20"/>
    </row>
    <row r="591" ht="13.5" customHeight="1" spans="1:22">
      <c r="A591" s="20"/>
      <c r="B591" s="20"/>
      <c r="C591" s="20"/>
      <c r="D591" s="20"/>
      <c r="E591" s="20"/>
      <c r="F591" s="20"/>
      <c r="G591" s="20"/>
      <c r="H591" s="20"/>
      <c r="I591" s="20"/>
      <c r="J591" s="20"/>
      <c r="K591" s="20"/>
      <c r="L591" s="20"/>
      <c r="M591" s="20"/>
      <c r="N591" s="20"/>
      <c r="O591" s="20"/>
      <c r="P591" s="20"/>
      <c r="Q591" s="20"/>
      <c r="R591" s="20"/>
      <c r="S591" s="20"/>
      <c r="T591" s="20"/>
      <c r="U591" s="20"/>
      <c r="V591" s="20"/>
    </row>
    <row r="592" ht="13.5" customHeight="1" spans="1:22">
      <c r="A592" s="20"/>
      <c r="B592" s="20"/>
      <c r="C592" s="20"/>
      <c r="D592" s="20"/>
      <c r="E592" s="20"/>
      <c r="F592" s="20"/>
      <c r="G592" s="20"/>
      <c r="H592" s="20"/>
      <c r="I592" s="20"/>
      <c r="J592" s="20"/>
      <c r="K592" s="20"/>
      <c r="L592" s="20"/>
      <c r="M592" s="20"/>
      <c r="N592" s="20"/>
      <c r="O592" s="20"/>
      <c r="P592" s="20"/>
      <c r="Q592" s="20"/>
      <c r="R592" s="20"/>
      <c r="S592" s="20"/>
      <c r="T592" s="20"/>
      <c r="U592" s="20"/>
      <c r="V592" s="20"/>
    </row>
    <row r="593" ht="13.5" customHeight="1" spans="1:22">
      <c r="A593" s="20"/>
      <c r="B593" s="20"/>
      <c r="C593" s="20"/>
      <c r="D593" s="20"/>
      <c r="E593" s="20"/>
      <c r="F593" s="20"/>
      <c r="G593" s="20"/>
      <c r="H593" s="20"/>
      <c r="I593" s="20"/>
      <c r="J593" s="20"/>
      <c r="K593" s="20"/>
      <c r="L593" s="20"/>
      <c r="M593" s="20"/>
      <c r="N593" s="20"/>
      <c r="O593" s="20"/>
      <c r="P593" s="20"/>
      <c r="Q593" s="20"/>
      <c r="R593" s="20"/>
      <c r="S593" s="20"/>
      <c r="T593" s="20"/>
      <c r="U593" s="20"/>
      <c r="V593" s="20"/>
    </row>
    <row r="594" ht="13.5" customHeight="1" spans="1:22">
      <c r="A594" s="20"/>
      <c r="B594" s="20"/>
      <c r="C594" s="20"/>
      <c r="D594" s="20"/>
      <c r="E594" s="20"/>
      <c r="F594" s="20"/>
      <c r="G594" s="20"/>
      <c r="H594" s="20"/>
      <c r="I594" s="20"/>
      <c r="J594" s="20"/>
      <c r="K594" s="20"/>
      <c r="L594" s="20"/>
      <c r="M594" s="20"/>
      <c r="N594" s="20"/>
      <c r="O594" s="20"/>
      <c r="P594" s="20"/>
      <c r="Q594" s="20"/>
      <c r="R594" s="20"/>
      <c r="S594" s="20"/>
      <c r="T594" s="20"/>
      <c r="U594" s="20"/>
      <c r="V594" s="20"/>
    </row>
    <row r="595" ht="13.5" customHeight="1" spans="1:22">
      <c r="A595" s="20"/>
      <c r="B595" s="20"/>
      <c r="C595" s="20"/>
      <c r="D595" s="20"/>
      <c r="E595" s="20"/>
      <c r="F595" s="20"/>
      <c r="G595" s="20"/>
      <c r="H595" s="20"/>
      <c r="I595" s="20"/>
      <c r="J595" s="20"/>
      <c r="K595" s="20"/>
      <c r="L595" s="20"/>
      <c r="M595" s="20"/>
      <c r="N595" s="20"/>
      <c r="O595" s="20"/>
      <c r="P595" s="20"/>
      <c r="Q595" s="20"/>
      <c r="R595" s="20"/>
      <c r="S595" s="20"/>
      <c r="T595" s="20"/>
      <c r="U595" s="20"/>
      <c r="V595" s="20"/>
    </row>
    <row r="596" ht="13.5" customHeight="1" spans="1:22">
      <c r="A596" s="20"/>
      <c r="B596" s="20"/>
      <c r="C596" s="20"/>
      <c r="D596" s="20"/>
      <c r="E596" s="20"/>
      <c r="F596" s="20"/>
      <c r="G596" s="20"/>
      <c r="H596" s="20"/>
      <c r="I596" s="20"/>
      <c r="J596" s="20"/>
      <c r="K596" s="20"/>
      <c r="L596" s="20"/>
      <c r="M596" s="20"/>
      <c r="N596" s="20"/>
      <c r="O596" s="20"/>
      <c r="P596" s="20"/>
      <c r="Q596" s="20"/>
      <c r="R596" s="20"/>
      <c r="S596" s="20"/>
      <c r="T596" s="20"/>
      <c r="U596" s="20"/>
      <c r="V596" s="20"/>
    </row>
    <row r="597" ht="13.5" customHeight="1" spans="1:22">
      <c r="A597" s="20"/>
      <c r="B597" s="20"/>
      <c r="C597" s="20"/>
      <c r="D597" s="20"/>
      <c r="E597" s="20"/>
      <c r="F597" s="20"/>
      <c r="G597" s="20"/>
      <c r="H597" s="20"/>
      <c r="I597" s="20"/>
      <c r="J597" s="20"/>
      <c r="K597" s="20"/>
      <c r="L597" s="20"/>
      <c r="M597" s="20"/>
      <c r="N597" s="20"/>
      <c r="O597" s="20"/>
      <c r="P597" s="20"/>
      <c r="Q597" s="20"/>
      <c r="R597" s="20"/>
      <c r="S597" s="20"/>
      <c r="T597" s="20"/>
      <c r="U597" s="20"/>
      <c r="V597" s="20"/>
    </row>
    <row r="598" ht="13.5" customHeight="1" spans="1:22">
      <c r="A598" s="20"/>
      <c r="B598" s="20"/>
      <c r="C598" s="20"/>
      <c r="D598" s="20"/>
      <c r="E598" s="20"/>
      <c r="F598" s="20"/>
      <c r="G598" s="20"/>
      <c r="H598" s="20"/>
      <c r="I598" s="20"/>
      <c r="J598" s="20"/>
      <c r="K598" s="20"/>
      <c r="L598" s="20"/>
      <c r="M598" s="20"/>
      <c r="N598" s="20"/>
      <c r="O598" s="20"/>
      <c r="P598" s="20"/>
      <c r="Q598" s="20"/>
      <c r="R598" s="20"/>
      <c r="S598" s="20"/>
      <c r="T598" s="20"/>
      <c r="U598" s="20"/>
      <c r="V598" s="20"/>
    </row>
    <row r="599" ht="13.5" customHeight="1" spans="1:22">
      <c r="A599" s="20"/>
      <c r="B599" s="20"/>
      <c r="C599" s="20"/>
      <c r="D599" s="20"/>
      <c r="E599" s="20"/>
      <c r="F599" s="20"/>
      <c r="G599" s="20"/>
      <c r="H599" s="20"/>
      <c r="I599" s="20"/>
      <c r="J599" s="20"/>
      <c r="K599" s="20"/>
      <c r="L599" s="20"/>
      <c r="M599" s="20"/>
      <c r="N599" s="20"/>
      <c r="O599" s="20"/>
      <c r="P599" s="20"/>
      <c r="Q599" s="20"/>
      <c r="R599" s="20"/>
      <c r="S599" s="20"/>
      <c r="T599" s="20"/>
      <c r="U599" s="20"/>
      <c r="V599" s="20"/>
    </row>
    <row r="600" ht="13.5" customHeight="1" spans="1:22">
      <c r="A600" s="20"/>
      <c r="B600" s="20"/>
      <c r="C600" s="20"/>
      <c r="D600" s="20"/>
      <c r="E600" s="20"/>
      <c r="F600" s="20"/>
      <c r="G600" s="20"/>
      <c r="H600" s="20"/>
      <c r="I600" s="20"/>
      <c r="J600" s="20"/>
      <c r="K600" s="20"/>
      <c r="L600" s="20"/>
      <c r="M600" s="20"/>
      <c r="N600" s="20"/>
      <c r="O600" s="20"/>
      <c r="P600" s="20"/>
      <c r="Q600" s="20"/>
      <c r="R600" s="20"/>
      <c r="S600" s="20"/>
      <c r="T600" s="20"/>
      <c r="U600" s="20"/>
      <c r="V600" s="20"/>
    </row>
    <row r="601" ht="13.5" customHeight="1" spans="1:22">
      <c r="A601" s="20"/>
      <c r="B601" s="20"/>
      <c r="C601" s="20"/>
      <c r="D601" s="20"/>
      <c r="E601" s="20"/>
      <c r="F601" s="20"/>
      <c r="G601" s="20"/>
      <c r="H601" s="20"/>
      <c r="I601" s="20"/>
      <c r="J601" s="20"/>
      <c r="K601" s="20"/>
      <c r="L601" s="20"/>
      <c r="M601" s="20"/>
      <c r="N601" s="20"/>
      <c r="O601" s="20"/>
      <c r="P601" s="20"/>
      <c r="Q601" s="20"/>
      <c r="R601" s="20"/>
      <c r="S601" s="20"/>
      <c r="T601" s="20"/>
      <c r="U601" s="20"/>
      <c r="V601" s="20"/>
    </row>
    <row r="602" ht="13.5" customHeight="1" spans="1:22">
      <c r="A602" s="20"/>
      <c r="B602" s="20"/>
      <c r="C602" s="20"/>
      <c r="D602" s="20"/>
      <c r="E602" s="20"/>
      <c r="F602" s="20"/>
      <c r="G602" s="20"/>
      <c r="H602" s="20"/>
      <c r="I602" s="20"/>
      <c r="J602" s="20"/>
      <c r="K602" s="20"/>
      <c r="L602" s="20"/>
      <c r="M602" s="20"/>
      <c r="N602" s="20"/>
      <c r="O602" s="20"/>
      <c r="P602" s="20"/>
      <c r="Q602" s="20"/>
      <c r="R602" s="20"/>
      <c r="S602" s="20"/>
      <c r="T602" s="20"/>
      <c r="U602" s="20"/>
      <c r="V602" s="20"/>
    </row>
    <row r="603" ht="13.5" customHeight="1" spans="1:22">
      <c r="A603" s="20"/>
      <c r="B603" s="20"/>
      <c r="C603" s="20"/>
      <c r="D603" s="20"/>
      <c r="E603" s="20"/>
      <c r="F603" s="20"/>
      <c r="G603" s="20"/>
      <c r="H603" s="20"/>
      <c r="I603" s="20"/>
      <c r="J603" s="20"/>
      <c r="K603" s="20"/>
      <c r="L603" s="20"/>
      <c r="M603" s="20"/>
      <c r="N603" s="20"/>
      <c r="O603" s="20"/>
      <c r="P603" s="20"/>
      <c r="Q603" s="20"/>
      <c r="R603" s="20"/>
      <c r="S603" s="20"/>
      <c r="T603" s="20"/>
      <c r="U603" s="20"/>
      <c r="V603" s="20"/>
    </row>
    <row r="604" ht="13.5" customHeight="1" spans="1:22">
      <c r="A604" s="20"/>
      <c r="B604" s="20"/>
      <c r="C604" s="20"/>
      <c r="D604" s="20"/>
      <c r="E604" s="20"/>
      <c r="F604" s="20"/>
      <c r="G604" s="20"/>
      <c r="H604" s="20"/>
      <c r="I604" s="20"/>
      <c r="J604" s="20"/>
      <c r="K604" s="20"/>
      <c r="L604" s="20"/>
      <c r="M604" s="20"/>
      <c r="N604" s="20"/>
      <c r="O604" s="20"/>
      <c r="P604" s="20"/>
      <c r="Q604" s="20"/>
      <c r="R604" s="20"/>
      <c r="S604" s="20"/>
      <c r="T604" s="20"/>
      <c r="U604" s="20"/>
      <c r="V604" s="20"/>
    </row>
    <row r="605" ht="13.5" customHeight="1" spans="1:22">
      <c r="A605" s="20"/>
      <c r="B605" s="20"/>
      <c r="C605" s="20"/>
      <c r="D605" s="20"/>
      <c r="E605" s="20"/>
      <c r="F605" s="20"/>
      <c r="G605" s="20"/>
      <c r="H605" s="20"/>
      <c r="I605" s="20"/>
      <c r="J605" s="20"/>
      <c r="K605" s="20"/>
      <c r="L605" s="20"/>
      <c r="M605" s="20"/>
      <c r="N605" s="20"/>
      <c r="O605" s="20"/>
      <c r="P605" s="20"/>
      <c r="Q605" s="20"/>
      <c r="R605" s="20"/>
      <c r="S605" s="20"/>
      <c r="T605" s="20"/>
      <c r="U605" s="20"/>
      <c r="V605" s="20"/>
    </row>
    <row r="606" ht="13.5" customHeight="1" spans="1:22">
      <c r="A606" s="20"/>
      <c r="B606" s="20"/>
      <c r="C606" s="20"/>
      <c r="D606" s="20"/>
      <c r="E606" s="20"/>
      <c r="F606" s="20"/>
      <c r="G606" s="20"/>
      <c r="H606" s="20"/>
      <c r="I606" s="20"/>
      <c r="J606" s="20"/>
      <c r="K606" s="20"/>
      <c r="L606" s="20"/>
      <c r="M606" s="20"/>
      <c r="N606" s="20"/>
      <c r="O606" s="20"/>
      <c r="P606" s="20"/>
      <c r="Q606" s="20"/>
      <c r="R606" s="20"/>
      <c r="S606" s="20"/>
      <c r="T606" s="20"/>
      <c r="U606" s="20"/>
      <c r="V606" s="20"/>
    </row>
    <row r="607" ht="13.5" customHeight="1" spans="1:22">
      <c r="A607" s="20"/>
      <c r="B607" s="20"/>
      <c r="C607" s="20"/>
      <c r="D607" s="20"/>
      <c r="E607" s="20"/>
      <c r="F607" s="20"/>
      <c r="G607" s="20"/>
      <c r="H607" s="20"/>
      <c r="I607" s="20"/>
      <c r="J607" s="20"/>
      <c r="K607" s="20"/>
      <c r="L607" s="20"/>
      <c r="M607" s="20"/>
      <c r="N607" s="20"/>
      <c r="O607" s="20"/>
      <c r="P607" s="20"/>
      <c r="Q607" s="20"/>
      <c r="R607" s="20"/>
      <c r="S607" s="20"/>
      <c r="T607" s="20"/>
      <c r="U607" s="20"/>
      <c r="V607" s="20"/>
    </row>
    <row r="608" ht="13.5" customHeight="1" spans="1:22">
      <c r="A608" s="20"/>
      <c r="B608" s="20"/>
      <c r="C608" s="20"/>
      <c r="D608" s="20"/>
      <c r="E608" s="20"/>
      <c r="F608" s="20"/>
      <c r="G608" s="20"/>
      <c r="H608" s="20"/>
      <c r="I608" s="20"/>
      <c r="J608" s="20"/>
      <c r="K608" s="20"/>
      <c r="L608" s="20"/>
      <c r="M608" s="20"/>
      <c r="N608" s="20"/>
      <c r="O608" s="20"/>
      <c r="P608" s="20"/>
      <c r="Q608" s="20"/>
      <c r="R608" s="20"/>
      <c r="S608" s="20"/>
      <c r="T608" s="20"/>
      <c r="U608" s="20"/>
      <c r="V608" s="20"/>
    </row>
    <row r="609" ht="13.5" customHeight="1" spans="1:22">
      <c r="A609" s="20"/>
      <c r="B609" s="20"/>
      <c r="C609" s="20"/>
      <c r="D609" s="20"/>
      <c r="E609" s="20"/>
      <c r="F609" s="20"/>
      <c r="G609" s="20"/>
      <c r="H609" s="20"/>
      <c r="I609" s="20"/>
      <c r="J609" s="20"/>
      <c r="K609" s="20"/>
      <c r="L609" s="20"/>
      <c r="M609" s="20"/>
      <c r="N609" s="20"/>
      <c r="O609" s="20"/>
      <c r="P609" s="20"/>
      <c r="Q609" s="20"/>
      <c r="R609" s="20"/>
      <c r="S609" s="20"/>
      <c r="T609" s="20"/>
      <c r="U609" s="20"/>
      <c r="V609" s="20"/>
    </row>
    <row r="610" ht="13.5" customHeight="1" spans="1:22">
      <c r="A610" s="20"/>
      <c r="B610" s="20"/>
      <c r="C610" s="20"/>
      <c r="D610" s="20"/>
      <c r="E610" s="20"/>
      <c r="F610" s="20"/>
      <c r="G610" s="20"/>
      <c r="H610" s="20"/>
      <c r="I610" s="20"/>
      <c r="J610" s="20"/>
      <c r="K610" s="20"/>
      <c r="L610" s="20"/>
      <c r="M610" s="20"/>
      <c r="N610" s="20"/>
      <c r="O610" s="20"/>
      <c r="P610" s="20"/>
      <c r="Q610" s="20"/>
      <c r="R610" s="20"/>
      <c r="S610" s="20"/>
      <c r="T610" s="20"/>
      <c r="U610" s="20"/>
      <c r="V610" s="20"/>
    </row>
    <row r="611" ht="13.5" customHeight="1" spans="1:22">
      <c r="A611" s="20"/>
      <c r="B611" s="20"/>
      <c r="C611" s="20"/>
      <c r="D611" s="20"/>
      <c r="E611" s="20"/>
      <c r="F611" s="20"/>
      <c r="G611" s="20"/>
      <c r="H611" s="20"/>
      <c r="I611" s="20"/>
      <c r="J611" s="20"/>
      <c r="K611" s="20"/>
      <c r="L611" s="20"/>
      <c r="M611" s="20"/>
      <c r="N611" s="20"/>
      <c r="O611" s="20"/>
      <c r="P611" s="20"/>
      <c r="Q611" s="20"/>
      <c r="R611" s="20"/>
      <c r="S611" s="20"/>
      <c r="T611" s="20"/>
      <c r="U611" s="20"/>
      <c r="V611" s="20"/>
    </row>
    <row r="612" ht="13.5" customHeight="1" spans="1:22">
      <c r="A612" s="20"/>
      <c r="B612" s="20"/>
      <c r="C612" s="20"/>
      <c r="D612" s="20"/>
      <c r="E612" s="20"/>
      <c r="F612" s="20"/>
      <c r="G612" s="20"/>
      <c r="H612" s="20"/>
      <c r="I612" s="20"/>
      <c r="J612" s="20"/>
      <c r="K612" s="20"/>
      <c r="L612" s="20"/>
      <c r="M612" s="20"/>
      <c r="N612" s="20"/>
      <c r="O612" s="20"/>
      <c r="P612" s="20"/>
      <c r="Q612" s="20"/>
      <c r="R612" s="20"/>
      <c r="S612" s="20"/>
      <c r="T612" s="20"/>
      <c r="U612" s="20"/>
      <c r="V612" s="20"/>
    </row>
    <row r="613" ht="13.5" customHeight="1" spans="1:22">
      <c r="A613" s="20"/>
      <c r="B613" s="20"/>
      <c r="C613" s="20"/>
      <c r="D613" s="20"/>
      <c r="E613" s="20"/>
      <c r="F613" s="20"/>
      <c r="G613" s="20"/>
      <c r="H613" s="20"/>
      <c r="I613" s="20"/>
      <c r="J613" s="20"/>
      <c r="K613" s="20"/>
      <c r="L613" s="20"/>
      <c r="M613" s="20"/>
      <c r="N613" s="20"/>
      <c r="O613" s="20"/>
      <c r="P613" s="20"/>
      <c r="Q613" s="20"/>
      <c r="R613" s="20"/>
      <c r="S613" s="20"/>
      <c r="T613" s="20"/>
      <c r="U613" s="20"/>
      <c r="V613" s="20"/>
    </row>
    <row r="614" ht="13.5" customHeight="1" spans="1:22">
      <c r="A614" s="20"/>
      <c r="B614" s="20"/>
      <c r="C614" s="20"/>
      <c r="D614" s="20"/>
      <c r="E614" s="20"/>
      <c r="F614" s="20"/>
      <c r="G614" s="20"/>
      <c r="H614" s="20"/>
      <c r="I614" s="20"/>
      <c r="J614" s="20"/>
      <c r="K614" s="20"/>
      <c r="L614" s="20"/>
      <c r="M614" s="20"/>
      <c r="N614" s="20"/>
      <c r="O614" s="20"/>
      <c r="P614" s="20"/>
      <c r="Q614" s="20"/>
      <c r="R614" s="20"/>
      <c r="S614" s="20"/>
      <c r="T614" s="20"/>
      <c r="U614" s="20"/>
      <c r="V614" s="20"/>
    </row>
    <row r="615" ht="13.5" customHeight="1" spans="1:22">
      <c r="A615" s="20"/>
      <c r="B615" s="20"/>
      <c r="C615" s="20"/>
      <c r="D615" s="20"/>
      <c r="E615" s="20"/>
      <c r="F615" s="20"/>
      <c r="G615" s="20"/>
      <c r="H615" s="20"/>
      <c r="I615" s="20"/>
      <c r="J615" s="20"/>
      <c r="K615" s="20"/>
      <c r="L615" s="20"/>
      <c r="M615" s="20"/>
      <c r="N615" s="20"/>
      <c r="O615" s="20"/>
      <c r="P615" s="20"/>
      <c r="Q615" s="20"/>
      <c r="R615" s="20"/>
      <c r="S615" s="20"/>
      <c r="T615" s="20"/>
      <c r="U615" s="20"/>
      <c r="V615" s="20"/>
    </row>
    <row r="616" ht="13.5" customHeight="1" spans="1:22">
      <c r="A616" s="20"/>
      <c r="B616" s="20"/>
      <c r="C616" s="20"/>
      <c r="D616" s="20"/>
      <c r="E616" s="20"/>
      <c r="F616" s="20"/>
      <c r="G616" s="20"/>
      <c r="H616" s="20"/>
      <c r="I616" s="20"/>
      <c r="J616" s="20"/>
      <c r="K616" s="20"/>
      <c r="L616" s="20"/>
      <c r="M616" s="20"/>
      <c r="N616" s="20"/>
      <c r="O616" s="20"/>
      <c r="P616" s="20"/>
      <c r="Q616" s="20"/>
      <c r="R616" s="20"/>
      <c r="S616" s="20"/>
      <c r="T616" s="20"/>
      <c r="U616" s="20"/>
      <c r="V616" s="20"/>
    </row>
    <row r="617" ht="13.5" customHeight="1" spans="1:22">
      <c r="A617" s="20"/>
      <c r="B617" s="20"/>
      <c r="C617" s="20"/>
      <c r="D617" s="20"/>
      <c r="E617" s="20"/>
      <c r="F617" s="20"/>
      <c r="G617" s="20"/>
      <c r="H617" s="20"/>
      <c r="I617" s="20"/>
      <c r="J617" s="20"/>
      <c r="K617" s="20"/>
      <c r="L617" s="20"/>
      <c r="M617" s="20"/>
      <c r="N617" s="20"/>
      <c r="O617" s="20"/>
      <c r="P617" s="20"/>
      <c r="Q617" s="20"/>
      <c r="R617" s="20"/>
      <c r="S617" s="20"/>
      <c r="T617" s="20"/>
      <c r="U617" s="20"/>
      <c r="V617" s="20"/>
    </row>
    <row r="618" ht="13.5" customHeight="1" spans="1:22">
      <c r="A618" s="20"/>
      <c r="B618" s="20"/>
      <c r="C618" s="20"/>
      <c r="D618" s="20"/>
      <c r="E618" s="20"/>
      <c r="F618" s="20"/>
      <c r="G618" s="20"/>
      <c r="H618" s="20"/>
      <c r="I618" s="20"/>
      <c r="J618" s="20"/>
      <c r="K618" s="20"/>
      <c r="L618" s="20"/>
      <c r="M618" s="20"/>
      <c r="N618" s="20"/>
      <c r="O618" s="20"/>
      <c r="P618" s="20"/>
      <c r="Q618" s="20"/>
      <c r="R618" s="20"/>
      <c r="S618" s="20"/>
      <c r="T618" s="20"/>
      <c r="U618" s="20"/>
      <c r="V618" s="20"/>
    </row>
    <row r="619" ht="13.5" customHeight="1" spans="1:22">
      <c r="A619" s="20"/>
      <c r="B619" s="20"/>
      <c r="C619" s="20"/>
      <c r="D619" s="20"/>
      <c r="E619" s="20"/>
      <c r="F619" s="20"/>
      <c r="G619" s="20"/>
      <c r="H619" s="20"/>
      <c r="I619" s="20"/>
      <c r="J619" s="20"/>
      <c r="K619" s="20"/>
      <c r="L619" s="20"/>
      <c r="M619" s="20"/>
      <c r="N619" s="20"/>
      <c r="O619" s="20"/>
      <c r="P619" s="20"/>
      <c r="Q619" s="20"/>
      <c r="R619" s="20"/>
      <c r="S619" s="20"/>
      <c r="T619" s="20"/>
      <c r="U619" s="20"/>
      <c r="V619" s="20"/>
    </row>
    <row r="620" ht="13.5" customHeight="1" spans="1:22">
      <c r="A620" s="20"/>
      <c r="B620" s="20"/>
      <c r="C620" s="20"/>
      <c r="D620" s="20"/>
      <c r="E620" s="20"/>
      <c r="F620" s="20"/>
      <c r="G620" s="20"/>
      <c r="H620" s="20"/>
      <c r="I620" s="20"/>
      <c r="J620" s="20"/>
      <c r="K620" s="20"/>
      <c r="L620" s="20"/>
      <c r="M620" s="20"/>
      <c r="N620" s="20"/>
      <c r="O620" s="20"/>
      <c r="P620" s="20"/>
      <c r="Q620" s="20"/>
      <c r="R620" s="20"/>
      <c r="S620" s="20"/>
      <c r="T620" s="20"/>
      <c r="U620" s="20"/>
      <c r="V620" s="20"/>
    </row>
    <row r="621" ht="13.5" customHeight="1" spans="1:22">
      <c r="A621" s="20"/>
      <c r="B621" s="20"/>
      <c r="C621" s="20"/>
      <c r="D621" s="20"/>
      <c r="E621" s="20"/>
      <c r="F621" s="20"/>
      <c r="G621" s="20"/>
      <c r="H621" s="20"/>
      <c r="I621" s="20"/>
      <c r="J621" s="20"/>
      <c r="K621" s="20"/>
      <c r="L621" s="20"/>
      <c r="M621" s="20"/>
      <c r="N621" s="20"/>
      <c r="O621" s="20"/>
      <c r="P621" s="20"/>
      <c r="Q621" s="20"/>
      <c r="R621" s="20"/>
      <c r="S621" s="20"/>
      <c r="T621" s="20"/>
      <c r="U621" s="20"/>
      <c r="V621" s="20"/>
    </row>
    <row r="622" ht="13.5" customHeight="1" spans="1:22">
      <c r="A622" s="20"/>
      <c r="B622" s="20"/>
      <c r="C622" s="20"/>
      <c r="D622" s="20"/>
      <c r="E622" s="20"/>
      <c r="F622" s="20"/>
      <c r="G622" s="20"/>
      <c r="H622" s="20"/>
      <c r="I622" s="20"/>
      <c r="J622" s="20"/>
      <c r="K622" s="20"/>
      <c r="L622" s="20"/>
      <c r="M622" s="20"/>
      <c r="N622" s="20"/>
      <c r="O622" s="20"/>
      <c r="P622" s="20"/>
      <c r="Q622" s="20"/>
      <c r="R622" s="20"/>
      <c r="S622" s="20"/>
      <c r="T622" s="20"/>
      <c r="U622" s="20"/>
      <c r="V622" s="20"/>
    </row>
    <row r="623" ht="13.5" customHeight="1" spans="1:22">
      <c r="A623" s="20"/>
      <c r="B623" s="20"/>
      <c r="C623" s="20"/>
      <c r="D623" s="20"/>
      <c r="E623" s="20"/>
      <c r="F623" s="20"/>
      <c r="G623" s="20"/>
      <c r="H623" s="20"/>
      <c r="I623" s="20"/>
      <c r="J623" s="20"/>
      <c r="K623" s="20"/>
      <c r="L623" s="20"/>
      <c r="M623" s="20"/>
      <c r="N623" s="20"/>
      <c r="O623" s="20"/>
      <c r="P623" s="20"/>
      <c r="Q623" s="20"/>
      <c r="R623" s="20"/>
      <c r="S623" s="20"/>
      <c r="T623" s="20"/>
      <c r="U623" s="20"/>
      <c r="V623" s="20"/>
    </row>
    <row r="624" ht="13.5" customHeight="1" spans="1:22">
      <c r="A624" s="20"/>
      <c r="B624" s="20"/>
      <c r="C624" s="20"/>
      <c r="D624" s="20"/>
      <c r="E624" s="20"/>
      <c r="F624" s="20"/>
      <c r="G624" s="20"/>
      <c r="H624" s="20"/>
      <c r="I624" s="20"/>
      <c r="J624" s="20"/>
      <c r="K624" s="20"/>
      <c r="L624" s="20"/>
      <c r="M624" s="20"/>
      <c r="N624" s="20"/>
      <c r="O624" s="20"/>
      <c r="P624" s="20"/>
      <c r="Q624" s="20"/>
      <c r="R624" s="20"/>
      <c r="S624" s="20"/>
      <c r="T624" s="20"/>
      <c r="U624" s="20"/>
      <c r="V624" s="20"/>
    </row>
    <row r="625" ht="13.5" customHeight="1" spans="1:22">
      <c r="A625" s="20"/>
      <c r="B625" s="20"/>
      <c r="C625" s="20"/>
      <c r="D625" s="20"/>
      <c r="E625" s="20"/>
      <c r="F625" s="20"/>
      <c r="G625" s="20"/>
      <c r="H625" s="20"/>
      <c r="I625" s="20"/>
      <c r="J625" s="20"/>
      <c r="K625" s="20"/>
      <c r="L625" s="20"/>
      <c r="M625" s="20"/>
      <c r="N625" s="20"/>
      <c r="O625" s="20"/>
      <c r="P625" s="20"/>
      <c r="Q625" s="20"/>
      <c r="R625" s="20"/>
      <c r="S625" s="20"/>
      <c r="T625" s="20"/>
      <c r="U625" s="20"/>
      <c r="V625" s="20"/>
    </row>
    <row r="626" ht="13.5" customHeight="1" spans="1:22">
      <c r="A626" s="20"/>
      <c r="B626" s="20"/>
      <c r="C626" s="20"/>
      <c r="D626" s="20"/>
      <c r="E626" s="20"/>
      <c r="F626" s="20"/>
      <c r="G626" s="20"/>
      <c r="H626" s="20"/>
      <c r="I626" s="20"/>
      <c r="J626" s="20"/>
      <c r="K626" s="20"/>
      <c r="L626" s="20"/>
      <c r="M626" s="20"/>
      <c r="N626" s="20"/>
      <c r="O626" s="20"/>
      <c r="P626" s="20"/>
      <c r="Q626" s="20"/>
      <c r="R626" s="20"/>
      <c r="S626" s="20"/>
      <c r="T626" s="20"/>
      <c r="U626" s="20"/>
      <c r="V626" s="20"/>
    </row>
    <row r="627" ht="13.5" customHeight="1" spans="1:22">
      <c r="A627" s="20"/>
      <c r="B627" s="20"/>
      <c r="C627" s="20"/>
      <c r="D627" s="20"/>
      <c r="E627" s="20"/>
      <c r="F627" s="20"/>
      <c r="G627" s="20"/>
      <c r="H627" s="20"/>
      <c r="I627" s="20"/>
      <c r="J627" s="20"/>
      <c r="K627" s="20"/>
      <c r="L627" s="20"/>
      <c r="M627" s="20"/>
      <c r="N627" s="20"/>
      <c r="O627" s="20"/>
      <c r="P627" s="20"/>
      <c r="Q627" s="20"/>
      <c r="R627" s="20"/>
      <c r="S627" s="20"/>
      <c r="T627" s="20"/>
      <c r="U627" s="20"/>
      <c r="V627" s="20"/>
    </row>
    <row r="628" ht="13.5" customHeight="1" spans="1:22">
      <c r="A628" s="20"/>
      <c r="B628" s="20"/>
      <c r="C628" s="20"/>
      <c r="D628" s="20"/>
      <c r="E628" s="20"/>
      <c r="F628" s="20"/>
      <c r="G628" s="20"/>
      <c r="H628" s="20"/>
      <c r="I628" s="20"/>
      <c r="J628" s="20"/>
      <c r="K628" s="20"/>
      <c r="L628" s="20"/>
      <c r="M628" s="20"/>
      <c r="N628" s="20"/>
      <c r="O628" s="20"/>
      <c r="P628" s="20"/>
      <c r="Q628" s="20"/>
      <c r="R628" s="20"/>
      <c r="S628" s="20"/>
      <c r="T628" s="20"/>
      <c r="U628" s="20"/>
      <c r="V628" s="20"/>
    </row>
    <row r="629" ht="13.5" customHeight="1" spans="1:22">
      <c r="A629" s="20"/>
      <c r="B629" s="20"/>
      <c r="C629" s="20"/>
      <c r="D629" s="20"/>
      <c r="E629" s="20"/>
      <c r="F629" s="20"/>
      <c r="G629" s="20"/>
      <c r="H629" s="20"/>
      <c r="I629" s="20"/>
      <c r="J629" s="20"/>
      <c r="K629" s="20"/>
      <c r="L629" s="20"/>
      <c r="M629" s="20"/>
      <c r="N629" s="20"/>
      <c r="O629" s="20"/>
      <c r="P629" s="20"/>
      <c r="Q629" s="20"/>
      <c r="R629" s="20"/>
      <c r="S629" s="20"/>
      <c r="T629" s="20"/>
      <c r="U629" s="20"/>
      <c r="V629" s="20"/>
    </row>
    <row r="630" ht="13.5" customHeight="1" spans="1:22">
      <c r="A630" s="20"/>
      <c r="B630" s="20"/>
      <c r="C630" s="20"/>
      <c r="D630" s="20"/>
      <c r="E630" s="20"/>
      <c r="F630" s="20"/>
      <c r="G630" s="20"/>
      <c r="H630" s="20"/>
      <c r="I630" s="20"/>
      <c r="J630" s="20"/>
      <c r="K630" s="20"/>
      <c r="L630" s="20"/>
      <c r="M630" s="20"/>
      <c r="N630" s="20"/>
      <c r="O630" s="20"/>
      <c r="P630" s="20"/>
      <c r="Q630" s="20"/>
      <c r="R630" s="20"/>
      <c r="S630" s="20"/>
      <c r="T630" s="20"/>
      <c r="U630" s="20"/>
      <c r="V630" s="20"/>
    </row>
    <row r="631" ht="13.5" customHeight="1" spans="1:22">
      <c r="A631" s="20"/>
      <c r="B631" s="20"/>
      <c r="C631" s="20"/>
      <c r="D631" s="20"/>
      <c r="E631" s="20"/>
      <c r="F631" s="20"/>
      <c r="G631" s="20"/>
      <c r="H631" s="20"/>
      <c r="I631" s="20"/>
      <c r="J631" s="20"/>
      <c r="K631" s="20"/>
      <c r="L631" s="20"/>
      <c r="M631" s="20"/>
      <c r="N631" s="20"/>
      <c r="O631" s="20"/>
      <c r="P631" s="20"/>
      <c r="Q631" s="20"/>
      <c r="R631" s="20"/>
      <c r="S631" s="20"/>
      <c r="T631" s="20"/>
      <c r="U631" s="20"/>
      <c r="V631" s="20"/>
    </row>
    <row r="632" ht="13.5" customHeight="1" spans="1:22">
      <c r="A632" s="20"/>
      <c r="B632" s="20"/>
      <c r="C632" s="20"/>
      <c r="D632" s="20"/>
      <c r="E632" s="20"/>
      <c r="F632" s="20"/>
      <c r="G632" s="20"/>
      <c r="H632" s="20"/>
      <c r="I632" s="20"/>
      <c r="J632" s="20"/>
      <c r="K632" s="20"/>
      <c r="L632" s="20"/>
      <c r="M632" s="20"/>
      <c r="N632" s="20"/>
      <c r="O632" s="20"/>
      <c r="P632" s="20"/>
      <c r="Q632" s="20"/>
      <c r="R632" s="20"/>
      <c r="S632" s="20"/>
      <c r="T632" s="20"/>
      <c r="U632" s="20"/>
      <c r="V632" s="20"/>
    </row>
    <row r="633" ht="13.5" customHeight="1" spans="1:22">
      <c r="A633" s="20"/>
      <c r="B633" s="20"/>
      <c r="C633" s="20"/>
      <c r="D633" s="20"/>
      <c r="E633" s="20"/>
      <c r="F633" s="20"/>
      <c r="G633" s="20"/>
      <c r="H633" s="20"/>
      <c r="I633" s="20"/>
      <c r="J633" s="20"/>
      <c r="K633" s="20"/>
      <c r="L633" s="20"/>
      <c r="M633" s="20"/>
      <c r="N633" s="20"/>
      <c r="O633" s="20"/>
      <c r="P633" s="20"/>
      <c r="Q633" s="20"/>
      <c r="R633" s="20"/>
      <c r="S633" s="20"/>
      <c r="T633" s="20"/>
      <c r="U633" s="20"/>
      <c r="V633" s="20"/>
    </row>
    <row r="634" ht="13.5" customHeight="1" spans="1:22">
      <c r="A634" s="20"/>
      <c r="B634" s="20"/>
      <c r="C634" s="20"/>
      <c r="D634" s="20"/>
      <c r="E634" s="20"/>
      <c r="F634" s="20"/>
      <c r="G634" s="20"/>
      <c r="H634" s="20"/>
      <c r="I634" s="20"/>
      <c r="J634" s="20"/>
      <c r="K634" s="20"/>
      <c r="L634" s="20"/>
      <c r="M634" s="20"/>
      <c r="N634" s="20"/>
      <c r="O634" s="20"/>
      <c r="P634" s="20"/>
      <c r="Q634" s="20"/>
      <c r="R634" s="20"/>
      <c r="S634" s="20"/>
      <c r="T634" s="20"/>
      <c r="U634" s="20"/>
      <c r="V634" s="20"/>
    </row>
    <row r="635" ht="13.5" customHeight="1" spans="1:22">
      <c r="A635" s="20"/>
      <c r="B635" s="20"/>
      <c r="C635" s="20"/>
      <c r="D635" s="20"/>
      <c r="E635" s="20"/>
      <c r="F635" s="20"/>
      <c r="G635" s="20"/>
      <c r="H635" s="20"/>
      <c r="I635" s="20"/>
      <c r="J635" s="20"/>
      <c r="K635" s="20"/>
      <c r="L635" s="20"/>
      <c r="M635" s="20"/>
      <c r="N635" s="20"/>
      <c r="O635" s="20"/>
      <c r="P635" s="20"/>
      <c r="Q635" s="20"/>
      <c r="R635" s="20"/>
      <c r="S635" s="20"/>
      <c r="T635" s="20"/>
      <c r="U635" s="20"/>
      <c r="V635" s="20"/>
    </row>
    <row r="636" ht="13.5" customHeight="1" spans="1:22">
      <c r="A636" s="20"/>
      <c r="B636" s="20"/>
      <c r="C636" s="20"/>
      <c r="D636" s="20"/>
      <c r="E636" s="20"/>
      <c r="F636" s="20"/>
      <c r="G636" s="20"/>
      <c r="H636" s="20"/>
      <c r="I636" s="20"/>
      <c r="J636" s="20"/>
      <c r="K636" s="20"/>
      <c r="L636" s="20"/>
      <c r="M636" s="20"/>
      <c r="N636" s="20"/>
      <c r="O636" s="20"/>
      <c r="P636" s="20"/>
      <c r="Q636" s="20"/>
      <c r="R636" s="20"/>
      <c r="S636" s="20"/>
      <c r="T636" s="20"/>
      <c r="U636" s="20"/>
      <c r="V636" s="20"/>
    </row>
    <row r="637" ht="13.5" customHeight="1" spans="1:22">
      <c r="A637" s="20"/>
      <c r="B637" s="20"/>
      <c r="C637" s="20"/>
      <c r="D637" s="20"/>
      <c r="E637" s="20"/>
      <c r="F637" s="20"/>
      <c r="G637" s="20"/>
      <c r="H637" s="20"/>
      <c r="I637" s="20"/>
      <c r="J637" s="20"/>
      <c r="K637" s="20"/>
      <c r="L637" s="20"/>
      <c r="M637" s="20"/>
      <c r="N637" s="20"/>
      <c r="O637" s="20"/>
      <c r="P637" s="20"/>
      <c r="Q637" s="20"/>
      <c r="R637" s="20"/>
      <c r="S637" s="20"/>
      <c r="T637" s="20"/>
      <c r="U637" s="20"/>
      <c r="V637" s="20"/>
    </row>
    <row r="638" ht="13.5" customHeight="1" spans="1:22">
      <c r="A638" s="20"/>
      <c r="B638" s="20"/>
      <c r="C638" s="20"/>
      <c r="D638" s="20"/>
      <c r="E638" s="20"/>
      <c r="F638" s="20"/>
      <c r="G638" s="20"/>
      <c r="H638" s="20"/>
      <c r="I638" s="20"/>
      <c r="J638" s="20"/>
      <c r="K638" s="20"/>
      <c r="L638" s="20"/>
      <c r="M638" s="20"/>
      <c r="N638" s="20"/>
      <c r="O638" s="20"/>
      <c r="P638" s="20"/>
      <c r="Q638" s="20"/>
      <c r="R638" s="20"/>
      <c r="S638" s="20"/>
      <c r="T638" s="20"/>
      <c r="U638" s="20"/>
      <c r="V638" s="20"/>
    </row>
    <row r="639" ht="13.5" customHeight="1" spans="1:22">
      <c r="A639" s="20"/>
      <c r="B639" s="20"/>
      <c r="C639" s="20"/>
      <c r="D639" s="20"/>
      <c r="E639" s="20"/>
      <c r="F639" s="20"/>
      <c r="G639" s="20"/>
      <c r="H639" s="20"/>
      <c r="I639" s="20"/>
      <c r="J639" s="20"/>
      <c r="K639" s="20"/>
      <c r="L639" s="20"/>
      <c r="M639" s="20"/>
      <c r="N639" s="20"/>
      <c r="O639" s="20"/>
      <c r="P639" s="20"/>
      <c r="Q639" s="20"/>
      <c r="R639" s="20"/>
      <c r="S639" s="20"/>
      <c r="T639" s="20"/>
      <c r="U639" s="20"/>
      <c r="V639" s="20"/>
    </row>
    <row r="640" ht="13.5" customHeight="1" spans="1:22">
      <c r="A640" s="20"/>
      <c r="B640" s="20"/>
      <c r="C640" s="20"/>
      <c r="D640" s="20"/>
      <c r="E640" s="20"/>
      <c r="F640" s="20"/>
      <c r="G640" s="20"/>
      <c r="H640" s="20"/>
      <c r="I640" s="20"/>
      <c r="J640" s="20"/>
      <c r="K640" s="20"/>
      <c r="L640" s="20"/>
      <c r="M640" s="20"/>
      <c r="N640" s="20"/>
      <c r="O640" s="20"/>
      <c r="P640" s="20"/>
      <c r="Q640" s="20"/>
      <c r="R640" s="20"/>
      <c r="S640" s="20"/>
      <c r="T640" s="20"/>
      <c r="U640" s="20"/>
      <c r="V640" s="20"/>
    </row>
    <row r="641" ht="13.5" customHeight="1" spans="1:22">
      <c r="A641" s="20"/>
      <c r="B641" s="20"/>
      <c r="C641" s="20"/>
      <c r="D641" s="20"/>
      <c r="E641" s="20"/>
      <c r="F641" s="20"/>
      <c r="G641" s="20"/>
      <c r="H641" s="20"/>
      <c r="I641" s="20"/>
      <c r="J641" s="20"/>
      <c r="K641" s="20"/>
      <c r="L641" s="20"/>
      <c r="M641" s="20"/>
      <c r="N641" s="20"/>
      <c r="O641" s="20"/>
      <c r="P641" s="20"/>
      <c r="Q641" s="20"/>
      <c r="R641" s="20"/>
      <c r="S641" s="20"/>
      <c r="T641" s="20"/>
      <c r="U641" s="20"/>
      <c r="V641" s="20"/>
    </row>
    <row r="642" ht="13.5" customHeight="1" spans="1:22">
      <c r="A642" s="20"/>
      <c r="B642" s="20"/>
      <c r="C642" s="20"/>
      <c r="D642" s="20"/>
      <c r="E642" s="20"/>
      <c r="F642" s="20"/>
      <c r="G642" s="20"/>
      <c r="H642" s="20"/>
      <c r="I642" s="20"/>
      <c r="J642" s="20"/>
      <c r="K642" s="20"/>
      <c r="L642" s="20"/>
      <c r="M642" s="20"/>
      <c r="N642" s="20"/>
      <c r="O642" s="20"/>
      <c r="P642" s="20"/>
      <c r="Q642" s="20"/>
      <c r="R642" s="20"/>
      <c r="S642" s="20"/>
      <c r="T642" s="20"/>
      <c r="U642" s="20"/>
      <c r="V642" s="20"/>
    </row>
    <row r="643" ht="13.5" customHeight="1" spans="1:22">
      <c r="A643" s="20"/>
      <c r="B643" s="20"/>
      <c r="C643" s="20"/>
      <c r="D643" s="20"/>
      <c r="E643" s="20"/>
      <c r="F643" s="20"/>
      <c r="G643" s="20"/>
      <c r="H643" s="20"/>
      <c r="I643" s="20"/>
      <c r="J643" s="20"/>
      <c r="K643" s="20"/>
      <c r="L643" s="20"/>
      <c r="M643" s="20"/>
      <c r="N643" s="20"/>
      <c r="O643" s="20"/>
      <c r="P643" s="20"/>
      <c r="Q643" s="20"/>
      <c r="R643" s="20"/>
      <c r="S643" s="20"/>
      <c r="T643" s="20"/>
      <c r="U643" s="20"/>
      <c r="V643" s="20"/>
    </row>
    <row r="644" ht="13.5" customHeight="1" spans="1:22">
      <c r="A644" s="20"/>
      <c r="B644" s="20"/>
      <c r="C644" s="20"/>
      <c r="D644" s="20"/>
      <c r="E644" s="20"/>
      <c r="F644" s="20"/>
      <c r="G644" s="20"/>
      <c r="H644" s="20"/>
      <c r="I644" s="20"/>
      <c r="J644" s="20"/>
      <c r="K644" s="20"/>
      <c r="L644" s="20"/>
      <c r="M644" s="20"/>
      <c r="N644" s="20"/>
      <c r="O644" s="20"/>
      <c r="P644" s="20"/>
      <c r="Q644" s="20"/>
      <c r="R644" s="20"/>
      <c r="S644" s="20"/>
      <c r="T644" s="20"/>
      <c r="U644" s="20"/>
      <c r="V644" s="20"/>
    </row>
    <row r="645" ht="13.5" customHeight="1" spans="1:22">
      <c r="A645" s="20"/>
      <c r="B645" s="20"/>
      <c r="C645" s="20"/>
      <c r="D645" s="20"/>
      <c r="E645" s="20"/>
      <c r="F645" s="20"/>
      <c r="G645" s="20"/>
      <c r="H645" s="20"/>
      <c r="I645" s="20"/>
      <c r="J645" s="20"/>
      <c r="K645" s="20"/>
      <c r="L645" s="20"/>
      <c r="M645" s="20"/>
      <c r="N645" s="20"/>
      <c r="O645" s="20"/>
      <c r="P645" s="20"/>
      <c r="Q645" s="20"/>
      <c r="R645" s="20"/>
      <c r="S645" s="20"/>
      <c r="T645" s="20"/>
      <c r="U645" s="20"/>
      <c r="V645" s="20"/>
    </row>
    <row r="646" ht="13.5" customHeight="1" spans="1:22">
      <c r="A646" s="20"/>
      <c r="B646" s="20"/>
      <c r="C646" s="20"/>
      <c r="D646" s="20"/>
      <c r="E646" s="20"/>
      <c r="F646" s="20"/>
      <c r="G646" s="20"/>
      <c r="H646" s="20"/>
      <c r="I646" s="20"/>
      <c r="J646" s="20"/>
      <c r="K646" s="20"/>
      <c r="L646" s="20"/>
      <c r="M646" s="20"/>
      <c r="N646" s="20"/>
      <c r="O646" s="20"/>
      <c r="P646" s="20"/>
      <c r="Q646" s="20"/>
      <c r="R646" s="20"/>
      <c r="S646" s="20"/>
      <c r="T646" s="20"/>
      <c r="U646" s="20"/>
      <c r="V646" s="20"/>
    </row>
    <row r="647" ht="13.5" customHeight="1" spans="1:22">
      <c r="A647" s="20"/>
      <c r="B647" s="20"/>
      <c r="C647" s="20"/>
      <c r="D647" s="20"/>
      <c r="E647" s="20"/>
      <c r="F647" s="20"/>
      <c r="G647" s="20"/>
      <c r="H647" s="20"/>
      <c r="I647" s="20"/>
      <c r="J647" s="20"/>
      <c r="K647" s="20"/>
      <c r="L647" s="20"/>
      <c r="M647" s="20"/>
      <c r="N647" s="20"/>
      <c r="O647" s="20"/>
      <c r="P647" s="20"/>
      <c r="Q647" s="20"/>
      <c r="R647" s="20"/>
      <c r="S647" s="20"/>
      <c r="T647" s="20"/>
      <c r="U647" s="20"/>
      <c r="V647" s="20"/>
    </row>
    <row r="648" ht="13.5" customHeight="1" spans="1:22">
      <c r="A648" s="20"/>
      <c r="B648" s="20"/>
      <c r="C648" s="20"/>
      <c r="D648" s="20"/>
      <c r="E648" s="20"/>
      <c r="F648" s="20"/>
      <c r="G648" s="20"/>
      <c r="H648" s="20"/>
      <c r="I648" s="20"/>
      <c r="J648" s="20"/>
      <c r="K648" s="20"/>
      <c r="L648" s="20"/>
      <c r="M648" s="20"/>
      <c r="N648" s="20"/>
      <c r="O648" s="20"/>
      <c r="P648" s="20"/>
      <c r="Q648" s="20"/>
      <c r="R648" s="20"/>
      <c r="S648" s="20"/>
      <c r="T648" s="20"/>
      <c r="U648" s="20"/>
      <c r="V648" s="20"/>
    </row>
    <row r="649" ht="13.5" customHeight="1" spans="1:22">
      <c r="A649" s="20"/>
      <c r="B649" s="20"/>
      <c r="C649" s="20"/>
      <c r="D649" s="20"/>
      <c r="E649" s="20"/>
      <c r="F649" s="20"/>
      <c r="G649" s="20"/>
      <c r="H649" s="20"/>
      <c r="I649" s="20"/>
      <c r="J649" s="20"/>
      <c r="K649" s="20"/>
      <c r="L649" s="20"/>
      <c r="M649" s="20"/>
      <c r="N649" s="20"/>
      <c r="O649" s="20"/>
      <c r="P649" s="20"/>
      <c r="Q649" s="20"/>
      <c r="R649" s="20"/>
      <c r="S649" s="20"/>
      <c r="T649" s="20"/>
      <c r="U649" s="20"/>
      <c r="V649" s="20"/>
    </row>
    <row r="650" ht="13.5" customHeight="1" spans="1:22">
      <c r="A650" s="20"/>
      <c r="B650" s="20"/>
      <c r="C650" s="20"/>
      <c r="D650" s="20"/>
      <c r="E650" s="20"/>
      <c r="F650" s="20"/>
      <c r="G650" s="20"/>
      <c r="H650" s="20"/>
      <c r="I650" s="20"/>
      <c r="J650" s="20"/>
      <c r="K650" s="20"/>
      <c r="L650" s="20"/>
      <c r="M650" s="20"/>
      <c r="N650" s="20"/>
      <c r="O650" s="20"/>
      <c r="P650" s="20"/>
      <c r="Q650" s="20"/>
      <c r="R650" s="20"/>
      <c r="S650" s="20"/>
      <c r="T650" s="20"/>
      <c r="U650" s="20"/>
      <c r="V650" s="20"/>
    </row>
    <row r="651" ht="13.5" customHeight="1" spans="1:22">
      <c r="A651" s="20"/>
      <c r="B651" s="20"/>
      <c r="C651" s="20"/>
      <c r="D651" s="20"/>
      <c r="E651" s="20"/>
      <c r="F651" s="20"/>
      <c r="G651" s="20"/>
      <c r="H651" s="20"/>
      <c r="I651" s="20"/>
      <c r="J651" s="20"/>
      <c r="K651" s="20"/>
      <c r="L651" s="20"/>
      <c r="M651" s="20"/>
      <c r="N651" s="20"/>
      <c r="O651" s="20"/>
      <c r="P651" s="20"/>
      <c r="Q651" s="20"/>
      <c r="R651" s="20"/>
      <c r="S651" s="20"/>
      <c r="T651" s="20"/>
      <c r="U651" s="20"/>
      <c r="V651" s="20"/>
    </row>
    <row r="652" ht="13.5" customHeight="1" spans="1:22">
      <c r="A652" s="20"/>
      <c r="B652" s="20"/>
      <c r="C652" s="20"/>
      <c r="D652" s="20"/>
      <c r="E652" s="20"/>
      <c r="F652" s="20"/>
      <c r="G652" s="20"/>
      <c r="H652" s="20"/>
      <c r="I652" s="20"/>
      <c r="J652" s="20"/>
      <c r="K652" s="20"/>
      <c r="L652" s="20"/>
      <c r="M652" s="20"/>
      <c r="N652" s="20"/>
      <c r="O652" s="20"/>
      <c r="P652" s="20"/>
      <c r="Q652" s="20"/>
      <c r="R652" s="20"/>
      <c r="S652" s="20"/>
      <c r="T652" s="20"/>
      <c r="U652" s="20"/>
      <c r="V652" s="20"/>
    </row>
    <row r="653" ht="13.5" customHeight="1" spans="1:22">
      <c r="A653" s="20"/>
      <c r="B653" s="20"/>
      <c r="C653" s="20"/>
      <c r="D653" s="20"/>
      <c r="E653" s="20"/>
      <c r="F653" s="20"/>
      <c r="G653" s="20"/>
      <c r="H653" s="20"/>
      <c r="I653" s="20"/>
      <c r="J653" s="20"/>
      <c r="K653" s="20"/>
      <c r="L653" s="20"/>
      <c r="M653" s="20"/>
      <c r="N653" s="20"/>
      <c r="O653" s="20"/>
      <c r="P653" s="20"/>
      <c r="Q653" s="20"/>
      <c r="R653" s="20"/>
      <c r="S653" s="20"/>
      <c r="T653" s="20"/>
      <c r="U653" s="20"/>
      <c r="V653" s="20"/>
    </row>
    <row r="654" ht="13.5" customHeight="1" spans="1:22">
      <c r="A654" s="20"/>
      <c r="B654" s="20"/>
      <c r="C654" s="20"/>
      <c r="D654" s="20"/>
      <c r="E654" s="20"/>
      <c r="F654" s="20"/>
      <c r="G654" s="20"/>
      <c r="H654" s="20"/>
      <c r="I654" s="20"/>
      <c r="J654" s="20"/>
      <c r="K654" s="20"/>
      <c r="L654" s="20"/>
      <c r="M654" s="20"/>
      <c r="N654" s="20"/>
      <c r="O654" s="20"/>
      <c r="P654" s="20"/>
      <c r="Q654" s="20"/>
      <c r="R654" s="20"/>
      <c r="S654" s="20"/>
      <c r="T654" s="20"/>
      <c r="U654" s="20"/>
      <c r="V654" s="20"/>
    </row>
    <row r="655" ht="13.5" customHeight="1" spans="1:22">
      <c r="A655" s="20"/>
      <c r="B655" s="20"/>
      <c r="C655" s="20"/>
      <c r="D655" s="20"/>
      <c r="E655" s="20"/>
      <c r="F655" s="20"/>
      <c r="G655" s="20"/>
      <c r="H655" s="20"/>
      <c r="I655" s="20"/>
      <c r="J655" s="20"/>
      <c r="K655" s="20"/>
      <c r="L655" s="20"/>
      <c r="M655" s="20"/>
      <c r="N655" s="20"/>
      <c r="O655" s="20"/>
      <c r="P655" s="20"/>
      <c r="Q655" s="20"/>
      <c r="R655" s="20"/>
      <c r="S655" s="20"/>
      <c r="T655" s="20"/>
      <c r="U655" s="20"/>
      <c r="V655" s="20"/>
    </row>
    <row r="656" ht="13.5" customHeight="1" spans="1:22">
      <c r="A656" s="20"/>
      <c r="B656" s="20"/>
      <c r="C656" s="20"/>
      <c r="D656" s="20"/>
      <c r="E656" s="20"/>
      <c r="F656" s="20"/>
      <c r="G656" s="20"/>
      <c r="H656" s="20"/>
      <c r="I656" s="20"/>
      <c r="J656" s="20"/>
      <c r="K656" s="20"/>
      <c r="L656" s="20"/>
      <c r="M656" s="20"/>
      <c r="N656" s="20"/>
      <c r="O656" s="20"/>
      <c r="P656" s="20"/>
      <c r="Q656" s="20"/>
      <c r="R656" s="20"/>
      <c r="S656" s="20"/>
      <c r="T656" s="20"/>
      <c r="U656" s="20"/>
      <c r="V656" s="20"/>
    </row>
    <row r="657" ht="13.5" customHeight="1" spans="1:22">
      <c r="A657" s="20"/>
      <c r="B657" s="20"/>
      <c r="C657" s="20"/>
      <c r="D657" s="20"/>
      <c r="E657" s="20"/>
      <c r="F657" s="20"/>
      <c r="G657" s="20"/>
      <c r="H657" s="20"/>
      <c r="I657" s="20"/>
      <c r="J657" s="20"/>
      <c r="K657" s="20"/>
      <c r="L657" s="20"/>
      <c r="M657" s="20"/>
      <c r="N657" s="20"/>
      <c r="O657" s="20"/>
      <c r="P657" s="20"/>
      <c r="Q657" s="20"/>
      <c r="R657" s="20"/>
      <c r="S657" s="20"/>
      <c r="T657" s="20"/>
      <c r="U657" s="20"/>
      <c r="V657" s="20"/>
    </row>
    <row r="658" ht="13.5" customHeight="1" spans="1:22">
      <c r="A658" s="20"/>
      <c r="B658" s="20"/>
      <c r="C658" s="20"/>
      <c r="D658" s="20"/>
      <c r="E658" s="20"/>
      <c r="F658" s="20"/>
      <c r="G658" s="20"/>
      <c r="H658" s="20"/>
      <c r="I658" s="20"/>
      <c r="J658" s="20"/>
      <c r="K658" s="20"/>
      <c r="L658" s="20"/>
      <c r="M658" s="20"/>
      <c r="N658" s="20"/>
      <c r="O658" s="20"/>
      <c r="P658" s="20"/>
      <c r="Q658" s="20"/>
      <c r="R658" s="20"/>
      <c r="S658" s="20"/>
      <c r="T658" s="20"/>
      <c r="U658" s="20"/>
      <c r="V658" s="20"/>
    </row>
    <row r="659" ht="13.5" customHeight="1" spans="1:22">
      <c r="A659" s="20"/>
      <c r="B659" s="20"/>
      <c r="C659" s="20"/>
      <c r="D659" s="20"/>
      <c r="E659" s="20"/>
      <c r="F659" s="20"/>
      <c r="G659" s="20"/>
      <c r="H659" s="20"/>
      <c r="I659" s="20"/>
      <c r="J659" s="20"/>
      <c r="K659" s="20"/>
      <c r="L659" s="20"/>
      <c r="M659" s="20"/>
      <c r="N659" s="20"/>
      <c r="O659" s="20"/>
      <c r="P659" s="20"/>
      <c r="Q659" s="20"/>
      <c r="R659" s="20"/>
      <c r="S659" s="20"/>
      <c r="T659" s="20"/>
      <c r="U659" s="20"/>
      <c r="V659" s="20"/>
    </row>
    <row r="660" ht="13.5" customHeight="1" spans="1:22">
      <c r="A660" s="20"/>
      <c r="B660" s="20"/>
      <c r="C660" s="20"/>
      <c r="D660" s="20"/>
      <c r="E660" s="20"/>
      <c r="F660" s="20"/>
      <c r="G660" s="20"/>
      <c r="H660" s="20"/>
      <c r="I660" s="20"/>
      <c r="J660" s="20"/>
      <c r="K660" s="20"/>
      <c r="L660" s="20"/>
      <c r="M660" s="20"/>
      <c r="N660" s="20"/>
      <c r="O660" s="20"/>
      <c r="P660" s="20"/>
      <c r="Q660" s="20"/>
      <c r="R660" s="20"/>
      <c r="S660" s="20"/>
      <c r="T660" s="20"/>
      <c r="U660" s="20"/>
      <c r="V660" s="20"/>
    </row>
    <row r="661" ht="13.5" customHeight="1" spans="1:22">
      <c r="A661" s="20"/>
      <c r="B661" s="20"/>
      <c r="C661" s="20"/>
      <c r="D661" s="20"/>
      <c r="E661" s="20"/>
      <c r="F661" s="20"/>
      <c r="G661" s="20"/>
      <c r="H661" s="20"/>
      <c r="I661" s="20"/>
      <c r="J661" s="20"/>
      <c r="K661" s="20"/>
      <c r="L661" s="20"/>
      <c r="M661" s="20"/>
      <c r="N661" s="20"/>
      <c r="O661" s="20"/>
      <c r="P661" s="20"/>
      <c r="Q661" s="20"/>
      <c r="R661" s="20"/>
      <c r="S661" s="20"/>
      <c r="T661" s="20"/>
      <c r="U661" s="20"/>
      <c r="V661" s="20"/>
    </row>
    <row r="662" ht="13.5" customHeight="1" spans="1:22">
      <c r="A662" s="20"/>
      <c r="B662" s="20"/>
      <c r="C662" s="20"/>
      <c r="D662" s="20"/>
      <c r="E662" s="20"/>
      <c r="F662" s="20"/>
      <c r="G662" s="20"/>
      <c r="H662" s="20"/>
      <c r="I662" s="20"/>
      <c r="J662" s="20"/>
      <c r="K662" s="20"/>
      <c r="L662" s="20"/>
      <c r="M662" s="20"/>
      <c r="N662" s="20"/>
      <c r="O662" s="20"/>
      <c r="P662" s="20"/>
      <c r="Q662" s="20"/>
      <c r="R662" s="20"/>
      <c r="S662" s="20"/>
      <c r="T662" s="20"/>
      <c r="U662" s="20"/>
      <c r="V662" s="20"/>
    </row>
    <row r="663" ht="13.5" customHeight="1" spans="1:22">
      <c r="A663" s="20"/>
      <c r="B663" s="20"/>
      <c r="C663" s="20"/>
      <c r="D663" s="20"/>
      <c r="E663" s="20"/>
      <c r="F663" s="20"/>
      <c r="G663" s="20"/>
      <c r="H663" s="20"/>
      <c r="I663" s="20"/>
      <c r="J663" s="20"/>
      <c r="K663" s="20"/>
      <c r="L663" s="20"/>
      <c r="M663" s="20"/>
      <c r="N663" s="20"/>
      <c r="O663" s="20"/>
      <c r="P663" s="20"/>
      <c r="Q663" s="20"/>
      <c r="R663" s="20"/>
      <c r="S663" s="20"/>
      <c r="T663" s="20"/>
      <c r="U663" s="20"/>
      <c r="V663" s="20"/>
    </row>
    <row r="664" ht="13.5" customHeight="1" spans="1:22">
      <c r="A664" s="20"/>
      <c r="B664" s="20"/>
      <c r="C664" s="20"/>
      <c r="D664" s="20"/>
      <c r="E664" s="20"/>
      <c r="F664" s="20"/>
      <c r="G664" s="20"/>
      <c r="H664" s="20"/>
      <c r="I664" s="20"/>
      <c r="J664" s="20"/>
      <c r="K664" s="20"/>
      <c r="L664" s="20"/>
      <c r="M664" s="20"/>
      <c r="N664" s="20"/>
      <c r="O664" s="20"/>
      <c r="P664" s="20"/>
      <c r="Q664" s="20"/>
      <c r="R664" s="20"/>
      <c r="S664" s="20"/>
      <c r="T664" s="20"/>
      <c r="U664" s="20"/>
      <c r="V664" s="20"/>
    </row>
    <row r="665" ht="13.5" customHeight="1" spans="1:22">
      <c r="A665" s="20"/>
      <c r="B665" s="20"/>
      <c r="C665" s="20"/>
      <c r="D665" s="20"/>
      <c r="E665" s="20"/>
      <c r="F665" s="20"/>
      <c r="G665" s="20"/>
      <c r="H665" s="20"/>
      <c r="I665" s="20"/>
      <c r="J665" s="20"/>
      <c r="K665" s="20"/>
      <c r="L665" s="20"/>
      <c r="M665" s="20"/>
      <c r="N665" s="20"/>
      <c r="O665" s="20"/>
      <c r="P665" s="20"/>
      <c r="Q665" s="20"/>
      <c r="R665" s="20"/>
      <c r="S665" s="20"/>
      <c r="T665" s="20"/>
      <c r="U665" s="20"/>
      <c r="V665" s="20"/>
    </row>
    <row r="666" ht="13.5" customHeight="1" spans="1:22">
      <c r="A666" s="20"/>
      <c r="B666" s="20"/>
      <c r="C666" s="20"/>
      <c r="D666" s="20"/>
      <c r="E666" s="20"/>
      <c r="F666" s="20"/>
      <c r="G666" s="20"/>
      <c r="H666" s="20"/>
      <c r="I666" s="20"/>
      <c r="J666" s="20"/>
      <c r="K666" s="20"/>
      <c r="L666" s="20"/>
      <c r="M666" s="20"/>
      <c r="N666" s="20"/>
      <c r="O666" s="20"/>
      <c r="P666" s="20"/>
      <c r="Q666" s="20"/>
      <c r="R666" s="20"/>
      <c r="S666" s="20"/>
      <c r="T666" s="20"/>
      <c r="U666" s="20"/>
      <c r="V666" s="20"/>
    </row>
    <row r="667" ht="13.5" customHeight="1" spans="1:22">
      <c r="A667" s="20"/>
      <c r="B667" s="20"/>
      <c r="C667" s="20"/>
      <c r="D667" s="20"/>
      <c r="E667" s="20"/>
      <c r="F667" s="20"/>
      <c r="G667" s="20"/>
      <c r="H667" s="20"/>
      <c r="I667" s="20"/>
      <c r="J667" s="20"/>
      <c r="K667" s="20"/>
      <c r="L667" s="20"/>
      <c r="M667" s="20"/>
      <c r="N667" s="20"/>
      <c r="O667" s="20"/>
      <c r="P667" s="20"/>
      <c r="Q667" s="20"/>
      <c r="R667" s="20"/>
      <c r="S667" s="20"/>
      <c r="T667" s="20"/>
      <c r="U667" s="20"/>
      <c r="V667" s="20"/>
    </row>
    <row r="668" ht="13.5" customHeight="1" spans="1:22">
      <c r="A668" s="20"/>
      <c r="B668" s="20"/>
      <c r="C668" s="20"/>
      <c r="D668" s="20"/>
      <c r="E668" s="20"/>
      <c r="F668" s="20"/>
      <c r="G668" s="20"/>
      <c r="H668" s="20"/>
      <c r="I668" s="20"/>
      <c r="J668" s="20"/>
      <c r="K668" s="20"/>
      <c r="L668" s="20"/>
      <c r="M668" s="20"/>
      <c r="N668" s="20"/>
      <c r="O668" s="20"/>
      <c r="P668" s="20"/>
      <c r="Q668" s="20"/>
      <c r="R668" s="20"/>
      <c r="S668" s="20"/>
      <c r="T668" s="20"/>
      <c r="U668" s="20"/>
      <c r="V668" s="20"/>
    </row>
    <row r="669" ht="13.5" customHeight="1" spans="1:22">
      <c r="A669" s="20"/>
      <c r="B669" s="20"/>
      <c r="C669" s="20"/>
      <c r="D669" s="20"/>
      <c r="E669" s="20"/>
      <c r="F669" s="20"/>
      <c r="G669" s="20"/>
      <c r="H669" s="20"/>
      <c r="I669" s="20"/>
      <c r="J669" s="20"/>
      <c r="K669" s="20"/>
      <c r="L669" s="20"/>
      <c r="M669" s="20"/>
      <c r="N669" s="20"/>
      <c r="O669" s="20"/>
      <c r="P669" s="20"/>
      <c r="Q669" s="20"/>
      <c r="R669" s="20"/>
      <c r="S669" s="20"/>
      <c r="T669" s="20"/>
      <c r="U669" s="20"/>
      <c r="V669" s="20"/>
    </row>
    <row r="670" ht="13.5" customHeight="1" spans="1:22">
      <c r="A670" s="20"/>
      <c r="B670" s="20"/>
      <c r="C670" s="20"/>
      <c r="D670" s="20"/>
      <c r="E670" s="20"/>
      <c r="F670" s="20"/>
      <c r="G670" s="20"/>
      <c r="H670" s="20"/>
      <c r="I670" s="20"/>
      <c r="J670" s="20"/>
      <c r="K670" s="20"/>
      <c r="L670" s="20"/>
      <c r="M670" s="20"/>
      <c r="N670" s="20"/>
      <c r="O670" s="20"/>
      <c r="P670" s="20"/>
      <c r="Q670" s="20"/>
      <c r="R670" s="20"/>
      <c r="S670" s="20"/>
      <c r="T670" s="20"/>
      <c r="U670" s="20"/>
      <c r="V670" s="20"/>
    </row>
    <row r="671" ht="13.5" customHeight="1" spans="1:22">
      <c r="A671" s="20"/>
      <c r="B671" s="20"/>
      <c r="C671" s="20"/>
      <c r="D671" s="20"/>
      <c r="E671" s="20"/>
      <c r="F671" s="20"/>
      <c r="G671" s="20"/>
      <c r="H671" s="20"/>
      <c r="I671" s="20"/>
      <c r="J671" s="20"/>
      <c r="K671" s="20"/>
      <c r="L671" s="20"/>
      <c r="M671" s="20"/>
      <c r="N671" s="20"/>
      <c r="O671" s="20"/>
      <c r="P671" s="20"/>
      <c r="Q671" s="20"/>
      <c r="R671" s="20"/>
      <c r="S671" s="20"/>
      <c r="T671" s="20"/>
      <c r="U671" s="20"/>
      <c r="V671" s="20"/>
    </row>
    <row r="672" ht="13.5" customHeight="1" spans="1:22">
      <c r="A672" s="20"/>
      <c r="B672" s="20"/>
      <c r="C672" s="20"/>
      <c r="D672" s="20"/>
      <c r="E672" s="20"/>
      <c r="F672" s="20"/>
      <c r="G672" s="20"/>
      <c r="H672" s="20"/>
      <c r="I672" s="20"/>
      <c r="J672" s="20"/>
      <c r="K672" s="20"/>
      <c r="L672" s="20"/>
      <c r="M672" s="20"/>
      <c r="N672" s="20"/>
      <c r="O672" s="20"/>
      <c r="P672" s="20"/>
      <c r="Q672" s="20"/>
      <c r="R672" s="20"/>
      <c r="S672" s="20"/>
      <c r="T672" s="20"/>
      <c r="U672" s="20"/>
      <c r="V672" s="20"/>
    </row>
    <row r="673" ht="13.5" customHeight="1" spans="1:22">
      <c r="A673" s="20"/>
      <c r="B673" s="20"/>
      <c r="C673" s="20"/>
      <c r="D673" s="20"/>
      <c r="E673" s="20"/>
      <c r="F673" s="20"/>
      <c r="G673" s="20"/>
      <c r="H673" s="20"/>
      <c r="I673" s="20"/>
      <c r="J673" s="20"/>
      <c r="K673" s="20"/>
      <c r="L673" s="20"/>
      <c r="M673" s="20"/>
      <c r="N673" s="20"/>
      <c r="O673" s="20"/>
      <c r="P673" s="20"/>
      <c r="Q673" s="20"/>
      <c r="R673" s="20"/>
      <c r="S673" s="20"/>
      <c r="T673" s="20"/>
      <c r="U673" s="20"/>
      <c r="V673" s="20"/>
    </row>
    <row r="674" ht="13.5" customHeight="1" spans="1:22">
      <c r="A674" s="20"/>
      <c r="B674" s="20"/>
      <c r="C674" s="20"/>
      <c r="D674" s="20"/>
      <c r="E674" s="20"/>
      <c r="F674" s="20"/>
      <c r="G674" s="20"/>
      <c r="H674" s="20"/>
      <c r="I674" s="20"/>
      <c r="J674" s="20"/>
      <c r="K674" s="20"/>
      <c r="L674" s="20"/>
      <c r="M674" s="20"/>
      <c r="N674" s="20"/>
      <c r="O674" s="20"/>
      <c r="P674" s="20"/>
      <c r="Q674" s="20"/>
      <c r="R674" s="20"/>
      <c r="S674" s="20"/>
      <c r="T674" s="20"/>
      <c r="U674" s="20"/>
      <c r="V674" s="20"/>
    </row>
    <row r="675" ht="13.5" customHeight="1" spans="1:22">
      <c r="A675" s="20"/>
      <c r="B675" s="20"/>
      <c r="C675" s="20"/>
      <c r="D675" s="20"/>
      <c r="E675" s="20"/>
      <c r="F675" s="20"/>
      <c r="G675" s="20"/>
      <c r="H675" s="20"/>
      <c r="I675" s="20"/>
      <c r="J675" s="20"/>
      <c r="K675" s="20"/>
      <c r="L675" s="20"/>
      <c r="M675" s="20"/>
      <c r="N675" s="20"/>
      <c r="O675" s="20"/>
      <c r="P675" s="20"/>
      <c r="Q675" s="20"/>
      <c r="R675" s="20"/>
      <c r="S675" s="20"/>
      <c r="T675" s="20"/>
      <c r="U675" s="20"/>
      <c r="V675" s="20"/>
    </row>
    <row r="676" ht="13.5" customHeight="1" spans="1:22">
      <c r="A676" s="20"/>
      <c r="B676" s="20"/>
      <c r="C676" s="20"/>
      <c r="D676" s="20"/>
      <c r="E676" s="20"/>
      <c r="F676" s="20"/>
      <c r="G676" s="20"/>
      <c r="H676" s="20"/>
      <c r="I676" s="20"/>
      <c r="J676" s="20"/>
      <c r="K676" s="20"/>
      <c r="L676" s="20"/>
      <c r="M676" s="20"/>
      <c r="N676" s="20"/>
      <c r="O676" s="20"/>
      <c r="P676" s="20"/>
      <c r="Q676" s="20"/>
      <c r="R676" s="20"/>
      <c r="S676" s="20"/>
      <c r="T676" s="20"/>
      <c r="U676" s="20"/>
      <c r="V676" s="20"/>
    </row>
    <row r="677" ht="13.5" customHeight="1" spans="1:22">
      <c r="A677" s="20"/>
      <c r="B677" s="20"/>
      <c r="C677" s="20"/>
      <c r="D677" s="20"/>
      <c r="E677" s="20"/>
      <c r="F677" s="20"/>
      <c r="G677" s="20"/>
      <c r="H677" s="20"/>
      <c r="I677" s="20"/>
      <c r="J677" s="20"/>
      <c r="K677" s="20"/>
      <c r="L677" s="20"/>
      <c r="M677" s="20"/>
      <c r="N677" s="20"/>
      <c r="O677" s="20"/>
      <c r="P677" s="20"/>
      <c r="Q677" s="20"/>
      <c r="R677" s="20"/>
      <c r="S677" s="20"/>
      <c r="T677" s="20"/>
      <c r="U677" s="20"/>
      <c r="V677" s="20"/>
    </row>
    <row r="678" ht="13.5" customHeight="1" spans="1:22">
      <c r="A678" s="20"/>
      <c r="B678" s="20"/>
      <c r="C678" s="20"/>
      <c r="D678" s="20"/>
      <c r="E678" s="20"/>
      <c r="F678" s="20"/>
      <c r="G678" s="20"/>
      <c r="H678" s="20"/>
      <c r="I678" s="20"/>
      <c r="J678" s="20"/>
      <c r="K678" s="20"/>
      <c r="L678" s="20"/>
      <c r="M678" s="20"/>
      <c r="N678" s="20"/>
      <c r="O678" s="20"/>
      <c r="P678" s="20"/>
      <c r="Q678" s="20"/>
      <c r="R678" s="20"/>
      <c r="S678" s="20"/>
      <c r="T678" s="20"/>
      <c r="U678" s="20"/>
      <c r="V678" s="20"/>
    </row>
    <row r="679" ht="13.5" customHeight="1" spans="1:22">
      <c r="A679" s="20"/>
      <c r="B679" s="20"/>
      <c r="C679" s="20"/>
      <c r="D679" s="20"/>
      <c r="E679" s="20"/>
      <c r="F679" s="20"/>
      <c r="G679" s="20"/>
      <c r="H679" s="20"/>
      <c r="I679" s="20"/>
      <c r="J679" s="20"/>
      <c r="K679" s="20"/>
      <c r="L679" s="20"/>
      <c r="M679" s="20"/>
      <c r="N679" s="20"/>
      <c r="O679" s="20"/>
      <c r="P679" s="20"/>
      <c r="Q679" s="20"/>
      <c r="R679" s="20"/>
      <c r="S679" s="20"/>
      <c r="T679" s="20"/>
      <c r="U679" s="20"/>
      <c r="V679" s="20"/>
    </row>
    <row r="680" ht="13.5" customHeight="1" spans="1:22">
      <c r="A680" s="20"/>
      <c r="B680" s="20"/>
      <c r="C680" s="20"/>
      <c r="D680" s="20"/>
      <c r="E680" s="20"/>
      <c r="F680" s="20"/>
      <c r="G680" s="20"/>
      <c r="H680" s="20"/>
      <c r="I680" s="20"/>
      <c r="J680" s="20"/>
      <c r="K680" s="20"/>
      <c r="L680" s="20"/>
      <c r="M680" s="20"/>
      <c r="N680" s="20"/>
      <c r="O680" s="20"/>
      <c r="P680" s="20"/>
      <c r="Q680" s="20"/>
      <c r="R680" s="20"/>
      <c r="S680" s="20"/>
      <c r="T680" s="20"/>
      <c r="U680" s="20"/>
      <c r="V680" s="20"/>
    </row>
    <row r="681" ht="13.5" customHeight="1" spans="1:22">
      <c r="A681" s="20"/>
      <c r="B681" s="20"/>
      <c r="C681" s="20"/>
      <c r="D681" s="20"/>
      <c r="E681" s="20"/>
      <c r="F681" s="20"/>
      <c r="G681" s="20"/>
      <c r="H681" s="20"/>
      <c r="I681" s="20"/>
      <c r="J681" s="20"/>
      <c r="K681" s="20"/>
      <c r="L681" s="20"/>
      <c r="M681" s="20"/>
      <c r="N681" s="20"/>
      <c r="O681" s="20"/>
      <c r="P681" s="20"/>
      <c r="Q681" s="20"/>
      <c r="R681" s="20"/>
      <c r="S681" s="20"/>
      <c r="T681" s="20"/>
      <c r="U681" s="20"/>
      <c r="V681" s="20"/>
    </row>
    <row r="682" ht="13.5" customHeight="1" spans="1:22">
      <c r="A682" s="20"/>
      <c r="B682" s="20"/>
      <c r="C682" s="20"/>
      <c r="D682" s="20"/>
      <c r="E682" s="20"/>
      <c r="F682" s="20"/>
      <c r="G682" s="20"/>
      <c r="H682" s="20"/>
      <c r="I682" s="20"/>
      <c r="J682" s="20"/>
      <c r="K682" s="20"/>
      <c r="L682" s="20"/>
      <c r="M682" s="20"/>
      <c r="N682" s="20"/>
      <c r="O682" s="20"/>
      <c r="P682" s="20"/>
      <c r="Q682" s="20"/>
      <c r="R682" s="20"/>
      <c r="S682" s="20"/>
      <c r="T682" s="20"/>
      <c r="U682" s="20"/>
      <c r="V682" s="20"/>
    </row>
    <row r="683" ht="13.5" customHeight="1" spans="1:22">
      <c r="A683" s="20"/>
      <c r="B683" s="20"/>
      <c r="C683" s="20"/>
      <c r="D683" s="20"/>
      <c r="E683" s="20"/>
      <c r="F683" s="20"/>
      <c r="G683" s="20"/>
      <c r="H683" s="20"/>
      <c r="I683" s="20"/>
      <c r="J683" s="20"/>
      <c r="K683" s="20"/>
      <c r="L683" s="20"/>
      <c r="M683" s="20"/>
      <c r="N683" s="20"/>
      <c r="O683" s="20"/>
      <c r="P683" s="20"/>
      <c r="Q683" s="20"/>
      <c r="R683" s="20"/>
      <c r="S683" s="20"/>
      <c r="T683" s="20"/>
      <c r="U683" s="20"/>
      <c r="V683" s="20"/>
    </row>
    <row r="684" ht="13.5" customHeight="1" spans="1:22">
      <c r="A684" s="20"/>
      <c r="B684" s="20"/>
      <c r="C684" s="20"/>
      <c r="D684" s="20"/>
      <c r="E684" s="20"/>
      <c r="F684" s="20"/>
      <c r="G684" s="20"/>
      <c r="H684" s="20"/>
      <c r="I684" s="20"/>
      <c r="J684" s="20"/>
      <c r="K684" s="20"/>
      <c r="L684" s="20"/>
      <c r="M684" s="20"/>
      <c r="N684" s="20"/>
      <c r="O684" s="20"/>
      <c r="P684" s="20"/>
      <c r="Q684" s="20"/>
      <c r="R684" s="20"/>
      <c r="S684" s="20"/>
      <c r="T684" s="20"/>
      <c r="U684" s="20"/>
      <c r="V684" s="20"/>
    </row>
    <row r="685" ht="13.5" customHeight="1" spans="1:22">
      <c r="A685" s="20"/>
      <c r="B685" s="20"/>
      <c r="C685" s="20"/>
      <c r="D685" s="20"/>
      <c r="E685" s="20"/>
      <c r="F685" s="20"/>
      <c r="G685" s="20"/>
      <c r="H685" s="20"/>
      <c r="I685" s="20"/>
      <c r="J685" s="20"/>
      <c r="K685" s="20"/>
      <c r="L685" s="20"/>
      <c r="M685" s="20"/>
      <c r="N685" s="20"/>
      <c r="O685" s="20"/>
      <c r="P685" s="20"/>
      <c r="Q685" s="20"/>
      <c r="R685" s="20"/>
      <c r="S685" s="20"/>
      <c r="T685" s="20"/>
      <c r="U685" s="20"/>
      <c r="V685" s="20"/>
    </row>
    <row r="686" ht="13.5" customHeight="1" spans="1:22">
      <c r="A686" s="20"/>
      <c r="B686" s="20"/>
      <c r="C686" s="20"/>
      <c r="D686" s="20"/>
      <c r="E686" s="20"/>
      <c r="F686" s="20"/>
      <c r="G686" s="20"/>
      <c r="H686" s="20"/>
      <c r="I686" s="20"/>
      <c r="J686" s="20"/>
      <c r="K686" s="20"/>
      <c r="L686" s="20"/>
      <c r="M686" s="20"/>
      <c r="N686" s="20"/>
      <c r="O686" s="20"/>
      <c r="P686" s="20"/>
      <c r="Q686" s="20"/>
      <c r="R686" s="20"/>
      <c r="S686" s="20"/>
      <c r="T686" s="20"/>
      <c r="U686" s="20"/>
      <c r="V686" s="20"/>
    </row>
    <row r="687" ht="13.5" customHeight="1" spans="1:22">
      <c r="A687" s="20"/>
      <c r="B687" s="20"/>
      <c r="C687" s="20"/>
      <c r="D687" s="20"/>
      <c r="E687" s="20"/>
      <c r="F687" s="20"/>
      <c r="G687" s="20"/>
      <c r="H687" s="20"/>
      <c r="I687" s="20"/>
      <c r="J687" s="20"/>
      <c r="K687" s="20"/>
      <c r="L687" s="20"/>
      <c r="M687" s="20"/>
      <c r="N687" s="20"/>
      <c r="O687" s="20"/>
      <c r="P687" s="20"/>
      <c r="Q687" s="20"/>
      <c r="R687" s="20"/>
      <c r="S687" s="20"/>
      <c r="T687" s="20"/>
      <c r="U687" s="20"/>
      <c r="V687" s="20"/>
    </row>
    <row r="688" ht="13.5" customHeight="1" spans="1:22">
      <c r="A688" s="20"/>
      <c r="B688" s="20"/>
      <c r="C688" s="20"/>
      <c r="D688" s="20"/>
      <c r="E688" s="20"/>
      <c r="F688" s="20"/>
      <c r="G688" s="20"/>
      <c r="H688" s="20"/>
      <c r="I688" s="20"/>
      <c r="J688" s="20"/>
      <c r="K688" s="20"/>
      <c r="L688" s="20"/>
      <c r="M688" s="20"/>
      <c r="N688" s="20"/>
      <c r="O688" s="20"/>
      <c r="P688" s="20"/>
      <c r="Q688" s="20"/>
      <c r="R688" s="20"/>
      <c r="S688" s="20"/>
      <c r="T688" s="20"/>
      <c r="U688" s="20"/>
      <c r="V688" s="20"/>
    </row>
    <row r="689" ht="13.5" customHeight="1" spans="1:22">
      <c r="A689" s="20"/>
      <c r="B689" s="20"/>
      <c r="C689" s="20"/>
      <c r="D689" s="20"/>
      <c r="E689" s="20"/>
      <c r="F689" s="20"/>
      <c r="G689" s="20"/>
      <c r="H689" s="20"/>
      <c r="I689" s="20"/>
      <c r="J689" s="20"/>
      <c r="K689" s="20"/>
      <c r="L689" s="20"/>
      <c r="M689" s="20"/>
      <c r="N689" s="20"/>
      <c r="O689" s="20"/>
      <c r="P689" s="20"/>
      <c r="Q689" s="20"/>
      <c r="R689" s="20"/>
      <c r="S689" s="20"/>
      <c r="T689" s="20"/>
      <c r="U689" s="20"/>
      <c r="V689" s="20"/>
    </row>
    <row r="690" ht="13.5" customHeight="1" spans="1:22">
      <c r="A690" s="20"/>
      <c r="B690" s="20"/>
      <c r="C690" s="20"/>
      <c r="D690" s="20"/>
      <c r="E690" s="20"/>
      <c r="F690" s="20"/>
      <c r="G690" s="20"/>
      <c r="H690" s="20"/>
      <c r="I690" s="20"/>
      <c r="J690" s="20"/>
      <c r="K690" s="20"/>
      <c r="L690" s="20"/>
      <c r="M690" s="20"/>
      <c r="N690" s="20"/>
      <c r="O690" s="20"/>
      <c r="P690" s="20"/>
      <c r="Q690" s="20"/>
      <c r="R690" s="20"/>
      <c r="S690" s="20"/>
      <c r="T690" s="20"/>
      <c r="U690" s="20"/>
      <c r="V690" s="20"/>
    </row>
    <row r="691" ht="13.5" customHeight="1" spans="1:22">
      <c r="A691" s="20"/>
      <c r="B691" s="20"/>
      <c r="C691" s="20"/>
      <c r="D691" s="20"/>
      <c r="E691" s="20"/>
      <c r="F691" s="20"/>
      <c r="G691" s="20"/>
      <c r="H691" s="20"/>
      <c r="I691" s="20"/>
      <c r="J691" s="20"/>
      <c r="K691" s="20"/>
      <c r="L691" s="20"/>
      <c r="M691" s="20"/>
      <c r="N691" s="20"/>
      <c r="O691" s="20"/>
      <c r="P691" s="20"/>
      <c r="Q691" s="20"/>
      <c r="R691" s="20"/>
      <c r="S691" s="20"/>
      <c r="T691" s="20"/>
      <c r="U691" s="20"/>
      <c r="V691" s="20"/>
    </row>
    <row r="692" ht="13.5" customHeight="1" spans="1:22">
      <c r="A692" s="20"/>
      <c r="B692" s="20"/>
      <c r="C692" s="20"/>
      <c r="D692" s="20"/>
      <c r="E692" s="20"/>
      <c r="F692" s="20"/>
      <c r="G692" s="20"/>
      <c r="H692" s="20"/>
      <c r="I692" s="20"/>
      <c r="J692" s="20"/>
      <c r="K692" s="20"/>
      <c r="L692" s="20"/>
      <c r="M692" s="20"/>
      <c r="N692" s="20"/>
      <c r="O692" s="20"/>
      <c r="P692" s="20"/>
      <c r="Q692" s="20"/>
      <c r="R692" s="20"/>
      <c r="S692" s="20"/>
      <c r="T692" s="20"/>
      <c r="U692" s="20"/>
      <c r="V692" s="20"/>
    </row>
    <row r="693" ht="13.5" customHeight="1" spans="1:22">
      <c r="A693" s="20"/>
      <c r="B693" s="20"/>
      <c r="C693" s="20"/>
      <c r="D693" s="20"/>
      <c r="E693" s="20"/>
      <c r="F693" s="20"/>
      <c r="G693" s="20"/>
      <c r="H693" s="20"/>
      <c r="I693" s="20"/>
      <c r="J693" s="20"/>
      <c r="K693" s="20"/>
      <c r="L693" s="20"/>
      <c r="M693" s="20"/>
      <c r="N693" s="20"/>
      <c r="O693" s="20"/>
      <c r="P693" s="20"/>
      <c r="Q693" s="20"/>
      <c r="R693" s="20"/>
      <c r="S693" s="20"/>
      <c r="T693" s="20"/>
      <c r="U693" s="20"/>
      <c r="V693" s="20"/>
    </row>
    <row r="694" ht="13.5" customHeight="1" spans="1:22">
      <c r="A694" s="20"/>
      <c r="B694" s="20"/>
      <c r="C694" s="20"/>
      <c r="D694" s="20"/>
      <c r="E694" s="20"/>
      <c r="F694" s="20"/>
      <c r="G694" s="20"/>
      <c r="H694" s="20"/>
      <c r="I694" s="20"/>
      <c r="J694" s="20"/>
      <c r="K694" s="20"/>
      <c r="L694" s="20"/>
      <c r="M694" s="20"/>
      <c r="N694" s="20"/>
      <c r="O694" s="20"/>
      <c r="P694" s="20"/>
      <c r="Q694" s="20"/>
      <c r="R694" s="20"/>
      <c r="S694" s="20"/>
      <c r="T694" s="20"/>
      <c r="U694" s="20"/>
      <c r="V694" s="20"/>
    </row>
    <row r="695" ht="13.5" customHeight="1" spans="1:22">
      <c r="A695" s="20"/>
      <c r="B695" s="20"/>
      <c r="C695" s="20"/>
      <c r="D695" s="20"/>
      <c r="E695" s="20"/>
      <c r="F695" s="20"/>
      <c r="G695" s="20"/>
      <c r="H695" s="20"/>
      <c r="I695" s="20"/>
      <c r="J695" s="20"/>
      <c r="K695" s="20"/>
      <c r="L695" s="20"/>
      <c r="M695" s="20"/>
      <c r="N695" s="20"/>
      <c r="O695" s="20"/>
      <c r="P695" s="20"/>
      <c r="Q695" s="20"/>
      <c r="R695" s="20"/>
      <c r="S695" s="20"/>
      <c r="T695" s="20"/>
      <c r="U695" s="20"/>
      <c r="V695" s="20"/>
    </row>
    <row r="696" ht="13.5" customHeight="1" spans="1:22">
      <c r="A696" s="20"/>
      <c r="B696" s="20"/>
      <c r="C696" s="20"/>
      <c r="D696" s="20"/>
      <c r="E696" s="20"/>
      <c r="F696" s="20"/>
      <c r="G696" s="20"/>
      <c r="H696" s="20"/>
      <c r="I696" s="20"/>
      <c r="J696" s="20"/>
      <c r="K696" s="20"/>
      <c r="L696" s="20"/>
      <c r="M696" s="20"/>
      <c r="N696" s="20"/>
      <c r="O696" s="20"/>
      <c r="P696" s="20"/>
      <c r="Q696" s="20"/>
      <c r="R696" s="20"/>
      <c r="S696" s="20"/>
      <c r="T696" s="20"/>
      <c r="U696" s="20"/>
      <c r="V696" s="20"/>
    </row>
    <row r="697" ht="13.5" customHeight="1" spans="1:22">
      <c r="A697" s="20"/>
      <c r="B697" s="20"/>
      <c r="C697" s="20"/>
      <c r="D697" s="20"/>
      <c r="E697" s="20"/>
      <c r="F697" s="20"/>
      <c r="G697" s="20"/>
      <c r="H697" s="20"/>
      <c r="I697" s="20"/>
      <c r="J697" s="20"/>
      <c r="K697" s="20"/>
      <c r="L697" s="20"/>
      <c r="M697" s="20"/>
      <c r="N697" s="20"/>
      <c r="O697" s="20"/>
      <c r="P697" s="20"/>
      <c r="Q697" s="20"/>
      <c r="R697" s="20"/>
      <c r="S697" s="20"/>
      <c r="T697" s="20"/>
      <c r="U697" s="20"/>
      <c r="V697" s="20"/>
    </row>
    <row r="698" ht="13.5" customHeight="1" spans="1:22">
      <c r="A698" s="20"/>
      <c r="B698" s="20"/>
      <c r="C698" s="20"/>
      <c r="D698" s="20"/>
      <c r="E698" s="20"/>
      <c r="F698" s="20"/>
      <c r="G698" s="20"/>
      <c r="H698" s="20"/>
      <c r="I698" s="20"/>
      <c r="J698" s="20"/>
      <c r="K698" s="20"/>
      <c r="L698" s="20"/>
      <c r="M698" s="20"/>
      <c r="N698" s="20"/>
      <c r="O698" s="20"/>
      <c r="P698" s="20"/>
      <c r="Q698" s="20"/>
      <c r="R698" s="20"/>
      <c r="S698" s="20"/>
      <c r="T698" s="20"/>
      <c r="U698" s="20"/>
      <c r="V698" s="20"/>
    </row>
    <row r="699" ht="13.5" customHeight="1" spans="1:22">
      <c r="A699" s="20"/>
      <c r="B699" s="20"/>
      <c r="C699" s="20"/>
      <c r="D699" s="20"/>
      <c r="E699" s="20"/>
      <c r="F699" s="20"/>
      <c r="G699" s="20"/>
      <c r="H699" s="20"/>
      <c r="I699" s="20"/>
      <c r="J699" s="20"/>
      <c r="K699" s="20"/>
      <c r="L699" s="20"/>
      <c r="M699" s="20"/>
      <c r="N699" s="20"/>
      <c r="O699" s="20"/>
      <c r="P699" s="20"/>
      <c r="Q699" s="20"/>
      <c r="R699" s="20"/>
      <c r="S699" s="20"/>
      <c r="T699" s="20"/>
      <c r="U699" s="20"/>
      <c r="V699" s="20"/>
    </row>
    <row r="700" ht="13.5" customHeight="1" spans="1:22">
      <c r="A700" s="20"/>
      <c r="B700" s="20"/>
      <c r="C700" s="20"/>
      <c r="D700" s="20"/>
      <c r="E700" s="20"/>
      <c r="F700" s="20"/>
      <c r="G700" s="20"/>
      <c r="H700" s="20"/>
      <c r="I700" s="20"/>
      <c r="J700" s="20"/>
      <c r="K700" s="20"/>
      <c r="L700" s="20"/>
      <c r="M700" s="20"/>
      <c r="N700" s="20"/>
      <c r="O700" s="20"/>
      <c r="P700" s="20"/>
      <c r="Q700" s="20"/>
      <c r="R700" s="20"/>
      <c r="S700" s="20"/>
      <c r="T700" s="20"/>
      <c r="U700" s="20"/>
      <c r="V700" s="20"/>
    </row>
    <row r="701" ht="13.5" customHeight="1" spans="1:22">
      <c r="A701" s="20"/>
      <c r="B701" s="20"/>
      <c r="C701" s="20"/>
      <c r="D701" s="20"/>
      <c r="E701" s="20"/>
      <c r="F701" s="20"/>
      <c r="G701" s="20"/>
      <c r="H701" s="20"/>
      <c r="I701" s="20"/>
      <c r="J701" s="20"/>
      <c r="K701" s="20"/>
      <c r="L701" s="20"/>
      <c r="M701" s="20"/>
      <c r="N701" s="20"/>
      <c r="O701" s="20"/>
      <c r="P701" s="20"/>
      <c r="Q701" s="20"/>
      <c r="R701" s="20"/>
      <c r="S701" s="20"/>
      <c r="T701" s="20"/>
      <c r="U701" s="20"/>
      <c r="V701" s="20"/>
    </row>
    <row r="702" ht="13.5" customHeight="1" spans="1:22">
      <c r="A702" s="20"/>
      <c r="B702" s="20"/>
      <c r="C702" s="20"/>
      <c r="D702" s="20"/>
      <c r="E702" s="20"/>
      <c r="F702" s="20"/>
      <c r="G702" s="20"/>
      <c r="H702" s="20"/>
      <c r="I702" s="20"/>
      <c r="J702" s="20"/>
      <c r="K702" s="20"/>
      <c r="L702" s="20"/>
      <c r="M702" s="20"/>
      <c r="N702" s="20"/>
      <c r="O702" s="20"/>
      <c r="P702" s="20"/>
      <c r="Q702" s="20"/>
      <c r="R702" s="20"/>
      <c r="S702" s="20"/>
      <c r="T702" s="20"/>
      <c r="U702" s="20"/>
      <c r="V702" s="20"/>
    </row>
    <row r="703" ht="13.5" customHeight="1" spans="1:22">
      <c r="A703" s="20"/>
      <c r="B703" s="20"/>
      <c r="C703" s="20"/>
      <c r="D703" s="20"/>
      <c r="E703" s="20"/>
      <c r="F703" s="20"/>
      <c r="G703" s="20"/>
      <c r="H703" s="20"/>
      <c r="I703" s="20"/>
      <c r="J703" s="20"/>
      <c r="K703" s="20"/>
      <c r="L703" s="20"/>
      <c r="M703" s="20"/>
      <c r="N703" s="20"/>
      <c r="O703" s="20"/>
      <c r="P703" s="20"/>
      <c r="Q703" s="20"/>
      <c r="R703" s="20"/>
      <c r="S703" s="20"/>
      <c r="T703" s="20"/>
      <c r="U703" s="20"/>
      <c r="V703" s="20"/>
    </row>
    <row r="704" ht="13.5" customHeight="1" spans="1:22">
      <c r="A704" s="20"/>
      <c r="B704" s="20"/>
      <c r="C704" s="20"/>
      <c r="D704" s="20"/>
      <c r="E704" s="20"/>
      <c r="F704" s="20"/>
      <c r="G704" s="20"/>
      <c r="H704" s="20"/>
      <c r="I704" s="20"/>
      <c r="J704" s="20"/>
      <c r="K704" s="20"/>
      <c r="L704" s="20"/>
      <c r="M704" s="20"/>
      <c r="N704" s="20"/>
      <c r="O704" s="20"/>
      <c r="P704" s="20"/>
      <c r="Q704" s="20"/>
      <c r="R704" s="20"/>
      <c r="S704" s="20"/>
      <c r="T704" s="20"/>
      <c r="U704" s="20"/>
      <c r="V704" s="20"/>
    </row>
    <row r="705" ht="13.5" customHeight="1" spans="1:22">
      <c r="A705" s="20"/>
      <c r="B705" s="20"/>
      <c r="C705" s="20"/>
      <c r="D705" s="20"/>
      <c r="E705" s="20"/>
      <c r="F705" s="20"/>
      <c r="G705" s="20"/>
      <c r="H705" s="20"/>
      <c r="I705" s="20"/>
      <c r="J705" s="20"/>
      <c r="K705" s="20"/>
      <c r="L705" s="20"/>
      <c r="M705" s="20"/>
      <c r="N705" s="20"/>
      <c r="O705" s="20"/>
      <c r="P705" s="20"/>
      <c r="Q705" s="20"/>
      <c r="R705" s="20"/>
      <c r="S705" s="20"/>
      <c r="T705" s="20"/>
      <c r="U705" s="20"/>
      <c r="V705" s="20"/>
    </row>
    <row r="706" ht="13.5" customHeight="1" spans="1:22">
      <c r="A706" s="20"/>
      <c r="B706" s="20"/>
      <c r="C706" s="20"/>
      <c r="D706" s="20"/>
      <c r="E706" s="20"/>
      <c r="F706" s="20"/>
      <c r="G706" s="20"/>
      <c r="H706" s="20"/>
      <c r="I706" s="20"/>
      <c r="J706" s="20"/>
      <c r="K706" s="20"/>
      <c r="L706" s="20"/>
      <c r="M706" s="20"/>
      <c r="N706" s="20"/>
      <c r="O706" s="20"/>
      <c r="P706" s="20"/>
      <c r="Q706" s="20"/>
      <c r="R706" s="20"/>
      <c r="S706" s="20"/>
      <c r="T706" s="20"/>
      <c r="U706" s="20"/>
      <c r="V706" s="20"/>
    </row>
    <row r="707" ht="13.5" customHeight="1" spans="1:22">
      <c r="A707" s="20"/>
      <c r="B707" s="20"/>
      <c r="C707" s="20"/>
      <c r="D707" s="20"/>
      <c r="E707" s="20"/>
      <c r="F707" s="20"/>
      <c r="G707" s="20"/>
      <c r="H707" s="20"/>
      <c r="I707" s="20"/>
      <c r="J707" s="20"/>
      <c r="K707" s="20"/>
      <c r="L707" s="20"/>
      <c r="M707" s="20"/>
      <c r="N707" s="20"/>
      <c r="O707" s="20"/>
      <c r="P707" s="20"/>
      <c r="Q707" s="20"/>
      <c r="R707" s="20"/>
      <c r="S707" s="20"/>
      <c r="T707" s="20"/>
      <c r="U707" s="20"/>
      <c r="V707" s="20"/>
    </row>
    <row r="708" ht="13.5" customHeight="1" spans="1:22">
      <c r="A708" s="20"/>
      <c r="B708" s="20"/>
      <c r="C708" s="20"/>
      <c r="D708" s="20"/>
      <c r="E708" s="20"/>
      <c r="F708" s="20"/>
      <c r="G708" s="20"/>
      <c r="H708" s="20"/>
      <c r="I708" s="20"/>
      <c r="J708" s="20"/>
      <c r="K708" s="20"/>
      <c r="L708" s="20"/>
      <c r="M708" s="20"/>
      <c r="N708" s="20"/>
      <c r="O708" s="20"/>
      <c r="P708" s="20"/>
      <c r="Q708" s="20"/>
      <c r="R708" s="20"/>
      <c r="S708" s="20"/>
      <c r="T708" s="20"/>
      <c r="U708" s="20"/>
      <c r="V708" s="20"/>
    </row>
    <row r="709" ht="13.5" customHeight="1" spans="1:22">
      <c r="A709" s="20"/>
      <c r="B709" s="20"/>
      <c r="C709" s="20"/>
      <c r="D709" s="20"/>
      <c r="E709" s="20"/>
      <c r="F709" s="20"/>
      <c r="G709" s="20"/>
      <c r="H709" s="20"/>
      <c r="I709" s="20"/>
      <c r="J709" s="20"/>
      <c r="K709" s="20"/>
      <c r="L709" s="20"/>
      <c r="M709" s="20"/>
      <c r="N709" s="20"/>
      <c r="O709" s="20"/>
      <c r="P709" s="20"/>
      <c r="Q709" s="20"/>
      <c r="R709" s="20"/>
      <c r="S709" s="20"/>
      <c r="T709" s="20"/>
      <c r="U709" s="20"/>
      <c r="V709" s="20"/>
    </row>
    <row r="710" ht="13.5" customHeight="1" spans="1:22">
      <c r="A710" s="20"/>
      <c r="B710" s="20"/>
      <c r="C710" s="20"/>
      <c r="D710" s="20"/>
      <c r="E710" s="20"/>
      <c r="F710" s="20"/>
      <c r="G710" s="20"/>
      <c r="H710" s="20"/>
      <c r="I710" s="20"/>
      <c r="J710" s="20"/>
      <c r="K710" s="20"/>
      <c r="L710" s="20"/>
      <c r="M710" s="20"/>
      <c r="N710" s="20"/>
      <c r="O710" s="20"/>
      <c r="P710" s="20"/>
      <c r="Q710" s="20"/>
      <c r="R710" s="20"/>
      <c r="S710" s="20"/>
      <c r="T710" s="20"/>
      <c r="U710" s="20"/>
      <c r="V710" s="20"/>
    </row>
    <row r="711" ht="13.5" customHeight="1" spans="1:22">
      <c r="A711" s="20"/>
      <c r="B711" s="20"/>
      <c r="C711" s="20"/>
      <c r="D711" s="20"/>
      <c r="E711" s="20"/>
      <c r="F711" s="20"/>
      <c r="G711" s="20"/>
      <c r="H711" s="20"/>
      <c r="I711" s="20"/>
      <c r="J711" s="20"/>
      <c r="K711" s="20"/>
      <c r="L711" s="20"/>
      <c r="M711" s="20"/>
      <c r="N711" s="20"/>
      <c r="O711" s="20"/>
      <c r="P711" s="20"/>
      <c r="Q711" s="20"/>
      <c r="R711" s="20"/>
      <c r="S711" s="20"/>
      <c r="T711" s="20"/>
      <c r="U711" s="20"/>
      <c r="V711" s="20"/>
    </row>
    <row r="712" ht="13.5" customHeight="1" spans="1:22">
      <c r="A712" s="20"/>
      <c r="B712" s="20"/>
      <c r="C712" s="20"/>
      <c r="D712" s="20"/>
      <c r="E712" s="20"/>
      <c r="F712" s="20"/>
      <c r="G712" s="20"/>
      <c r="H712" s="20"/>
      <c r="I712" s="20"/>
      <c r="J712" s="20"/>
      <c r="K712" s="20"/>
      <c r="L712" s="20"/>
      <c r="M712" s="20"/>
      <c r="N712" s="20"/>
      <c r="O712" s="20"/>
      <c r="P712" s="20"/>
      <c r="Q712" s="20"/>
      <c r="R712" s="20"/>
      <c r="S712" s="20"/>
      <c r="T712" s="20"/>
      <c r="U712" s="20"/>
      <c r="V712" s="20"/>
    </row>
    <row r="713" ht="13.5" customHeight="1" spans="1:22">
      <c r="A713" s="20"/>
      <c r="B713" s="20"/>
      <c r="C713" s="20"/>
      <c r="D713" s="20"/>
      <c r="E713" s="20"/>
      <c r="F713" s="20"/>
      <c r="G713" s="20"/>
      <c r="H713" s="20"/>
      <c r="I713" s="20"/>
      <c r="J713" s="20"/>
      <c r="K713" s="20"/>
      <c r="L713" s="20"/>
      <c r="M713" s="20"/>
      <c r="N713" s="20"/>
      <c r="O713" s="20"/>
      <c r="P713" s="20"/>
      <c r="Q713" s="20"/>
      <c r="R713" s="20"/>
      <c r="S713" s="20"/>
      <c r="T713" s="20"/>
      <c r="U713" s="20"/>
      <c r="V713" s="20"/>
    </row>
    <row r="714" ht="13.5" customHeight="1" spans="1:22">
      <c r="A714" s="20"/>
      <c r="B714" s="20"/>
      <c r="C714" s="20"/>
      <c r="D714" s="20"/>
      <c r="E714" s="20"/>
      <c r="F714" s="20"/>
      <c r="G714" s="20"/>
      <c r="H714" s="20"/>
      <c r="I714" s="20"/>
      <c r="J714" s="20"/>
      <c r="K714" s="20"/>
      <c r="L714" s="20"/>
      <c r="M714" s="20"/>
      <c r="N714" s="20"/>
      <c r="O714" s="20"/>
      <c r="P714" s="20"/>
      <c r="Q714" s="20"/>
      <c r="R714" s="20"/>
      <c r="S714" s="20"/>
      <c r="T714" s="20"/>
      <c r="U714" s="20"/>
      <c r="V714" s="20"/>
    </row>
    <row r="715" ht="13.5" customHeight="1" spans="1:22">
      <c r="A715" s="20"/>
      <c r="B715" s="20"/>
      <c r="C715" s="20"/>
      <c r="D715" s="20"/>
      <c r="E715" s="20"/>
      <c r="F715" s="20"/>
      <c r="G715" s="20"/>
      <c r="H715" s="20"/>
      <c r="I715" s="20"/>
      <c r="J715" s="20"/>
      <c r="K715" s="20"/>
      <c r="L715" s="20"/>
      <c r="M715" s="20"/>
      <c r="N715" s="20"/>
      <c r="O715" s="20"/>
      <c r="P715" s="20"/>
      <c r="Q715" s="20"/>
      <c r="R715" s="20"/>
      <c r="S715" s="20"/>
      <c r="T715" s="20"/>
      <c r="U715" s="20"/>
      <c r="V715" s="20"/>
    </row>
    <row r="716" ht="13.5" customHeight="1" spans="1:22">
      <c r="A716" s="20"/>
      <c r="B716" s="20"/>
      <c r="C716" s="20"/>
      <c r="D716" s="20"/>
      <c r="E716" s="20"/>
      <c r="F716" s="20"/>
      <c r="G716" s="20"/>
      <c r="H716" s="20"/>
      <c r="I716" s="20"/>
      <c r="J716" s="20"/>
      <c r="K716" s="20"/>
      <c r="L716" s="20"/>
      <c r="M716" s="20"/>
      <c r="N716" s="20"/>
      <c r="O716" s="20"/>
      <c r="P716" s="20"/>
      <c r="Q716" s="20"/>
      <c r="R716" s="20"/>
      <c r="S716" s="20"/>
      <c r="T716" s="20"/>
      <c r="U716" s="20"/>
      <c r="V716" s="20"/>
    </row>
    <row r="717" ht="13.5" customHeight="1" spans="1:22">
      <c r="A717" s="20"/>
      <c r="B717" s="20"/>
      <c r="C717" s="20"/>
      <c r="D717" s="20"/>
      <c r="E717" s="20"/>
      <c r="F717" s="20"/>
      <c r="G717" s="20"/>
      <c r="H717" s="20"/>
      <c r="I717" s="20"/>
      <c r="J717" s="20"/>
      <c r="K717" s="20"/>
      <c r="L717" s="20"/>
      <c r="M717" s="20"/>
      <c r="N717" s="20"/>
      <c r="O717" s="20"/>
      <c r="P717" s="20"/>
      <c r="Q717" s="20"/>
      <c r="R717" s="20"/>
      <c r="S717" s="20"/>
      <c r="T717" s="20"/>
      <c r="U717" s="20"/>
      <c r="V717" s="20"/>
    </row>
    <row r="718" ht="13.5" customHeight="1" spans="1:22">
      <c r="A718" s="20"/>
      <c r="B718" s="20"/>
      <c r="C718" s="20"/>
      <c r="D718" s="20"/>
      <c r="E718" s="20"/>
      <c r="F718" s="20"/>
      <c r="G718" s="20"/>
      <c r="H718" s="20"/>
      <c r="I718" s="20"/>
      <c r="J718" s="20"/>
      <c r="K718" s="20"/>
      <c r="L718" s="20"/>
      <c r="M718" s="20"/>
      <c r="N718" s="20"/>
      <c r="O718" s="20"/>
      <c r="P718" s="20"/>
      <c r="Q718" s="20"/>
      <c r="R718" s="20"/>
      <c r="S718" s="20"/>
      <c r="T718" s="20"/>
      <c r="U718" s="20"/>
      <c r="V718" s="20"/>
    </row>
    <row r="719" ht="13.5" customHeight="1" spans="1:22">
      <c r="A719" s="20"/>
      <c r="B719" s="20"/>
      <c r="C719" s="20"/>
      <c r="D719" s="20"/>
      <c r="E719" s="20"/>
      <c r="F719" s="20"/>
      <c r="G719" s="20"/>
      <c r="H719" s="20"/>
      <c r="I719" s="20"/>
      <c r="J719" s="20"/>
      <c r="K719" s="20"/>
      <c r="L719" s="20"/>
      <c r="M719" s="20"/>
      <c r="N719" s="20"/>
      <c r="O719" s="20"/>
      <c r="P719" s="20"/>
      <c r="Q719" s="20"/>
      <c r="R719" s="20"/>
      <c r="S719" s="20"/>
      <c r="T719" s="20"/>
      <c r="U719" s="20"/>
      <c r="V719" s="20"/>
    </row>
    <row r="720" ht="13.5" customHeight="1" spans="1:22">
      <c r="A720" s="20"/>
      <c r="B720" s="20"/>
      <c r="C720" s="20"/>
      <c r="D720" s="20"/>
      <c r="E720" s="20"/>
      <c r="F720" s="20"/>
      <c r="G720" s="20"/>
      <c r="H720" s="20"/>
      <c r="I720" s="20"/>
      <c r="J720" s="20"/>
      <c r="K720" s="20"/>
      <c r="L720" s="20"/>
      <c r="M720" s="20"/>
      <c r="N720" s="20"/>
      <c r="O720" s="20"/>
      <c r="P720" s="20"/>
      <c r="Q720" s="20"/>
      <c r="R720" s="20"/>
      <c r="S720" s="20"/>
      <c r="T720" s="20"/>
      <c r="U720" s="20"/>
      <c r="V720" s="20"/>
    </row>
    <row r="721" ht="13.5" customHeight="1" spans="1:22">
      <c r="A721" s="20"/>
      <c r="B721" s="20"/>
      <c r="C721" s="20"/>
      <c r="D721" s="20"/>
      <c r="E721" s="20"/>
      <c r="F721" s="20"/>
      <c r="G721" s="20"/>
      <c r="H721" s="20"/>
      <c r="I721" s="20"/>
      <c r="J721" s="20"/>
      <c r="K721" s="20"/>
      <c r="L721" s="20"/>
      <c r="M721" s="20"/>
      <c r="N721" s="20"/>
      <c r="O721" s="20"/>
      <c r="P721" s="20"/>
      <c r="Q721" s="20"/>
      <c r="R721" s="20"/>
      <c r="S721" s="20"/>
      <c r="T721" s="20"/>
      <c r="U721" s="20"/>
      <c r="V721" s="20"/>
    </row>
    <row r="722" ht="13.5" customHeight="1" spans="1:22">
      <c r="A722" s="20"/>
      <c r="B722" s="20"/>
      <c r="C722" s="20"/>
      <c r="D722" s="20"/>
      <c r="E722" s="20"/>
      <c r="F722" s="20"/>
      <c r="G722" s="20"/>
      <c r="H722" s="20"/>
      <c r="I722" s="20"/>
      <c r="J722" s="20"/>
      <c r="K722" s="20"/>
      <c r="L722" s="20"/>
      <c r="M722" s="20"/>
      <c r="N722" s="20"/>
      <c r="O722" s="20"/>
      <c r="P722" s="20"/>
      <c r="Q722" s="20"/>
      <c r="R722" s="20"/>
      <c r="S722" s="20"/>
      <c r="T722" s="20"/>
      <c r="U722" s="20"/>
      <c r="V722" s="20"/>
    </row>
    <row r="723" ht="13.5" customHeight="1" spans="1:22">
      <c r="A723" s="20"/>
      <c r="B723" s="20"/>
      <c r="C723" s="20"/>
      <c r="D723" s="20"/>
      <c r="E723" s="20"/>
      <c r="F723" s="20"/>
      <c r="G723" s="20"/>
      <c r="H723" s="20"/>
      <c r="I723" s="20"/>
      <c r="J723" s="20"/>
      <c r="K723" s="20"/>
      <c r="L723" s="20"/>
      <c r="M723" s="20"/>
      <c r="N723" s="20"/>
      <c r="O723" s="20"/>
      <c r="P723" s="20"/>
      <c r="Q723" s="20"/>
      <c r="R723" s="20"/>
      <c r="S723" s="20"/>
      <c r="T723" s="20"/>
      <c r="U723" s="20"/>
      <c r="V723" s="20"/>
    </row>
    <row r="724" ht="13.5" customHeight="1" spans="1:22">
      <c r="A724" s="20"/>
      <c r="B724" s="20"/>
      <c r="C724" s="20"/>
      <c r="D724" s="20"/>
      <c r="E724" s="20"/>
      <c r="F724" s="20"/>
      <c r="G724" s="20"/>
      <c r="H724" s="20"/>
      <c r="I724" s="20"/>
      <c r="J724" s="20"/>
      <c r="K724" s="20"/>
      <c r="L724" s="20"/>
      <c r="M724" s="20"/>
      <c r="N724" s="20"/>
      <c r="O724" s="20"/>
      <c r="P724" s="20"/>
      <c r="Q724" s="20"/>
      <c r="R724" s="20"/>
      <c r="S724" s="20"/>
      <c r="T724" s="20"/>
      <c r="U724" s="20"/>
      <c r="V724" s="20"/>
    </row>
    <row r="725" ht="13.5" customHeight="1" spans="1:22">
      <c r="A725" s="20"/>
      <c r="B725" s="20"/>
      <c r="C725" s="20"/>
      <c r="D725" s="20"/>
      <c r="E725" s="20"/>
      <c r="F725" s="20"/>
      <c r="G725" s="20"/>
      <c r="H725" s="20"/>
      <c r="I725" s="20"/>
      <c r="J725" s="20"/>
      <c r="K725" s="20"/>
      <c r="L725" s="20"/>
      <c r="M725" s="20"/>
      <c r="N725" s="20"/>
      <c r="O725" s="20"/>
      <c r="P725" s="20"/>
      <c r="Q725" s="20"/>
      <c r="R725" s="20"/>
      <c r="S725" s="20"/>
      <c r="T725" s="20"/>
      <c r="U725" s="20"/>
      <c r="V725" s="20"/>
    </row>
    <row r="726" ht="13.5" customHeight="1" spans="1:22">
      <c r="A726" s="20"/>
      <c r="B726" s="20"/>
      <c r="C726" s="20"/>
      <c r="D726" s="20"/>
      <c r="E726" s="20"/>
      <c r="F726" s="20"/>
      <c r="G726" s="20"/>
      <c r="H726" s="20"/>
      <c r="I726" s="20"/>
      <c r="J726" s="20"/>
      <c r="K726" s="20"/>
      <c r="L726" s="20"/>
      <c r="M726" s="20"/>
      <c r="N726" s="20"/>
      <c r="O726" s="20"/>
      <c r="P726" s="20"/>
      <c r="Q726" s="20"/>
      <c r="R726" s="20"/>
      <c r="S726" s="20"/>
      <c r="T726" s="20"/>
      <c r="U726" s="20"/>
      <c r="V726" s="20"/>
    </row>
    <row r="727" ht="13.5" customHeight="1" spans="1:22">
      <c r="A727" s="20"/>
      <c r="B727" s="20"/>
      <c r="C727" s="20"/>
      <c r="D727" s="20"/>
      <c r="E727" s="20"/>
      <c r="F727" s="20"/>
      <c r="G727" s="20"/>
      <c r="H727" s="20"/>
      <c r="I727" s="20"/>
      <c r="J727" s="20"/>
      <c r="K727" s="20"/>
      <c r="L727" s="20"/>
      <c r="M727" s="20"/>
      <c r="N727" s="20"/>
      <c r="O727" s="20"/>
      <c r="P727" s="20"/>
      <c r="Q727" s="20"/>
      <c r="R727" s="20"/>
      <c r="S727" s="20"/>
      <c r="T727" s="20"/>
      <c r="U727" s="20"/>
      <c r="V727" s="20"/>
    </row>
    <row r="728" ht="13.5" customHeight="1" spans="1:22">
      <c r="A728" s="20"/>
      <c r="B728" s="20"/>
      <c r="C728" s="20"/>
      <c r="D728" s="20"/>
      <c r="E728" s="20"/>
      <c r="F728" s="20"/>
      <c r="G728" s="20"/>
      <c r="H728" s="20"/>
      <c r="I728" s="20"/>
      <c r="J728" s="20"/>
      <c r="K728" s="20"/>
      <c r="L728" s="20"/>
      <c r="M728" s="20"/>
      <c r="N728" s="20"/>
      <c r="O728" s="20"/>
      <c r="P728" s="20"/>
      <c r="Q728" s="20"/>
      <c r="R728" s="20"/>
      <c r="S728" s="20"/>
      <c r="T728" s="20"/>
      <c r="U728" s="20"/>
      <c r="V728" s="20"/>
    </row>
    <row r="729" ht="13.5" customHeight="1" spans="1:22">
      <c r="A729" s="20"/>
      <c r="B729" s="20"/>
      <c r="C729" s="20"/>
      <c r="D729" s="20"/>
      <c r="E729" s="20"/>
      <c r="F729" s="20"/>
      <c r="G729" s="20"/>
      <c r="H729" s="20"/>
      <c r="I729" s="20"/>
      <c r="J729" s="20"/>
      <c r="K729" s="20"/>
      <c r="L729" s="20"/>
      <c r="M729" s="20"/>
      <c r="N729" s="20"/>
      <c r="O729" s="20"/>
      <c r="P729" s="20"/>
      <c r="Q729" s="20"/>
      <c r="R729" s="20"/>
      <c r="S729" s="20"/>
      <c r="T729" s="20"/>
      <c r="U729" s="20"/>
      <c r="V729" s="20"/>
    </row>
    <row r="730" ht="13.5" customHeight="1" spans="1:22">
      <c r="A730" s="20"/>
      <c r="B730" s="20"/>
      <c r="C730" s="20"/>
      <c r="D730" s="20"/>
      <c r="E730" s="20"/>
      <c r="F730" s="20"/>
      <c r="G730" s="20"/>
      <c r="H730" s="20"/>
      <c r="I730" s="20"/>
      <c r="J730" s="20"/>
      <c r="K730" s="20"/>
      <c r="L730" s="20"/>
      <c r="M730" s="20"/>
      <c r="N730" s="20"/>
      <c r="O730" s="20"/>
      <c r="P730" s="20"/>
      <c r="Q730" s="20"/>
      <c r="R730" s="20"/>
      <c r="S730" s="20"/>
      <c r="T730" s="20"/>
      <c r="U730" s="20"/>
      <c r="V730" s="20"/>
    </row>
    <row r="731" ht="13.5" customHeight="1" spans="1:22">
      <c r="A731" s="20"/>
      <c r="B731" s="20"/>
      <c r="C731" s="20"/>
      <c r="D731" s="20"/>
      <c r="E731" s="20"/>
      <c r="F731" s="20"/>
      <c r="G731" s="20"/>
      <c r="H731" s="20"/>
      <c r="I731" s="20"/>
      <c r="J731" s="20"/>
      <c r="K731" s="20"/>
      <c r="L731" s="20"/>
      <c r="M731" s="20"/>
      <c r="N731" s="20"/>
      <c r="O731" s="20"/>
      <c r="P731" s="20"/>
      <c r="Q731" s="20"/>
      <c r="R731" s="20"/>
      <c r="S731" s="20"/>
      <c r="T731" s="20"/>
      <c r="U731" s="20"/>
      <c r="V731" s="20"/>
    </row>
    <row r="732" ht="13.5" customHeight="1" spans="1:22">
      <c r="A732" s="20"/>
      <c r="B732" s="20"/>
      <c r="C732" s="20"/>
      <c r="D732" s="20"/>
      <c r="E732" s="20"/>
      <c r="F732" s="20"/>
      <c r="G732" s="20"/>
      <c r="H732" s="20"/>
      <c r="I732" s="20"/>
      <c r="J732" s="20"/>
      <c r="K732" s="20"/>
      <c r="L732" s="20"/>
      <c r="M732" s="20"/>
      <c r="N732" s="20"/>
      <c r="O732" s="20"/>
      <c r="P732" s="20"/>
      <c r="Q732" s="20"/>
      <c r="R732" s="20"/>
      <c r="S732" s="20"/>
      <c r="T732" s="20"/>
      <c r="U732" s="20"/>
      <c r="V732" s="20"/>
    </row>
    <row r="733" ht="13.5" customHeight="1" spans="1:22">
      <c r="A733" s="20"/>
      <c r="B733" s="20"/>
      <c r="C733" s="20"/>
      <c r="D733" s="20"/>
      <c r="E733" s="20"/>
      <c r="F733" s="20"/>
      <c r="G733" s="20"/>
      <c r="H733" s="20"/>
      <c r="I733" s="20"/>
      <c r="J733" s="20"/>
      <c r="K733" s="20"/>
      <c r="L733" s="20"/>
      <c r="M733" s="20"/>
      <c r="N733" s="20"/>
      <c r="O733" s="20"/>
      <c r="P733" s="20"/>
      <c r="Q733" s="20"/>
      <c r="R733" s="20"/>
      <c r="S733" s="20"/>
      <c r="T733" s="20"/>
      <c r="U733" s="20"/>
      <c r="V733" s="20"/>
    </row>
    <row r="734" ht="13.5" customHeight="1" spans="1:22">
      <c r="A734" s="20"/>
      <c r="B734" s="20"/>
      <c r="C734" s="20"/>
      <c r="D734" s="20"/>
      <c r="E734" s="20"/>
      <c r="F734" s="20"/>
      <c r="G734" s="20"/>
      <c r="H734" s="20"/>
      <c r="I734" s="20"/>
      <c r="J734" s="20"/>
      <c r="K734" s="20"/>
      <c r="L734" s="20"/>
      <c r="M734" s="20"/>
      <c r="N734" s="20"/>
      <c r="O734" s="20"/>
      <c r="P734" s="20"/>
      <c r="Q734" s="20"/>
      <c r="R734" s="20"/>
      <c r="S734" s="20"/>
      <c r="T734" s="20"/>
      <c r="U734" s="20"/>
      <c r="V734" s="20"/>
    </row>
    <row r="735" ht="13.5" customHeight="1" spans="1:22">
      <c r="A735" s="20"/>
      <c r="B735" s="20"/>
      <c r="C735" s="20"/>
      <c r="D735" s="20"/>
      <c r="E735" s="20"/>
      <c r="F735" s="20"/>
      <c r="G735" s="20"/>
      <c r="H735" s="20"/>
      <c r="I735" s="20"/>
      <c r="J735" s="20"/>
      <c r="K735" s="20"/>
      <c r="L735" s="20"/>
      <c r="M735" s="20"/>
      <c r="N735" s="20"/>
      <c r="O735" s="20"/>
      <c r="P735" s="20"/>
      <c r="Q735" s="20"/>
      <c r="R735" s="20"/>
      <c r="S735" s="20"/>
      <c r="T735" s="20"/>
      <c r="U735" s="20"/>
      <c r="V735" s="20"/>
    </row>
    <row r="736" ht="13.5" customHeight="1" spans="1:22">
      <c r="A736" s="20"/>
      <c r="B736" s="20"/>
      <c r="C736" s="20"/>
      <c r="D736" s="20"/>
      <c r="E736" s="20"/>
      <c r="F736" s="20"/>
      <c r="G736" s="20"/>
      <c r="H736" s="20"/>
      <c r="I736" s="20"/>
      <c r="J736" s="20"/>
      <c r="K736" s="20"/>
      <c r="L736" s="20"/>
      <c r="M736" s="20"/>
      <c r="N736" s="20"/>
      <c r="O736" s="20"/>
      <c r="P736" s="20"/>
      <c r="Q736" s="20"/>
      <c r="R736" s="20"/>
      <c r="S736" s="20"/>
      <c r="T736" s="20"/>
      <c r="U736" s="20"/>
      <c r="V736" s="20"/>
    </row>
    <row r="737" ht="13.5" customHeight="1" spans="1:22">
      <c r="A737" s="20"/>
      <c r="B737" s="20"/>
      <c r="C737" s="20"/>
      <c r="D737" s="20"/>
      <c r="E737" s="20"/>
      <c r="F737" s="20"/>
      <c r="G737" s="20"/>
      <c r="H737" s="20"/>
      <c r="I737" s="20"/>
      <c r="J737" s="20"/>
      <c r="K737" s="20"/>
      <c r="L737" s="20"/>
      <c r="M737" s="20"/>
      <c r="N737" s="20"/>
      <c r="O737" s="20"/>
      <c r="P737" s="20"/>
      <c r="Q737" s="20"/>
      <c r="R737" s="20"/>
      <c r="S737" s="20"/>
      <c r="T737" s="20"/>
      <c r="U737" s="20"/>
      <c r="V737" s="20"/>
    </row>
    <row r="738" ht="13.5" customHeight="1" spans="1:22">
      <c r="A738" s="20"/>
      <c r="B738" s="20"/>
      <c r="C738" s="20"/>
      <c r="D738" s="20"/>
      <c r="E738" s="20"/>
      <c r="F738" s="20"/>
      <c r="G738" s="20"/>
      <c r="H738" s="20"/>
      <c r="I738" s="20"/>
      <c r="J738" s="20"/>
      <c r="K738" s="20"/>
      <c r="L738" s="20"/>
      <c r="M738" s="20"/>
      <c r="N738" s="20"/>
      <c r="O738" s="20"/>
      <c r="P738" s="20"/>
      <c r="Q738" s="20"/>
      <c r="R738" s="20"/>
      <c r="S738" s="20"/>
      <c r="T738" s="20"/>
      <c r="U738" s="20"/>
      <c r="V738" s="20"/>
    </row>
    <row r="739" ht="13.5" customHeight="1" spans="1:22">
      <c r="A739" s="20"/>
      <c r="B739" s="20"/>
      <c r="C739" s="20"/>
      <c r="D739" s="20"/>
      <c r="E739" s="20"/>
      <c r="F739" s="20"/>
      <c r="G739" s="20"/>
      <c r="H739" s="20"/>
      <c r="I739" s="20"/>
      <c r="J739" s="20"/>
      <c r="K739" s="20"/>
      <c r="L739" s="20"/>
      <c r="M739" s="20"/>
      <c r="N739" s="20"/>
      <c r="O739" s="20"/>
      <c r="P739" s="20"/>
      <c r="Q739" s="20"/>
      <c r="R739" s="20"/>
      <c r="S739" s="20"/>
      <c r="T739" s="20"/>
      <c r="U739" s="20"/>
      <c r="V739" s="20"/>
    </row>
    <row r="740" ht="13.5" customHeight="1" spans="1:22">
      <c r="A740" s="20"/>
      <c r="B740" s="20"/>
      <c r="C740" s="20"/>
      <c r="D740" s="20"/>
      <c r="E740" s="20"/>
      <c r="F740" s="20"/>
      <c r="G740" s="20"/>
      <c r="H740" s="20"/>
      <c r="I740" s="20"/>
      <c r="J740" s="20"/>
      <c r="K740" s="20"/>
      <c r="L740" s="20"/>
      <c r="M740" s="20"/>
      <c r="N740" s="20"/>
      <c r="O740" s="20"/>
      <c r="P740" s="20"/>
      <c r="Q740" s="20"/>
      <c r="R740" s="20"/>
      <c r="S740" s="20"/>
      <c r="T740" s="20"/>
      <c r="U740" s="20"/>
      <c r="V740" s="20"/>
    </row>
    <row r="741" ht="13.5" customHeight="1" spans="1:22">
      <c r="A741" s="20"/>
      <c r="B741" s="20"/>
      <c r="C741" s="20"/>
      <c r="D741" s="20"/>
      <c r="E741" s="20"/>
      <c r="F741" s="20"/>
      <c r="G741" s="20"/>
      <c r="H741" s="20"/>
      <c r="I741" s="20"/>
      <c r="J741" s="20"/>
      <c r="K741" s="20"/>
      <c r="L741" s="20"/>
      <c r="M741" s="20"/>
      <c r="N741" s="20"/>
      <c r="O741" s="20"/>
      <c r="P741" s="20"/>
      <c r="Q741" s="20"/>
      <c r="R741" s="20"/>
      <c r="S741" s="20"/>
      <c r="T741" s="20"/>
      <c r="U741" s="20"/>
      <c r="V741" s="20"/>
    </row>
    <row r="742" ht="13.5" customHeight="1" spans="1:22">
      <c r="A742" s="20"/>
      <c r="B742" s="20"/>
      <c r="C742" s="20"/>
      <c r="D742" s="20"/>
      <c r="E742" s="20"/>
      <c r="F742" s="20"/>
      <c r="G742" s="20"/>
      <c r="H742" s="20"/>
      <c r="I742" s="20"/>
      <c r="J742" s="20"/>
      <c r="K742" s="20"/>
      <c r="L742" s="20"/>
      <c r="M742" s="20"/>
      <c r="N742" s="20"/>
      <c r="O742" s="20"/>
      <c r="P742" s="20"/>
      <c r="Q742" s="20"/>
      <c r="R742" s="20"/>
      <c r="S742" s="20"/>
      <c r="T742" s="20"/>
      <c r="U742" s="20"/>
      <c r="V742" s="20"/>
    </row>
    <row r="743" ht="13.5" customHeight="1" spans="1:22">
      <c r="A743" s="20"/>
      <c r="B743" s="20"/>
      <c r="C743" s="20"/>
      <c r="D743" s="20"/>
      <c r="E743" s="20"/>
      <c r="F743" s="20"/>
      <c r="G743" s="20"/>
      <c r="H743" s="20"/>
      <c r="I743" s="20"/>
      <c r="J743" s="20"/>
      <c r="K743" s="20"/>
      <c r="L743" s="20"/>
      <c r="M743" s="20"/>
      <c r="N743" s="20"/>
      <c r="O743" s="20"/>
      <c r="P743" s="20"/>
      <c r="Q743" s="20"/>
      <c r="R743" s="20"/>
      <c r="S743" s="20"/>
      <c r="T743" s="20"/>
      <c r="U743" s="20"/>
      <c r="V743" s="20"/>
    </row>
    <row r="744" ht="13.5" customHeight="1" spans="1:22">
      <c r="A744" s="20"/>
      <c r="B744" s="20"/>
      <c r="C744" s="20"/>
      <c r="D744" s="20"/>
      <c r="E744" s="20"/>
      <c r="F744" s="20"/>
      <c r="G744" s="20"/>
      <c r="H744" s="20"/>
      <c r="I744" s="20"/>
      <c r="J744" s="20"/>
      <c r="K744" s="20"/>
      <c r="L744" s="20"/>
      <c r="M744" s="20"/>
      <c r="N744" s="20"/>
      <c r="O744" s="20"/>
      <c r="P744" s="20"/>
      <c r="Q744" s="20"/>
      <c r="R744" s="20"/>
      <c r="S744" s="20"/>
      <c r="T744" s="20"/>
      <c r="U744" s="20"/>
      <c r="V744" s="20"/>
    </row>
    <row r="745" ht="13.5" customHeight="1" spans="1:22">
      <c r="A745" s="20"/>
      <c r="B745" s="20"/>
      <c r="C745" s="20"/>
      <c r="D745" s="20"/>
      <c r="E745" s="20"/>
      <c r="F745" s="20"/>
      <c r="G745" s="20"/>
      <c r="H745" s="20"/>
      <c r="I745" s="20"/>
      <c r="J745" s="20"/>
      <c r="K745" s="20"/>
      <c r="L745" s="20"/>
      <c r="M745" s="20"/>
      <c r="N745" s="20"/>
      <c r="O745" s="20"/>
      <c r="P745" s="20"/>
      <c r="Q745" s="20"/>
      <c r="R745" s="20"/>
      <c r="S745" s="20"/>
      <c r="T745" s="20"/>
      <c r="U745" s="20"/>
      <c r="V745" s="20"/>
    </row>
    <row r="746" ht="13.5" customHeight="1" spans="1:22">
      <c r="A746" s="20"/>
      <c r="B746" s="20"/>
      <c r="C746" s="20"/>
      <c r="D746" s="20"/>
      <c r="E746" s="20"/>
      <c r="F746" s="20"/>
      <c r="G746" s="20"/>
      <c r="H746" s="20"/>
      <c r="I746" s="20"/>
      <c r="J746" s="20"/>
      <c r="K746" s="20"/>
      <c r="L746" s="20"/>
      <c r="M746" s="20"/>
      <c r="N746" s="20"/>
      <c r="O746" s="20"/>
      <c r="P746" s="20"/>
      <c r="Q746" s="20"/>
      <c r="R746" s="20"/>
      <c r="S746" s="20"/>
      <c r="T746" s="20"/>
      <c r="U746" s="20"/>
      <c r="V746" s="20"/>
    </row>
    <row r="747" ht="13.5" customHeight="1" spans="1:22">
      <c r="A747" s="20"/>
      <c r="B747" s="20"/>
      <c r="C747" s="20"/>
      <c r="D747" s="20"/>
      <c r="E747" s="20"/>
      <c r="F747" s="20"/>
      <c r="G747" s="20"/>
      <c r="H747" s="20"/>
      <c r="I747" s="20"/>
      <c r="J747" s="20"/>
      <c r="K747" s="20"/>
      <c r="L747" s="20"/>
      <c r="M747" s="20"/>
      <c r="N747" s="20"/>
      <c r="O747" s="20"/>
      <c r="P747" s="20"/>
      <c r="Q747" s="20"/>
      <c r="R747" s="20"/>
      <c r="S747" s="20"/>
      <c r="T747" s="20"/>
      <c r="U747" s="20"/>
      <c r="V747" s="20"/>
    </row>
    <row r="748" ht="13.5" customHeight="1" spans="1:22">
      <c r="A748" s="20"/>
      <c r="B748" s="20"/>
      <c r="C748" s="20"/>
      <c r="D748" s="20"/>
      <c r="E748" s="20"/>
      <c r="F748" s="20"/>
      <c r="G748" s="20"/>
      <c r="H748" s="20"/>
      <c r="I748" s="20"/>
      <c r="J748" s="20"/>
      <c r="K748" s="20"/>
      <c r="L748" s="20"/>
      <c r="M748" s="20"/>
      <c r="N748" s="20"/>
      <c r="O748" s="20"/>
      <c r="P748" s="20"/>
      <c r="Q748" s="20"/>
      <c r="R748" s="20"/>
      <c r="S748" s="20"/>
      <c r="T748" s="20"/>
      <c r="U748" s="20"/>
      <c r="V748" s="20"/>
    </row>
    <row r="749" ht="13.5" customHeight="1" spans="1:22">
      <c r="A749" s="20"/>
      <c r="B749" s="20"/>
      <c r="C749" s="20"/>
      <c r="D749" s="20"/>
      <c r="E749" s="20"/>
      <c r="F749" s="20"/>
      <c r="G749" s="20"/>
      <c r="H749" s="20"/>
      <c r="I749" s="20"/>
      <c r="J749" s="20"/>
      <c r="K749" s="20"/>
      <c r="L749" s="20"/>
      <c r="M749" s="20"/>
      <c r="N749" s="20"/>
      <c r="O749" s="20"/>
      <c r="P749" s="20"/>
      <c r="Q749" s="20"/>
      <c r="R749" s="20"/>
      <c r="S749" s="20"/>
      <c r="T749" s="20"/>
      <c r="U749" s="20"/>
      <c r="V749" s="20"/>
    </row>
    <row r="750" ht="13.5" customHeight="1" spans="1:22">
      <c r="A750" s="20"/>
      <c r="B750" s="20"/>
      <c r="C750" s="20"/>
      <c r="D750" s="20"/>
      <c r="E750" s="20"/>
      <c r="F750" s="20"/>
      <c r="G750" s="20"/>
      <c r="H750" s="20"/>
      <c r="I750" s="20"/>
      <c r="J750" s="20"/>
      <c r="K750" s="20"/>
      <c r="L750" s="20"/>
      <c r="M750" s="20"/>
      <c r="N750" s="20"/>
      <c r="O750" s="20"/>
      <c r="P750" s="20"/>
      <c r="Q750" s="20"/>
      <c r="R750" s="20"/>
      <c r="S750" s="20"/>
      <c r="T750" s="20"/>
      <c r="U750" s="20"/>
      <c r="V750" s="20"/>
    </row>
    <row r="751" ht="13.5" customHeight="1" spans="1:22">
      <c r="A751" s="20"/>
      <c r="B751" s="20"/>
      <c r="C751" s="20"/>
      <c r="D751" s="20"/>
      <c r="E751" s="20"/>
      <c r="F751" s="20"/>
      <c r="G751" s="20"/>
      <c r="H751" s="20"/>
      <c r="I751" s="20"/>
      <c r="J751" s="20"/>
      <c r="K751" s="20"/>
      <c r="L751" s="20"/>
      <c r="M751" s="20"/>
      <c r="N751" s="20"/>
      <c r="O751" s="20"/>
      <c r="P751" s="20"/>
      <c r="Q751" s="20"/>
      <c r="R751" s="20"/>
      <c r="S751" s="20"/>
      <c r="T751" s="20"/>
      <c r="U751" s="20"/>
      <c r="V751" s="20"/>
    </row>
    <row r="752" ht="13.5" customHeight="1" spans="1:22">
      <c r="A752" s="20"/>
      <c r="B752" s="20"/>
      <c r="C752" s="20"/>
      <c r="D752" s="20"/>
      <c r="E752" s="20"/>
      <c r="F752" s="20"/>
      <c r="G752" s="20"/>
      <c r="H752" s="20"/>
      <c r="I752" s="20"/>
      <c r="J752" s="20"/>
      <c r="K752" s="20"/>
      <c r="L752" s="20"/>
      <c r="M752" s="20"/>
      <c r="N752" s="20"/>
      <c r="O752" s="20"/>
      <c r="P752" s="20"/>
      <c r="Q752" s="20"/>
      <c r="R752" s="20"/>
      <c r="S752" s="20"/>
      <c r="T752" s="20"/>
      <c r="U752" s="20"/>
      <c r="V752" s="20"/>
    </row>
    <row r="753" ht="13.5" customHeight="1" spans="1:22">
      <c r="A753" s="20"/>
      <c r="B753" s="20"/>
      <c r="C753" s="20"/>
      <c r="D753" s="20"/>
      <c r="E753" s="20"/>
      <c r="F753" s="20"/>
      <c r="G753" s="20"/>
      <c r="H753" s="20"/>
      <c r="I753" s="20"/>
      <c r="J753" s="20"/>
      <c r="K753" s="20"/>
      <c r="L753" s="20"/>
      <c r="M753" s="20"/>
      <c r="N753" s="20"/>
      <c r="O753" s="20"/>
      <c r="P753" s="20"/>
      <c r="Q753" s="20"/>
      <c r="R753" s="20"/>
      <c r="S753" s="20"/>
      <c r="T753" s="20"/>
      <c r="U753" s="20"/>
      <c r="V753" s="20"/>
    </row>
    <row r="754" ht="13.5" customHeight="1" spans="1:22">
      <c r="A754" s="20"/>
      <c r="B754" s="20"/>
      <c r="C754" s="20"/>
      <c r="D754" s="20"/>
      <c r="E754" s="20"/>
      <c r="F754" s="20"/>
      <c r="G754" s="20"/>
      <c r="H754" s="20"/>
      <c r="I754" s="20"/>
      <c r="J754" s="20"/>
      <c r="K754" s="20"/>
      <c r="L754" s="20"/>
      <c r="M754" s="20"/>
      <c r="N754" s="20"/>
      <c r="O754" s="20"/>
      <c r="P754" s="20"/>
      <c r="Q754" s="20"/>
      <c r="R754" s="20"/>
      <c r="S754" s="20"/>
      <c r="T754" s="20"/>
      <c r="U754" s="20"/>
      <c r="V754" s="20"/>
    </row>
    <row r="755" ht="13.5" customHeight="1" spans="1:22">
      <c r="A755" s="20"/>
      <c r="B755" s="20"/>
      <c r="C755" s="20"/>
      <c r="D755" s="20"/>
      <c r="E755" s="20"/>
      <c r="F755" s="20"/>
      <c r="G755" s="20"/>
      <c r="H755" s="20"/>
      <c r="I755" s="20"/>
      <c r="J755" s="20"/>
      <c r="K755" s="20"/>
      <c r="L755" s="20"/>
      <c r="M755" s="20"/>
      <c r="N755" s="20"/>
      <c r="O755" s="20"/>
      <c r="P755" s="20"/>
      <c r="Q755" s="20"/>
      <c r="R755" s="20"/>
      <c r="S755" s="20"/>
      <c r="T755" s="20"/>
      <c r="U755" s="20"/>
      <c r="V755" s="20"/>
    </row>
    <row r="756" ht="13.5" customHeight="1" spans="1:22">
      <c r="A756" s="20"/>
      <c r="B756" s="20"/>
      <c r="C756" s="20"/>
      <c r="D756" s="20"/>
      <c r="E756" s="20"/>
      <c r="F756" s="20"/>
      <c r="G756" s="20"/>
      <c r="H756" s="20"/>
      <c r="I756" s="20"/>
      <c r="J756" s="20"/>
      <c r="K756" s="20"/>
      <c r="L756" s="20"/>
      <c r="M756" s="20"/>
      <c r="N756" s="20"/>
      <c r="O756" s="20"/>
      <c r="P756" s="20"/>
      <c r="Q756" s="20"/>
      <c r="R756" s="20"/>
      <c r="S756" s="20"/>
      <c r="T756" s="20"/>
      <c r="U756" s="20"/>
      <c r="V756" s="20"/>
    </row>
    <row r="757" ht="13.5" customHeight="1" spans="1:22">
      <c r="A757" s="20"/>
      <c r="B757" s="20"/>
      <c r="C757" s="20"/>
      <c r="D757" s="20"/>
      <c r="E757" s="20"/>
      <c r="F757" s="20"/>
      <c r="G757" s="20"/>
      <c r="H757" s="20"/>
      <c r="I757" s="20"/>
      <c r="J757" s="20"/>
      <c r="K757" s="20"/>
      <c r="L757" s="20"/>
      <c r="M757" s="20"/>
      <c r="N757" s="20"/>
      <c r="O757" s="20"/>
      <c r="P757" s="20"/>
      <c r="Q757" s="20"/>
      <c r="R757" s="20"/>
      <c r="S757" s="20"/>
      <c r="T757" s="20"/>
      <c r="U757" s="20"/>
      <c r="V757" s="20"/>
    </row>
    <row r="758" ht="13.5" customHeight="1" spans="1:22">
      <c r="A758" s="20"/>
      <c r="B758" s="20"/>
      <c r="C758" s="20"/>
      <c r="D758" s="20"/>
      <c r="E758" s="20"/>
      <c r="F758" s="20"/>
      <c r="G758" s="20"/>
      <c r="H758" s="20"/>
      <c r="I758" s="20"/>
      <c r="J758" s="20"/>
      <c r="K758" s="20"/>
      <c r="L758" s="20"/>
      <c r="M758" s="20"/>
      <c r="N758" s="20"/>
      <c r="O758" s="20"/>
      <c r="P758" s="20"/>
      <c r="Q758" s="20"/>
      <c r="R758" s="20"/>
      <c r="S758" s="20"/>
      <c r="T758" s="20"/>
      <c r="U758" s="20"/>
      <c r="V758" s="20"/>
    </row>
    <row r="759" ht="13.5" customHeight="1" spans="1:22">
      <c r="A759" s="20"/>
      <c r="B759" s="20"/>
      <c r="C759" s="20"/>
      <c r="D759" s="20"/>
      <c r="E759" s="20"/>
      <c r="F759" s="20"/>
      <c r="G759" s="20"/>
      <c r="H759" s="20"/>
      <c r="I759" s="20"/>
      <c r="J759" s="20"/>
      <c r="K759" s="20"/>
      <c r="L759" s="20"/>
      <c r="M759" s="20"/>
      <c r="N759" s="20"/>
      <c r="O759" s="20"/>
      <c r="P759" s="20"/>
      <c r="Q759" s="20"/>
      <c r="R759" s="20"/>
      <c r="S759" s="20"/>
      <c r="T759" s="20"/>
      <c r="U759" s="20"/>
      <c r="V759" s="20"/>
    </row>
    <row r="760" ht="13.5" customHeight="1" spans="1:22">
      <c r="A760" s="20"/>
      <c r="B760" s="20"/>
      <c r="C760" s="20"/>
      <c r="D760" s="20"/>
      <c r="E760" s="20"/>
      <c r="F760" s="20"/>
      <c r="G760" s="20"/>
      <c r="H760" s="20"/>
      <c r="I760" s="20"/>
      <c r="J760" s="20"/>
      <c r="K760" s="20"/>
      <c r="L760" s="20"/>
      <c r="M760" s="20"/>
      <c r="N760" s="20"/>
      <c r="O760" s="20"/>
      <c r="P760" s="20"/>
      <c r="Q760" s="20"/>
      <c r="R760" s="20"/>
      <c r="S760" s="20"/>
      <c r="T760" s="20"/>
      <c r="U760" s="20"/>
      <c r="V760" s="20"/>
    </row>
    <row r="761" ht="13.5" customHeight="1" spans="1:22">
      <c r="A761" s="20"/>
      <c r="B761" s="20"/>
      <c r="C761" s="20"/>
      <c r="D761" s="20"/>
      <c r="E761" s="20"/>
      <c r="F761" s="20"/>
      <c r="G761" s="20"/>
      <c r="H761" s="20"/>
      <c r="I761" s="20"/>
      <c r="J761" s="20"/>
      <c r="K761" s="20"/>
      <c r="L761" s="20"/>
      <c r="M761" s="20"/>
      <c r="N761" s="20"/>
      <c r="O761" s="20"/>
      <c r="P761" s="20"/>
      <c r="Q761" s="20"/>
      <c r="R761" s="20"/>
      <c r="S761" s="20"/>
      <c r="T761" s="20"/>
      <c r="U761" s="20"/>
      <c r="V761" s="20"/>
    </row>
    <row r="762" ht="13.5" customHeight="1" spans="1:22">
      <c r="A762" s="20"/>
      <c r="B762" s="20"/>
      <c r="C762" s="20"/>
      <c r="D762" s="20"/>
      <c r="E762" s="20"/>
      <c r="F762" s="20"/>
      <c r="G762" s="20"/>
      <c r="H762" s="20"/>
      <c r="I762" s="20"/>
      <c r="J762" s="20"/>
      <c r="K762" s="20"/>
      <c r="L762" s="20"/>
      <c r="M762" s="20"/>
      <c r="N762" s="20"/>
      <c r="O762" s="20"/>
      <c r="P762" s="20"/>
      <c r="Q762" s="20"/>
      <c r="R762" s="20"/>
      <c r="S762" s="20"/>
      <c r="T762" s="20"/>
      <c r="U762" s="20"/>
      <c r="V762" s="20"/>
    </row>
    <row r="763" ht="13.5" customHeight="1" spans="1:22">
      <c r="A763" s="20"/>
      <c r="B763" s="20"/>
      <c r="C763" s="20"/>
      <c r="D763" s="20"/>
      <c r="E763" s="20"/>
      <c r="F763" s="20"/>
      <c r="G763" s="20"/>
      <c r="H763" s="20"/>
      <c r="I763" s="20"/>
      <c r="J763" s="20"/>
      <c r="K763" s="20"/>
      <c r="L763" s="20"/>
      <c r="M763" s="20"/>
      <c r="N763" s="20"/>
      <c r="O763" s="20"/>
      <c r="P763" s="20"/>
      <c r="Q763" s="20"/>
      <c r="R763" s="20"/>
      <c r="S763" s="20"/>
      <c r="T763" s="20"/>
      <c r="U763" s="20"/>
      <c r="V763" s="20"/>
    </row>
    <row r="764" ht="13.5" customHeight="1" spans="1:22">
      <c r="A764" s="20"/>
      <c r="B764" s="20"/>
      <c r="C764" s="20"/>
      <c r="D764" s="20"/>
      <c r="E764" s="20"/>
      <c r="F764" s="20"/>
      <c r="G764" s="20"/>
      <c r="H764" s="20"/>
      <c r="I764" s="20"/>
      <c r="J764" s="20"/>
      <c r="K764" s="20"/>
      <c r="L764" s="20"/>
      <c r="M764" s="20"/>
      <c r="N764" s="20"/>
      <c r="O764" s="20"/>
      <c r="P764" s="20"/>
      <c r="Q764" s="20"/>
      <c r="R764" s="20"/>
      <c r="S764" s="20"/>
      <c r="T764" s="20"/>
      <c r="U764" s="20"/>
      <c r="V764" s="20"/>
    </row>
    <row r="765" ht="13.5" customHeight="1" spans="1:22">
      <c r="A765" s="20"/>
      <c r="B765" s="20"/>
      <c r="C765" s="20"/>
      <c r="D765" s="20"/>
      <c r="E765" s="20"/>
      <c r="F765" s="20"/>
      <c r="G765" s="20"/>
      <c r="H765" s="20"/>
      <c r="I765" s="20"/>
      <c r="J765" s="20"/>
      <c r="K765" s="20"/>
      <c r="L765" s="20"/>
      <c r="M765" s="20"/>
      <c r="N765" s="20"/>
      <c r="O765" s="20"/>
      <c r="P765" s="20"/>
      <c r="Q765" s="20"/>
      <c r="R765" s="20"/>
      <c r="S765" s="20"/>
      <c r="T765" s="20"/>
      <c r="U765" s="20"/>
      <c r="V765" s="20"/>
    </row>
    <row r="766" ht="13.5" customHeight="1" spans="1:22">
      <c r="A766" s="20"/>
      <c r="B766" s="20"/>
      <c r="C766" s="20"/>
      <c r="D766" s="20"/>
      <c r="E766" s="20"/>
      <c r="F766" s="20"/>
      <c r="G766" s="20"/>
      <c r="H766" s="20"/>
      <c r="I766" s="20"/>
      <c r="J766" s="20"/>
      <c r="K766" s="20"/>
      <c r="L766" s="20"/>
      <c r="M766" s="20"/>
      <c r="N766" s="20"/>
      <c r="O766" s="20"/>
      <c r="P766" s="20"/>
      <c r="Q766" s="20"/>
      <c r="R766" s="20"/>
      <c r="S766" s="20"/>
      <c r="T766" s="20"/>
      <c r="U766" s="20"/>
      <c r="V766" s="20"/>
    </row>
    <row r="767" ht="13.5" customHeight="1" spans="1:22">
      <c r="A767" s="20"/>
      <c r="B767" s="20"/>
      <c r="C767" s="20"/>
      <c r="D767" s="20"/>
      <c r="E767" s="20"/>
      <c r="F767" s="20"/>
      <c r="G767" s="20"/>
      <c r="H767" s="20"/>
      <c r="I767" s="20"/>
      <c r="J767" s="20"/>
      <c r="K767" s="20"/>
      <c r="L767" s="20"/>
      <c r="M767" s="20"/>
      <c r="N767" s="20"/>
      <c r="O767" s="20"/>
      <c r="P767" s="20"/>
      <c r="Q767" s="20"/>
      <c r="R767" s="20"/>
      <c r="S767" s="20"/>
      <c r="T767" s="20"/>
      <c r="U767" s="20"/>
      <c r="V767" s="20"/>
    </row>
    <row r="768" ht="13.5" customHeight="1" spans="1:22">
      <c r="A768" s="20"/>
      <c r="B768" s="20"/>
      <c r="C768" s="20"/>
      <c r="D768" s="20"/>
      <c r="E768" s="20"/>
      <c r="F768" s="20"/>
      <c r="G768" s="20"/>
      <c r="H768" s="20"/>
      <c r="I768" s="20"/>
      <c r="J768" s="20"/>
      <c r="K768" s="20"/>
      <c r="L768" s="20"/>
      <c r="M768" s="20"/>
      <c r="N768" s="20"/>
      <c r="O768" s="20"/>
      <c r="P768" s="20"/>
      <c r="Q768" s="20"/>
      <c r="R768" s="20"/>
      <c r="S768" s="20"/>
      <c r="T768" s="20"/>
      <c r="U768" s="20"/>
      <c r="V768" s="20"/>
    </row>
    <row r="769" ht="13.5" customHeight="1" spans="1:22">
      <c r="A769" s="20"/>
      <c r="B769" s="20"/>
      <c r="C769" s="20"/>
      <c r="D769" s="20"/>
      <c r="E769" s="20"/>
      <c r="F769" s="20"/>
      <c r="G769" s="20"/>
      <c r="H769" s="20"/>
      <c r="I769" s="20"/>
      <c r="J769" s="20"/>
      <c r="K769" s="20"/>
      <c r="L769" s="20"/>
      <c r="M769" s="20"/>
      <c r="N769" s="20"/>
      <c r="O769" s="20"/>
      <c r="P769" s="20"/>
      <c r="Q769" s="20"/>
      <c r="R769" s="20"/>
      <c r="S769" s="20"/>
      <c r="T769" s="20"/>
      <c r="U769" s="20"/>
      <c r="V769" s="20"/>
    </row>
    <row r="770" ht="13.5" customHeight="1" spans="1:22">
      <c r="A770" s="20"/>
      <c r="B770" s="20"/>
      <c r="C770" s="20"/>
      <c r="D770" s="20"/>
      <c r="E770" s="20"/>
      <c r="F770" s="20"/>
      <c r="G770" s="20"/>
      <c r="H770" s="20"/>
      <c r="I770" s="20"/>
      <c r="J770" s="20"/>
      <c r="K770" s="20"/>
      <c r="L770" s="20"/>
      <c r="M770" s="20"/>
      <c r="N770" s="20"/>
      <c r="O770" s="20"/>
      <c r="P770" s="20"/>
      <c r="Q770" s="20"/>
      <c r="R770" s="20"/>
      <c r="S770" s="20"/>
      <c r="T770" s="20"/>
      <c r="U770" s="20"/>
      <c r="V770" s="20"/>
    </row>
    <row r="771" ht="13.5" customHeight="1" spans="1:22">
      <c r="A771" s="20"/>
      <c r="B771" s="20"/>
      <c r="C771" s="20"/>
      <c r="D771" s="20"/>
      <c r="E771" s="20"/>
      <c r="F771" s="20"/>
      <c r="G771" s="20"/>
      <c r="H771" s="20"/>
      <c r="I771" s="20"/>
      <c r="J771" s="20"/>
      <c r="K771" s="20"/>
      <c r="L771" s="20"/>
      <c r="M771" s="20"/>
      <c r="N771" s="20"/>
      <c r="O771" s="20"/>
      <c r="P771" s="20"/>
      <c r="Q771" s="20"/>
      <c r="R771" s="20"/>
      <c r="S771" s="20"/>
      <c r="T771" s="20"/>
      <c r="U771" s="20"/>
      <c r="V771" s="20"/>
    </row>
    <row r="772" ht="13.5" customHeight="1" spans="1:22">
      <c r="A772" s="20"/>
      <c r="B772" s="20"/>
      <c r="C772" s="20"/>
      <c r="D772" s="20"/>
      <c r="E772" s="20"/>
      <c r="F772" s="20"/>
      <c r="G772" s="20"/>
      <c r="H772" s="20"/>
      <c r="I772" s="20"/>
      <c r="J772" s="20"/>
      <c r="K772" s="20"/>
      <c r="L772" s="20"/>
      <c r="M772" s="20"/>
      <c r="N772" s="20"/>
      <c r="O772" s="20"/>
      <c r="P772" s="20"/>
      <c r="Q772" s="20"/>
      <c r="R772" s="20"/>
      <c r="S772" s="20"/>
      <c r="T772" s="20"/>
      <c r="U772" s="20"/>
      <c r="V772" s="20"/>
    </row>
    <row r="773" ht="13.5" customHeight="1" spans="1:22">
      <c r="A773" s="20"/>
      <c r="B773" s="20"/>
      <c r="C773" s="20"/>
      <c r="D773" s="20"/>
      <c r="E773" s="20"/>
      <c r="F773" s="20"/>
      <c r="G773" s="20"/>
      <c r="H773" s="20"/>
      <c r="I773" s="20"/>
      <c r="J773" s="20"/>
      <c r="K773" s="20"/>
      <c r="L773" s="20"/>
      <c r="M773" s="20"/>
      <c r="N773" s="20"/>
      <c r="O773" s="20"/>
      <c r="P773" s="20"/>
      <c r="Q773" s="20"/>
      <c r="R773" s="20"/>
      <c r="S773" s="20"/>
      <c r="T773" s="20"/>
      <c r="U773" s="20"/>
      <c r="V773" s="20"/>
    </row>
    <row r="774" ht="13.5" customHeight="1" spans="1:22">
      <c r="A774" s="20"/>
      <c r="B774" s="20"/>
      <c r="C774" s="20"/>
      <c r="D774" s="20"/>
      <c r="E774" s="20"/>
      <c r="F774" s="20"/>
      <c r="G774" s="20"/>
      <c r="H774" s="20"/>
      <c r="I774" s="20"/>
      <c r="J774" s="20"/>
      <c r="K774" s="20"/>
      <c r="L774" s="20"/>
      <c r="M774" s="20"/>
      <c r="N774" s="20"/>
      <c r="O774" s="20"/>
      <c r="P774" s="20"/>
      <c r="Q774" s="20"/>
      <c r="R774" s="20"/>
      <c r="S774" s="20"/>
      <c r="T774" s="20"/>
      <c r="U774" s="20"/>
      <c r="V774" s="20"/>
    </row>
    <row r="775" ht="13.5" customHeight="1" spans="1:22">
      <c r="A775" s="20"/>
      <c r="B775" s="20"/>
      <c r="C775" s="20"/>
      <c r="D775" s="20"/>
      <c r="E775" s="20"/>
      <c r="F775" s="20"/>
      <c r="G775" s="20"/>
      <c r="H775" s="20"/>
      <c r="I775" s="20"/>
      <c r="J775" s="20"/>
      <c r="K775" s="20"/>
      <c r="L775" s="20"/>
      <c r="M775" s="20"/>
      <c r="N775" s="20"/>
      <c r="O775" s="20"/>
      <c r="P775" s="20"/>
      <c r="Q775" s="20"/>
      <c r="R775" s="20"/>
      <c r="S775" s="20"/>
      <c r="T775" s="20"/>
      <c r="U775" s="20"/>
      <c r="V775" s="20"/>
    </row>
    <row r="776" ht="13.5" customHeight="1" spans="1:22">
      <c r="A776" s="20"/>
      <c r="B776" s="20"/>
      <c r="C776" s="20"/>
      <c r="D776" s="20"/>
      <c r="E776" s="20"/>
      <c r="F776" s="20"/>
      <c r="G776" s="20"/>
      <c r="H776" s="20"/>
      <c r="I776" s="20"/>
      <c r="J776" s="20"/>
      <c r="K776" s="20"/>
      <c r="L776" s="20"/>
      <c r="M776" s="20"/>
      <c r="N776" s="20"/>
      <c r="O776" s="20"/>
      <c r="P776" s="20"/>
      <c r="Q776" s="20"/>
      <c r="R776" s="20"/>
      <c r="S776" s="20"/>
      <c r="T776" s="20"/>
      <c r="U776" s="20"/>
      <c r="V776" s="20"/>
    </row>
    <row r="777" ht="13.5" customHeight="1" spans="1:22">
      <c r="A777" s="20"/>
      <c r="B777" s="20"/>
      <c r="C777" s="20"/>
      <c r="D777" s="20"/>
      <c r="E777" s="20"/>
      <c r="F777" s="20"/>
      <c r="G777" s="20"/>
      <c r="H777" s="20"/>
      <c r="I777" s="20"/>
      <c r="J777" s="20"/>
      <c r="K777" s="20"/>
      <c r="L777" s="20"/>
      <c r="M777" s="20"/>
      <c r="N777" s="20"/>
      <c r="O777" s="20"/>
      <c r="P777" s="20"/>
      <c r="Q777" s="20"/>
      <c r="R777" s="20"/>
      <c r="S777" s="20"/>
      <c r="T777" s="20"/>
      <c r="U777" s="20"/>
      <c r="V777" s="20"/>
    </row>
    <row r="778" ht="13.5" customHeight="1" spans="1:22">
      <c r="A778" s="20"/>
      <c r="B778" s="20"/>
      <c r="C778" s="20"/>
      <c r="D778" s="20"/>
      <c r="E778" s="20"/>
      <c r="F778" s="20"/>
      <c r="G778" s="20"/>
      <c r="H778" s="20"/>
      <c r="I778" s="20"/>
      <c r="J778" s="20"/>
      <c r="K778" s="20"/>
      <c r="L778" s="20"/>
      <c r="M778" s="20"/>
      <c r="N778" s="20"/>
      <c r="O778" s="20"/>
      <c r="P778" s="20"/>
      <c r="Q778" s="20"/>
      <c r="R778" s="20"/>
      <c r="S778" s="20"/>
      <c r="T778" s="20"/>
      <c r="U778" s="20"/>
      <c r="V778" s="20"/>
    </row>
    <row r="779" ht="13.5" customHeight="1" spans="1:22">
      <c r="A779" s="20"/>
      <c r="B779" s="20"/>
      <c r="C779" s="20"/>
      <c r="D779" s="20"/>
      <c r="E779" s="20"/>
      <c r="F779" s="20"/>
      <c r="G779" s="20"/>
      <c r="H779" s="20"/>
      <c r="I779" s="20"/>
      <c r="J779" s="20"/>
      <c r="K779" s="20"/>
      <c r="L779" s="20"/>
      <c r="M779" s="20"/>
      <c r="N779" s="20"/>
      <c r="O779" s="20"/>
      <c r="P779" s="20"/>
      <c r="Q779" s="20"/>
      <c r="R779" s="20"/>
      <c r="S779" s="20"/>
      <c r="T779" s="20"/>
      <c r="U779" s="20"/>
      <c r="V779" s="20"/>
    </row>
    <row r="780" ht="13.5" customHeight="1" spans="1:22">
      <c r="A780" s="20"/>
      <c r="B780" s="20"/>
      <c r="C780" s="20"/>
      <c r="D780" s="20"/>
      <c r="E780" s="20"/>
      <c r="F780" s="20"/>
      <c r="G780" s="20"/>
      <c r="H780" s="20"/>
      <c r="I780" s="20"/>
      <c r="J780" s="20"/>
      <c r="K780" s="20"/>
      <c r="L780" s="20"/>
      <c r="M780" s="20"/>
      <c r="N780" s="20"/>
      <c r="O780" s="20"/>
      <c r="P780" s="20"/>
      <c r="Q780" s="20"/>
      <c r="R780" s="20"/>
      <c r="S780" s="20"/>
      <c r="T780" s="20"/>
      <c r="U780" s="20"/>
      <c r="V780" s="20"/>
    </row>
    <row r="781" ht="13.5" customHeight="1" spans="1:22">
      <c r="A781" s="20"/>
      <c r="B781" s="20"/>
      <c r="C781" s="20"/>
      <c r="D781" s="20"/>
      <c r="E781" s="20"/>
      <c r="F781" s="20"/>
      <c r="G781" s="20"/>
      <c r="H781" s="20"/>
      <c r="I781" s="20"/>
      <c r="J781" s="20"/>
      <c r="K781" s="20"/>
      <c r="L781" s="20"/>
      <c r="M781" s="20"/>
      <c r="N781" s="20"/>
      <c r="O781" s="20"/>
      <c r="P781" s="20"/>
      <c r="Q781" s="20"/>
      <c r="R781" s="20"/>
      <c r="S781" s="20"/>
      <c r="T781" s="20"/>
      <c r="U781" s="20"/>
      <c r="V781" s="20"/>
    </row>
    <row r="782" ht="13.5" customHeight="1" spans="1:22">
      <c r="A782" s="20"/>
      <c r="B782" s="20"/>
      <c r="C782" s="20"/>
      <c r="D782" s="20"/>
      <c r="E782" s="20"/>
      <c r="F782" s="20"/>
      <c r="G782" s="20"/>
      <c r="H782" s="20"/>
      <c r="I782" s="20"/>
      <c r="J782" s="20"/>
      <c r="K782" s="20"/>
      <c r="L782" s="20"/>
      <c r="M782" s="20"/>
      <c r="N782" s="20"/>
      <c r="O782" s="20"/>
      <c r="P782" s="20"/>
      <c r="Q782" s="20"/>
      <c r="R782" s="20"/>
      <c r="S782" s="20"/>
      <c r="T782" s="20"/>
      <c r="U782" s="20"/>
      <c r="V782" s="20"/>
    </row>
    <row r="783" ht="13.5" customHeight="1" spans="1:22">
      <c r="A783" s="20"/>
      <c r="B783" s="20"/>
      <c r="C783" s="20"/>
      <c r="D783" s="20"/>
      <c r="E783" s="20"/>
      <c r="F783" s="20"/>
      <c r="G783" s="20"/>
      <c r="H783" s="20"/>
      <c r="I783" s="20"/>
      <c r="J783" s="20"/>
      <c r="K783" s="20"/>
      <c r="L783" s="20"/>
      <c r="M783" s="20"/>
      <c r="N783" s="20"/>
      <c r="O783" s="20"/>
      <c r="P783" s="20"/>
      <c r="Q783" s="20"/>
      <c r="R783" s="20"/>
      <c r="S783" s="20"/>
      <c r="T783" s="20"/>
      <c r="U783" s="20"/>
      <c r="V783" s="20"/>
    </row>
    <row r="784" ht="13.5" customHeight="1" spans="1:22">
      <c r="A784" s="20"/>
      <c r="B784" s="20"/>
      <c r="C784" s="20"/>
      <c r="D784" s="20"/>
      <c r="E784" s="20"/>
      <c r="F784" s="20"/>
      <c r="G784" s="20"/>
      <c r="H784" s="20"/>
      <c r="I784" s="20"/>
      <c r="J784" s="20"/>
      <c r="K784" s="20"/>
      <c r="L784" s="20"/>
      <c r="M784" s="20"/>
      <c r="N784" s="20"/>
      <c r="O784" s="20"/>
      <c r="P784" s="20"/>
      <c r="Q784" s="20"/>
      <c r="R784" s="20"/>
      <c r="S784" s="20"/>
      <c r="T784" s="20"/>
      <c r="U784" s="20"/>
      <c r="V784" s="20"/>
    </row>
    <row r="785" ht="13.5" customHeight="1" spans="1:22">
      <c r="A785" s="20"/>
      <c r="B785" s="20"/>
      <c r="C785" s="20"/>
      <c r="D785" s="20"/>
      <c r="E785" s="20"/>
      <c r="F785" s="20"/>
      <c r="G785" s="20"/>
      <c r="H785" s="20"/>
      <c r="I785" s="20"/>
      <c r="J785" s="20"/>
      <c r="K785" s="20"/>
      <c r="L785" s="20"/>
      <c r="M785" s="20"/>
      <c r="N785" s="20"/>
      <c r="O785" s="20"/>
      <c r="P785" s="20"/>
      <c r="Q785" s="20"/>
      <c r="R785" s="20"/>
      <c r="S785" s="20"/>
      <c r="T785" s="20"/>
      <c r="U785" s="20"/>
      <c r="V785" s="20"/>
    </row>
    <row r="786" ht="13.5" customHeight="1" spans="1:22">
      <c r="A786" s="20"/>
      <c r="B786" s="20"/>
      <c r="C786" s="20"/>
      <c r="D786" s="20"/>
      <c r="E786" s="20"/>
      <c r="F786" s="20"/>
      <c r="G786" s="20"/>
      <c r="H786" s="20"/>
      <c r="I786" s="20"/>
      <c r="J786" s="20"/>
      <c r="K786" s="20"/>
      <c r="L786" s="20"/>
      <c r="M786" s="20"/>
      <c r="N786" s="20"/>
      <c r="O786" s="20"/>
      <c r="P786" s="20"/>
      <c r="Q786" s="20"/>
      <c r="R786" s="20"/>
      <c r="S786" s="20"/>
      <c r="T786" s="20"/>
      <c r="U786" s="20"/>
      <c r="V786" s="20"/>
    </row>
    <row r="787" ht="13.5" customHeight="1" spans="1:22">
      <c r="A787" s="20"/>
      <c r="B787" s="20"/>
      <c r="C787" s="20"/>
      <c r="D787" s="20"/>
      <c r="E787" s="20"/>
      <c r="F787" s="20"/>
      <c r="G787" s="20"/>
      <c r="H787" s="20"/>
      <c r="I787" s="20"/>
      <c r="J787" s="20"/>
      <c r="K787" s="20"/>
      <c r="L787" s="20"/>
      <c r="M787" s="20"/>
      <c r="N787" s="20"/>
      <c r="O787" s="20"/>
      <c r="P787" s="20"/>
      <c r="Q787" s="20"/>
      <c r="R787" s="20"/>
      <c r="S787" s="20"/>
      <c r="T787" s="20"/>
      <c r="U787" s="20"/>
      <c r="V787" s="20"/>
    </row>
    <row r="788" ht="13.5" customHeight="1" spans="1:22">
      <c r="A788" s="20"/>
      <c r="B788" s="20"/>
      <c r="C788" s="20"/>
      <c r="D788" s="20"/>
      <c r="E788" s="20"/>
      <c r="F788" s="20"/>
      <c r="G788" s="20"/>
      <c r="H788" s="20"/>
      <c r="I788" s="20"/>
      <c r="J788" s="20"/>
      <c r="K788" s="20"/>
      <c r="L788" s="20"/>
      <c r="M788" s="20"/>
      <c r="N788" s="20"/>
      <c r="O788" s="20"/>
      <c r="P788" s="20"/>
      <c r="Q788" s="20"/>
      <c r="R788" s="20"/>
      <c r="S788" s="20"/>
      <c r="T788" s="20"/>
      <c r="U788" s="20"/>
      <c r="V788" s="20"/>
    </row>
    <row r="789" ht="13.5" customHeight="1" spans="1:22">
      <c r="A789" s="20"/>
      <c r="B789" s="20"/>
      <c r="C789" s="20"/>
      <c r="D789" s="20"/>
      <c r="E789" s="20"/>
      <c r="F789" s="20"/>
      <c r="G789" s="20"/>
      <c r="H789" s="20"/>
      <c r="I789" s="20"/>
      <c r="J789" s="20"/>
      <c r="K789" s="20"/>
      <c r="L789" s="20"/>
      <c r="M789" s="20"/>
      <c r="N789" s="20"/>
      <c r="O789" s="20"/>
      <c r="P789" s="20"/>
      <c r="Q789" s="20"/>
      <c r="R789" s="20"/>
      <c r="S789" s="20"/>
      <c r="T789" s="20"/>
      <c r="U789" s="20"/>
      <c r="V789" s="20"/>
    </row>
    <row r="790" ht="13.5" customHeight="1" spans="1:22">
      <c r="A790" s="20"/>
      <c r="B790" s="20"/>
      <c r="C790" s="20"/>
      <c r="D790" s="20"/>
      <c r="E790" s="20"/>
      <c r="F790" s="20"/>
      <c r="G790" s="20"/>
      <c r="H790" s="20"/>
      <c r="I790" s="20"/>
      <c r="J790" s="20"/>
      <c r="K790" s="20"/>
      <c r="L790" s="20"/>
      <c r="M790" s="20"/>
      <c r="N790" s="20"/>
      <c r="O790" s="20"/>
      <c r="P790" s="20"/>
      <c r="Q790" s="20"/>
      <c r="R790" s="20"/>
      <c r="S790" s="20"/>
      <c r="T790" s="20"/>
      <c r="U790" s="20"/>
      <c r="V790" s="20"/>
    </row>
    <row r="791" ht="13.5" customHeight="1" spans="1:22">
      <c r="A791" s="20"/>
      <c r="B791" s="20"/>
      <c r="C791" s="20"/>
      <c r="D791" s="20"/>
      <c r="E791" s="20"/>
      <c r="F791" s="20"/>
      <c r="G791" s="20"/>
      <c r="H791" s="20"/>
      <c r="I791" s="20"/>
      <c r="J791" s="20"/>
      <c r="K791" s="20"/>
      <c r="L791" s="20"/>
      <c r="M791" s="20"/>
      <c r="N791" s="20"/>
      <c r="O791" s="20"/>
      <c r="P791" s="20"/>
      <c r="Q791" s="20"/>
      <c r="R791" s="20"/>
      <c r="S791" s="20"/>
      <c r="T791" s="20"/>
      <c r="U791" s="20"/>
      <c r="V791" s="20"/>
    </row>
    <row r="792" ht="13.5" customHeight="1" spans="1:22">
      <c r="A792" s="20"/>
      <c r="B792" s="20"/>
      <c r="C792" s="20"/>
      <c r="D792" s="20"/>
      <c r="E792" s="20"/>
      <c r="F792" s="20"/>
      <c r="G792" s="20"/>
      <c r="H792" s="20"/>
      <c r="I792" s="20"/>
      <c r="J792" s="20"/>
      <c r="K792" s="20"/>
      <c r="L792" s="20"/>
      <c r="M792" s="20"/>
      <c r="N792" s="20"/>
      <c r="O792" s="20"/>
      <c r="P792" s="20"/>
      <c r="Q792" s="20"/>
      <c r="R792" s="20"/>
      <c r="S792" s="20"/>
      <c r="T792" s="20"/>
      <c r="U792" s="20"/>
      <c r="V792" s="20"/>
    </row>
    <row r="793" ht="13.5" customHeight="1" spans="1:22">
      <c r="A793" s="20"/>
      <c r="B793" s="20"/>
      <c r="C793" s="20"/>
      <c r="D793" s="20"/>
      <c r="E793" s="20"/>
      <c r="F793" s="20"/>
      <c r="G793" s="20"/>
      <c r="H793" s="20"/>
      <c r="I793" s="20"/>
      <c r="J793" s="20"/>
      <c r="K793" s="20"/>
      <c r="L793" s="20"/>
      <c r="M793" s="20"/>
      <c r="N793" s="20"/>
      <c r="O793" s="20"/>
      <c r="P793" s="20"/>
      <c r="Q793" s="20"/>
      <c r="R793" s="20"/>
      <c r="S793" s="20"/>
      <c r="T793" s="20"/>
      <c r="U793" s="20"/>
      <c r="V793" s="20"/>
    </row>
    <row r="794" ht="13.5" customHeight="1" spans="1:22">
      <c r="A794" s="20"/>
      <c r="B794" s="20"/>
      <c r="C794" s="20"/>
      <c r="D794" s="20"/>
      <c r="E794" s="20"/>
      <c r="F794" s="20"/>
      <c r="G794" s="20"/>
      <c r="H794" s="20"/>
      <c r="I794" s="20"/>
      <c r="J794" s="20"/>
      <c r="K794" s="20"/>
      <c r="L794" s="20"/>
      <c r="M794" s="20"/>
      <c r="N794" s="20"/>
      <c r="O794" s="20"/>
      <c r="P794" s="20"/>
      <c r="Q794" s="20"/>
      <c r="R794" s="20"/>
      <c r="S794" s="20"/>
      <c r="T794" s="20"/>
      <c r="U794" s="20"/>
      <c r="V794" s="20"/>
    </row>
    <row r="795" ht="13.5" customHeight="1" spans="1:22">
      <c r="A795" s="20"/>
      <c r="B795" s="20"/>
      <c r="C795" s="20"/>
      <c r="D795" s="20"/>
      <c r="E795" s="20"/>
      <c r="F795" s="20"/>
      <c r="G795" s="20"/>
      <c r="H795" s="20"/>
      <c r="I795" s="20"/>
      <c r="J795" s="20"/>
      <c r="K795" s="20"/>
      <c r="L795" s="20"/>
      <c r="M795" s="20"/>
      <c r="N795" s="20"/>
      <c r="O795" s="20"/>
      <c r="P795" s="20"/>
      <c r="Q795" s="20"/>
      <c r="R795" s="20"/>
      <c r="S795" s="20"/>
      <c r="T795" s="20"/>
      <c r="U795" s="20"/>
      <c r="V795" s="20"/>
    </row>
    <row r="796" ht="13.5" customHeight="1" spans="1:22">
      <c r="A796" s="20"/>
      <c r="B796" s="20"/>
      <c r="C796" s="20"/>
      <c r="D796" s="20"/>
      <c r="E796" s="20"/>
      <c r="F796" s="20"/>
      <c r="G796" s="20"/>
      <c r="H796" s="20"/>
      <c r="I796" s="20"/>
      <c r="J796" s="20"/>
      <c r="K796" s="20"/>
      <c r="L796" s="20"/>
      <c r="M796" s="20"/>
      <c r="N796" s="20"/>
      <c r="O796" s="20"/>
      <c r="P796" s="20"/>
      <c r="Q796" s="20"/>
      <c r="R796" s="20"/>
      <c r="S796" s="20"/>
      <c r="T796" s="20"/>
      <c r="U796" s="20"/>
      <c r="V796" s="20"/>
    </row>
    <row r="797" ht="13.5" customHeight="1" spans="1:22">
      <c r="A797" s="20"/>
      <c r="B797" s="20"/>
      <c r="C797" s="20"/>
      <c r="D797" s="20"/>
      <c r="E797" s="20"/>
      <c r="F797" s="20"/>
      <c r="G797" s="20"/>
      <c r="H797" s="20"/>
      <c r="I797" s="20"/>
      <c r="J797" s="20"/>
      <c r="K797" s="20"/>
      <c r="L797" s="20"/>
      <c r="M797" s="20"/>
      <c r="N797" s="20"/>
      <c r="O797" s="20"/>
      <c r="P797" s="20"/>
      <c r="Q797" s="20"/>
      <c r="R797" s="20"/>
      <c r="S797" s="20"/>
      <c r="T797" s="20"/>
      <c r="U797" s="20"/>
      <c r="V797" s="20"/>
    </row>
    <row r="798" ht="13.5" customHeight="1" spans="1:22">
      <c r="A798" s="20"/>
      <c r="B798" s="20"/>
      <c r="C798" s="20"/>
      <c r="D798" s="20"/>
      <c r="E798" s="20"/>
      <c r="F798" s="20"/>
      <c r="G798" s="20"/>
      <c r="H798" s="20"/>
      <c r="I798" s="20"/>
      <c r="J798" s="20"/>
      <c r="K798" s="20"/>
      <c r="L798" s="20"/>
      <c r="M798" s="20"/>
      <c r="N798" s="20"/>
      <c r="O798" s="20"/>
      <c r="P798" s="20"/>
      <c r="Q798" s="20"/>
      <c r="R798" s="20"/>
      <c r="S798" s="20"/>
      <c r="T798" s="20"/>
      <c r="U798" s="20"/>
      <c r="V798" s="20"/>
    </row>
    <row r="799" ht="13.5" customHeight="1" spans="1:22">
      <c r="A799" s="20"/>
      <c r="B799" s="20"/>
      <c r="C799" s="20"/>
      <c r="D799" s="20"/>
      <c r="E799" s="20"/>
      <c r="F799" s="20"/>
      <c r="G799" s="20"/>
      <c r="H799" s="20"/>
      <c r="I799" s="20"/>
      <c r="J799" s="20"/>
      <c r="K799" s="20"/>
      <c r="L799" s="20"/>
      <c r="M799" s="20"/>
      <c r="N799" s="20"/>
      <c r="O799" s="20"/>
      <c r="P799" s="20"/>
      <c r="Q799" s="20"/>
      <c r="R799" s="20"/>
      <c r="S799" s="20"/>
      <c r="T799" s="20"/>
      <c r="U799" s="20"/>
      <c r="V799" s="20"/>
    </row>
    <row r="800" ht="13.5" customHeight="1" spans="1:22">
      <c r="A800" s="20"/>
      <c r="B800" s="20"/>
      <c r="C800" s="20"/>
      <c r="D800" s="20"/>
      <c r="E800" s="20"/>
      <c r="F800" s="20"/>
      <c r="G800" s="20"/>
      <c r="H800" s="20"/>
      <c r="I800" s="20"/>
      <c r="J800" s="20"/>
      <c r="K800" s="20"/>
      <c r="L800" s="20"/>
      <c r="M800" s="20"/>
      <c r="N800" s="20"/>
      <c r="O800" s="20"/>
      <c r="P800" s="20"/>
      <c r="Q800" s="20"/>
      <c r="R800" s="20"/>
      <c r="S800" s="20"/>
      <c r="T800" s="20"/>
      <c r="U800" s="20"/>
      <c r="V800" s="20"/>
    </row>
    <row r="801" ht="13.5" customHeight="1" spans="1:22">
      <c r="A801" s="20"/>
      <c r="B801" s="20"/>
      <c r="C801" s="20"/>
      <c r="D801" s="20"/>
      <c r="E801" s="20"/>
      <c r="F801" s="20"/>
      <c r="G801" s="20"/>
      <c r="H801" s="20"/>
      <c r="I801" s="20"/>
      <c r="J801" s="20"/>
      <c r="K801" s="20"/>
      <c r="L801" s="20"/>
      <c r="M801" s="20"/>
      <c r="N801" s="20"/>
      <c r="O801" s="20"/>
      <c r="P801" s="20"/>
      <c r="Q801" s="20"/>
      <c r="R801" s="20"/>
      <c r="S801" s="20"/>
      <c r="T801" s="20"/>
      <c r="U801" s="20"/>
      <c r="V801" s="20"/>
    </row>
    <row r="802" ht="13.5" customHeight="1" spans="1:22">
      <c r="A802" s="20"/>
      <c r="B802" s="20"/>
      <c r="C802" s="20"/>
      <c r="D802" s="20"/>
      <c r="E802" s="20"/>
      <c r="F802" s="20"/>
      <c r="G802" s="20"/>
      <c r="H802" s="20"/>
      <c r="I802" s="20"/>
      <c r="J802" s="20"/>
      <c r="K802" s="20"/>
      <c r="L802" s="20"/>
      <c r="M802" s="20"/>
      <c r="N802" s="20"/>
      <c r="O802" s="20"/>
      <c r="P802" s="20"/>
      <c r="Q802" s="20"/>
      <c r="R802" s="20"/>
      <c r="S802" s="20"/>
      <c r="T802" s="20"/>
      <c r="U802" s="20"/>
      <c r="V802" s="20"/>
    </row>
    <row r="803" ht="13.5" customHeight="1" spans="1:22">
      <c r="A803" s="20"/>
      <c r="B803" s="20"/>
      <c r="C803" s="20"/>
      <c r="D803" s="20"/>
      <c r="E803" s="20"/>
      <c r="F803" s="20"/>
      <c r="G803" s="20"/>
      <c r="H803" s="20"/>
      <c r="I803" s="20"/>
      <c r="J803" s="20"/>
      <c r="K803" s="20"/>
      <c r="L803" s="20"/>
      <c r="M803" s="20"/>
      <c r="N803" s="20"/>
      <c r="O803" s="20"/>
      <c r="P803" s="20"/>
      <c r="Q803" s="20"/>
      <c r="R803" s="20"/>
      <c r="S803" s="20"/>
      <c r="T803" s="20"/>
      <c r="U803" s="20"/>
      <c r="V803" s="20"/>
    </row>
    <row r="804" ht="13.5" customHeight="1" spans="1:22">
      <c r="A804" s="20"/>
      <c r="B804" s="20"/>
      <c r="C804" s="20"/>
      <c r="D804" s="20"/>
      <c r="E804" s="20"/>
      <c r="F804" s="20"/>
      <c r="G804" s="20"/>
      <c r="H804" s="20"/>
      <c r="I804" s="20"/>
      <c r="J804" s="20"/>
      <c r="K804" s="20"/>
      <c r="L804" s="20"/>
      <c r="M804" s="20"/>
      <c r="N804" s="20"/>
      <c r="O804" s="20"/>
      <c r="P804" s="20"/>
      <c r="Q804" s="20"/>
      <c r="R804" s="20"/>
      <c r="S804" s="20"/>
      <c r="T804" s="20"/>
      <c r="U804" s="20"/>
      <c r="V804" s="20"/>
    </row>
    <row r="805" ht="13.5" customHeight="1" spans="1:22">
      <c r="A805" s="20"/>
      <c r="B805" s="20"/>
      <c r="C805" s="20"/>
      <c r="D805" s="20"/>
      <c r="E805" s="20"/>
      <c r="F805" s="20"/>
      <c r="G805" s="20"/>
      <c r="H805" s="20"/>
      <c r="I805" s="20"/>
      <c r="J805" s="20"/>
      <c r="K805" s="20"/>
      <c r="L805" s="20"/>
      <c r="M805" s="20"/>
      <c r="N805" s="20"/>
      <c r="O805" s="20"/>
      <c r="P805" s="20"/>
      <c r="Q805" s="20"/>
      <c r="R805" s="20"/>
      <c r="S805" s="20"/>
      <c r="T805" s="20"/>
      <c r="U805" s="20"/>
      <c r="V805" s="20"/>
    </row>
    <row r="806" ht="13.5" customHeight="1" spans="1:22">
      <c r="A806" s="20"/>
      <c r="B806" s="20"/>
      <c r="C806" s="20"/>
      <c r="D806" s="20"/>
      <c r="E806" s="20"/>
      <c r="F806" s="20"/>
      <c r="G806" s="20"/>
      <c r="H806" s="20"/>
      <c r="I806" s="20"/>
      <c r="J806" s="20"/>
      <c r="K806" s="20"/>
      <c r="L806" s="20"/>
      <c r="M806" s="20"/>
      <c r="N806" s="20"/>
      <c r="O806" s="20"/>
      <c r="P806" s="20"/>
      <c r="Q806" s="20"/>
      <c r="R806" s="20"/>
      <c r="S806" s="20"/>
      <c r="T806" s="20"/>
      <c r="U806" s="20"/>
      <c r="V806" s="20"/>
    </row>
    <row r="807" ht="13.5" customHeight="1" spans="1:22">
      <c r="A807" s="20"/>
      <c r="B807" s="20"/>
      <c r="C807" s="20"/>
      <c r="D807" s="20"/>
      <c r="E807" s="20"/>
      <c r="F807" s="20"/>
      <c r="G807" s="20"/>
      <c r="H807" s="20"/>
      <c r="I807" s="20"/>
      <c r="J807" s="20"/>
      <c r="K807" s="20"/>
      <c r="L807" s="20"/>
      <c r="M807" s="20"/>
      <c r="N807" s="20"/>
      <c r="O807" s="20"/>
      <c r="P807" s="20"/>
      <c r="Q807" s="20"/>
      <c r="R807" s="20"/>
      <c r="S807" s="20"/>
      <c r="T807" s="20"/>
      <c r="U807" s="20"/>
      <c r="V807" s="20"/>
    </row>
    <row r="808" ht="13.5" customHeight="1" spans="1:22">
      <c r="A808" s="20"/>
      <c r="B808" s="20"/>
      <c r="C808" s="20"/>
      <c r="D808" s="20"/>
      <c r="E808" s="20"/>
      <c r="F808" s="20"/>
      <c r="G808" s="20"/>
      <c r="H808" s="20"/>
      <c r="I808" s="20"/>
      <c r="J808" s="20"/>
      <c r="K808" s="20"/>
      <c r="L808" s="20"/>
      <c r="M808" s="20"/>
      <c r="N808" s="20"/>
      <c r="O808" s="20"/>
      <c r="P808" s="20"/>
      <c r="Q808" s="20"/>
      <c r="R808" s="20"/>
      <c r="S808" s="20"/>
      <c r="T808" s="20"/>
      <c r="U808" s="20"/>
      <c r="V808" s="20"/>
    </row>
    <row r="809" ht="13.5" customHeight="1" spans="1:22">
      <c r="A809" s="20"/>
      <c r="B809" s="20"/>
      <c r="C809" s="20"/>
      <c r="D809" s="20"/>
      <c r="E809" s="20"/>
      <c r="F809" s="20"/>
      <c r="G809" s="20"/>
      <c r="H809" s="20"/>
      <c r="I809" s="20"/>
      <c r="J809" s="20"/>
      <c r="K809" s="20"/>
      <c r="L809" s="20"/>
      <c r="M809" s="20"/>
      <c r="N809" s="20"/>
      <c r="O809" s="20"/>
      <c r="P809" s="20"/>
      <c r="Q809" s="20"/>
      <c r="R809" s="20"/>
      <c r="S809" s="20"/>
      <c r="T809" s="20"/>
      <c r="U809" s="20"/>
      <c r="V809" s="20"/>
    </row>
    <row r="810" ht="13.5" customHeight="1" spans="1:22">
      <c r="A810" s="20"/>
      <c r="B810" s="20"/>
      <c r="C810" s="20"/>
      <c r="D810" s="20"/>
      <c r="E810" s="20"/>
      <c r="F810" s="20"/>
      <c r="G810" s="20"/>
      <c r="H810" s="20"/>
      <c r="I810" s="20"/>
      <c r="J810" s="20"/>
      <c r="K810" s="20"/>
      <c r="L810" s="20"/>
      <c r="M810" s="20"/>
      <c r="N810" s="20"/>
      <c r="O810" s="20"/>
      <c r="P810" s="20"/>
      <c r="Q810" s="20"/>
      <c r="R810" s="20"/>
      <c r="S810" s="20"/>
      <c r="T810" s="20"/>
      <c r="U810" s="20"/>
      <c r="V810" s="20"/>
    </row>
    <row r="811" ht="13.5" customHeight="1" spans="1:22">
      <c r="A811" s="20"/>
      <c r="B811" s="20"/>
      <c r="C811" s="20"/>
      <c r="D811" s="20"/>
      <c r="E811" s="20"/>
      <c r="F811" s="20"/>
      <c r="G811" s="20"/>
      <c r="H811" s="20"/>
      <c r="I811" s="20"/>
      <c r="J811" s="20"/>
      <c r="K811" s="20"/>
      <c r="L811" s="20"/>
      <c r="M811" s="20"/>
      <c r="N811" s="20"/>
      <c r="O811" s="20"/>
      <c r="P811" s="20"/>
      <c r="Q811" s="20"/>
      <c r="R811" s="20"/>
      <c r="S811" s="20"/>
      <c r="T811" s="20"/>
      <c r="U811" s="20"/>
      <c r="V811" s="20"/>
    </row>
    <row r="812" ht="13.5" customHeight="1" spans="1:22">
      <c r="A812" s="20"/>
      <c r="B812" s="20"/>
      <c r="C812" s="20"/>
      <c r="D812" s="20"/>
      <c r="E812" s="20"/>
      <c r="F812" s="20"/>
      <c r="G812" s="20"/>
      <c r="H812" s="20"/>
      <c r="I812" s="20"/>
      <c r="J812" s="20"/>
      <c r="K812" s="20"/>
      <c r="L812" s="20"/>
      <c r="M812" s="20"/>
      <c r="N812" s="20"/>
      <c r="O812" s="20"/>
      <c r="P812" s="20"/>
      <c r="Q812" s="20"/>
      <c r="R812" s="20"/>
      <c r="S812" s="20"/>
      <c r="T812" s="20"/>
      <c r="U812" s="20"/>
      <c r="V812" s="20"/>
    </row>
    <row r="813" ht="13.5" customHeight="1" spans="1:22">
      <c r="A813" s="20"/>
      <c r="B813" s="20"/>
      <c r="C813" s="20"/>
      <c r="D813" s="20"/>
      <c r="E813" s="20"/>
      <c r="F813" s="20"/>
      <c r="G813" s="20"/>
      <c r="H813" s="20"/>
      <c r="I813" s="20"/>
      <c r="J813" s="20"/>
      <c r="K813" s="20"/>
      <c r="L813" s="20"/>
      <c r="M813" s="20"/>
      <c r="N813" s="20"/>
      <c r="O813" s="20"/>
      <c r="P813" s="20"/>
      <c r="Q813" s="20"/>
      <c r="R813" s="20"/>
      <c r="S813" s="20"/>
      <c r="T813" s="20"/>
      <c r="U813" s="20"/>
      <c r="V813" s="20"/>
    </row>
    <row r="814" ht="13.5" customHeight="1" spans="1:22">
      <c r="A814" s="20"/>
      <c r="B814" s="20"/>
      <c r="C814" s="20"/>
      <c r="D814" s="20"/>
      <c r="E814" s="20"/>
      <c r="F814" s="20"/>
      <c r="G814" s="20"/>
      <c r="H814" s="20"/>
      <c r="I814" s="20"/>
      <c r="J814" s="20"/>
      <c r="K814" s="20"/>
      <c r="L814" s="20"/>
      <c r="M814" s="20"/>
      <c r="N814" s="20"/>
      <c r="O814" s="20"/>
      <c r="P814" s="20"/>
      <c r="Q814" s="20"/>
      <c r="R814" s="20"/>
      <c r="S814" s="20"/>
      <c r="T814" s="20"/>
      <c r="U814" s="20"/>
      <c r="V814" s="20"/>
    </row>
    <row r="815" ht="13.5" customHeight="1" spans="1:22">
      <c r="A815" s="20"/>
      <c r="B815" s="20"/>
      <c r="C815" s="20"/>
      <c r="D815" s="20"/>
      <c r="E815" s="20"/>
      <c r="F815" s="20"/>
      <c r="G815" s="20"/>
      <c r="H815" s="20"/>
      <c r="I815" s="20"/>
      <c r="J815" s="20"/>
      <c r="K815" s="20"/>
      <c r="L815" s="20"/>
      <c r="M815" s="20"/>
      <c r="N815" s="20"/>
      <c r="O815" s="20"/>
      <c r="P815" s="20"/>
      <c r="Q815" s="20"/>
      <c r="R815" s="20"/>
      <c r="S815" s="20"/>
      <c r="T815" s="20"/>
      <c r="U815" s="20"/>
      <c r="V815" s="20"/>
    </row>
    <row r="816" ht="13.5" customHeight="1" spans="1:22">
      <c r="A816" s="20"/>
      <c r="B816" s="20"/>
      <c r="C816" s="20"/>
      <c r="D816" s="20"/>
      <c r="E816" s="20"/>
      <c r="F816" s="20"/>
      <c r="G816" s="20"/>
      <c r="H816" s="20"/>
      <c r="I816" s="20"/>
      <c r="J816" s="20"/>
      <c r="K816" s="20"/>
      <c r="L816" s="20"/>
      <c r="M816" s="20"/>
      <c r="N816" s="20"/>
      <c r="O816" s="20"/>
      <c r="P816" s="20"/>
      <c r="Q816" s="20"/>
      <c r="R816" s="20"/>
      <c r="S816" s="20"/>
      <c r="T816" s="20"/>
      <c r="U816" s="20"/>
      <c r="V816" s="20"/>
    </row>
    <row r="817" ht="13.5" customHeight="1" spans="1:22">
      <c r="A817" s="20"/>
      <c r="B817" s="20"/>
      <c r="C817" s="20"/>
      <c r="D817" s="20"/>
      <c r="E817" s="20"/>
      <c r="F817" s="20"/>
      <c r="G817" s="20"/>
      <c r="H817" s="20"/>
      <c r="I817" s="20"/>
      <c r="J817" s="20"/>
      <c r="K817" s="20"/>
      <c r="L817" s="20"/>
      <c r="M817" s="20"/>
      <c r="N817" s="20"/>
      <c r="O817" s="20"/>
      <c r="P817" s="20"/>
      <c r="Q817" s="20"/>
      <c r="R817" s="20"/>
      <c r="S817" s="20"/>
      <c r="T817" s="20"/>
      <c r="U817" s="20"/>
      <c r="V817" s="20"/>
    </row>
    <row r="818" ht="13.5" customHeight="1" spans="1:22">
      <c r="A818" s="20"/>
      <c r="B818" s="20"/>
      <c r="C818" s="20"/>
      <c r="D818" s="20"/>
      <c r="E818" s="20"/>
      <c r="F818" s="20"/>
      <c r="G818" s="20"/>
      <c r="H818" s="20"/>
      <c r="I818" s="20"/>
      <c r="J818" s="20"/>
      <c r="K818" s="20"/>
      <c r="L818" s="20"/>
      <c r="M818" s="20"/>
      <c r="N818" s="20"/>
      <c r="O818" s="20"/>
      <c r="P818" s="20"/>
      <c r="Q818" s="20"/>
      <c r="R818" s="20"/>
      <c r="S818" s="20"/>
      <c r="T818" s="20"/>
      <c r="U818" s="20"/>
      <c r="V818" s="20"/>
    </row>
    <row r="819" ht="13.5" customHeight="1" spans="1:22">
      <c r="A819" s="20"/>
      <c r="B819" s="20"/>
      <c r="C819" s="20"/>
      <c r="D819" s="20"/>
      <c r="E819" s="20"/>
      <c r="F819" s="20"/>
      <c r="G819" s="20"/>
      <c r="H819" s="20"/>
      <c r="I819" s="20"/>
      <c r="J819" s="20"/>
      <c r="K819" s="20"/>
      <c r="L819" s="20"/>
      <c r="M819" s="20"/>
      <c r="N819" s="20"/>
      <c r="O819" s="20"/>
      <c r="P819" s="20"/>
      <c r="Q819" s="20"/>
      <c r="R819" s="20"/>
      <c r="S819" s="20"/>
      <c r="T819" s="20"/>
      <c r="U819" s="20"/>
      <c r="V819" s="20"/>
    </row>
    <row r="820" ht="13.5" customHeight="1" spans="1:22">
      <c r="A820" s="20"/>
      <c r="B820" s="20"/>
      <c r="C820" s="20"/>
      <c r="D820" s="20"/>
      <c r="E820" s="20"/>
      <c r="F820" s="20"/>
      <c r="G820" s="20"/>
      <c r="H820" s="20"/>
      <c r="I820" s="20"/>
      <c r="J820" s="20"/>
      <c r="K820" s="20"/>
      <c r="L820" s="20"/>
      <c r="M820" s="20"/>
      <c r="N820" s="20"/>
      <c r="O820" s="20"/>
      <c r="P820" s="20"/>
      <c r="Q820" s="20"/>
      <c r="R820" s="20"/>
      <c r="S820" s="20"/>
      <c r="T820" s="20"/>
      <c r="U820" s="20"/>
      <c r="V820" s="20"/>
    </row>
    <row r="821" ht="13.5" customHeight="1" spans="1:22">
      <c r="A821" s="20"/>
      <c r="B821" s="20"/>
      <c r="C821" s="20"/>
      <c r="D821" s="20"/>
      <c r="E821" s="20"/>
      <c r="F821" s="20"/>
      <c r="G821" s="20"/>
      <c r="H821" s="20"/>
      <c r="I821" s="20"/>
      <c r="J821" s="20"/>
      <c r="K821" s="20"/>
      <c r="L821" s="20"/>
      <c r="M821" s="20"/>
      <c r="N821" s="20"/>
      <c r="O821" s="20"/>
      <c r="P821" s="20"/>
      <c r="Q821" s="20"/>
      <c r="R821" s="20"/>
      <c r="S821" s="20"/>
      <c r="T821" s="20"/>
      <c r="U821" s="20"/>
      <c r="V821" s="20"/>
    </row>
    <row r="822" ht="13.5" customHeight="1" spans="1:22">
      <c r="A822" s="20"/>
      <c r="B822" s="20"/>
      <c r="C822" s="20"/>
      <c r="D822" s="20"/>
      <c r="E822" s="20"/>
      <c r="F822" s="20"/>
      <c r="G822" s="20"/>
      <c r="H822" s="20"/>
      <c r="I822" s="20"/>
      <c r="J822" s="20"/>
      <c r="K822" s="20"/>
      <c r="L822" s="20"/>
      <c r="M822" s="20"/>
      <c r="N822" s="20"/>
      <c r="O822" s="20"/>
      <c r="P822" s="20"/>
      <c r="Q822" s="20"/>
      <c r="R822" s="20"/>
      <c r="S822" s="20"/>
      <c r="T822" s="20"/>
      <c r="U822" s="20"/>
      <c r="V822" s="20"/>
    </row>
    <row r="823" ht="13.5" customHeight="1" spans="1:22">
      <c r="A823" s="20"/>
      <c r="B823" s="20"/>
      <c r="C823" s="20"/>
      <c r="D823" s="20"/>
      <c r="E823" s="20"/>
      <c r="F823" s="20"/>
      <c r="G823" s="20"/>
      <c r="H823" s="20"/>
      <c r="I823" s="20"/>
      <c r="J823" s="20"/>
      <c r="K823" s="20"/>
      <c r="L823" s="20"/>
      <c r="M823" s="20"/>
      <c r="N823" s="20"/>
      <c r="O823" s="20"/>
      <c r="P823" s="20"/>
      <c r="Q823" s="20"/>
      <c r="R823" s="20"/>
      <c r="S823" s="20"/>
      <c r="T823" s="20"/>
      <c r="U823" s="20"/>
      <c r="V823" s="20"/>
    </row>
    <row r="824" ht="13.5" customHeight="1" spans="1:22">
      <c r="A824" s="20"/>
      <c r="B824" s="20"/>
      <c r="C824" s="20"/>
      <c r="D824" s="20"/>
      <c r="E824" s="20"/>
      <c r="F824" s="20"/>
      <c r="G824" s="20"/>
      <c r="H824" s="20"/>
      <c r="I824" s="20"/>
      <c r="J824" s="20"/>
      <c r="K824" s="20"/>
      <c r="L824" s="20"/>
      <c r="M824" s="20"/>
      <c r="N824" s="20"/>
      <c r="O824" s="20"/>
      <c r="P824" s="20"/>
      <c r="Q824" s="20"/>
      <c r="R824" s="20"/>
      <c r="S824" s="20"/>
      <c r="T824" s="20"/>
      <c r="U824" s="20"/>
      <c r="V824" s="20"/>
    </row>
    <row r="825" ht="13.5" customHeight="1" spans="1:22">
      <c r="A825" s="20"/>
      <c r="B825" s="20"/>
      <c r="C825" s="20"/>
      <c r="D825" s="20"/>
      <c r="E825" s="20"/>
      <c r="F825" s="20"/>
      <c r="G825" s="20"/>
      <c r="H825" s="20"/>
      <c r="I825" s="20"/>
      <c r="J825" s="20"/>
      <c r="K825" s="20"/>
      <c r="L825" s="20"/>
      <c r="M825" s="20"/>
      <c r="N825" s="20"/>
      <c r="O825" s="20"/>
      <c r="P825" s="20"/>
      <c r="Q825" s="20"/>
      <c r="R825" s="20"/>
      <c r="S825" s="20"/>
      <c r="T825" s="20"/>
      <c r="U825" s="20"/>
      <c r="V825" s="20"/>
    </row>
    <row r="826" ht="13.5" customHeight="1" spans="1:22">
      <c r="A826" s="20"/>
      <c r="B826" s="20"/>
      <c r="C826" s="20"/>
      <c r="D826" s="20"/>
      <c r="E826" s="20"/>
      <c r="F826" s="20"/>
      <c r="G826" s="20"/>
      <c r="H826" s="20"/>
      <c r="I826" s="20"/>
      <c r="J826" s="20"/>
      <c r="K826" s="20"/>
      <c r="L826" s="20"/>
      <c r="M826" s="20"/>
      <c r="N826" s="20"/>
      <c r="O826" s="20"/>
      <c r="P826" s="20"/>
      <c r="Q826" s="20"/>
      <c r="R826" s="20"/>
      <c r="S826" s="20"/>
      <c r="T826" s="20"/>
      <c r="U826" s="20"/>
      <c r="V826" s="20"/>
    </row>
    <row r="827" ht="13.5" customHeight="1" spans="1:22">
      <c r="A827" s="20"/>
      <c r="B827" s="20"/>
      <c r="C827" s="20"/>
      <c r="D827" s="20"/>
      <c r="E827" s="20"/>
      <c r="F827" s="20"/>
      <c r="G827" s="20"/>
      <c r="H827" s="20"/>
      <c r="I827" s="20"/>
      <c r="J827" s="20"/>
      <c r="K827" s="20"/>
      <c r="L827" s="20"/>
      <c r="M827" s="20"/>
      <c r="N827" s="20"/>
      <c r="O827" s="20"/>
      <c r="P827" s="20"/>
      <c r="Q827" s="20"/>
      <c r="R827" s="20"/>
      <c r="S827" s="20"/>
      <c r="T827" s="20"/>
      <c r="U827" s="20"/>
      <c r="V827" s="20"/>
    </row>
    <row r="828" ht="13.5" customHeight="1" spans="1:22">
      <c r="A828" s="20"/>
      <c r="B828" s="20"/>
      <c r="C828" s="20"/>
      <c r="D828" s="20"/>
      <c r="E828" s="20"/>
      <c r="F828" s="20"/>
      <c r="G828" s="20"/>
      <c r="H828" s="20"/>
      <c r="I828" s="20"/>
      <c r="J828" s="20"/>
      <c r="K828" s="20"/>
      <c r="L828" s="20"/>
      <c r="M828" s="20"/>
      <c r="N828" s="20"/>
      <c r="O828" s="20"/>
      <c r="P828" s="20"/>
      <c r="Q828" s="20"/>
      <c r="R828" s="20"/>
      <c r="S828" s="20"/>
      <c r="T828" s="20"/>
      <c r="U828" s="20"/>
      <c r="V828" s="20"/>
    </row>
    <row r="829" ht="13.5" customHeight="1" spans="1:22">
      <c r="A829" s="20"/>
      <c r="B829" s="20"/>
      <c r="C829" s="20"/>
      <c r="D829" s="20"/>
      <c r="E829" s="20"/>
      <c r="F829" s="20"/>
      <c r="G829" s="20"/>
      <c r="H829" s="20"/>
      <c r="I829" s="20"/>
      <c r="J829" s="20"/>
      <c r="K829" s="20"/>
      <c r="L829" s="20"/>
      <c r="M829" s="20"/>
      <c r="N829" s="20"/>
      <c r="O829" s="20"/>
      <c r="P829" s="20"/>
      <c r="Q829" s="20"/>
      <c r="R829" s="20"/>
      <c r="S829" s="20"/>
      <c r="T829" s="20"/>
      <c r="U829" s="20"/>
      <c r="V829" s="20"/>
    </row>
    <row r="830" ht="13.5" customHeight="1" spans="1:22">
      <c r="A830" s="20"/>
      <c r="B830" s="20"/>
      <c r="C830" s="20"/>
      <c r="D830" s="20"/>
      <c r="E830" s="20"/>
      <c r="F830" s="20"/>
      <c r="G830" s="20"/>
      <c r="H830" s="20"/>
      <c r="I830" s="20"/>
      <c r="J830" s="20"/>
      <c r="K830" s="20"/>
      <c r="L830" s="20"/>
      <c r="M830" s="20"/>
      <c r="N830" s="20"/>
      <c r="O830" s="20"/>
      <c r="P830" s="20"/>
      <c r="Q830" s="20"/>
      <c r="R830" s="20"/>
      <c r="S830" s="20"/>
      <c r="T830" s="20"/>
      <c r="U830" s="20"/>
      <c r="V830" s="20"/>
    </row>
    <row r="831" ht="13.5" customHeight="1" spans="1:22">
      <c r="A831" s="20"/>
      <c r="B831" s="20"/>
      <c r="C831" s="20"/>
      <c r="D831" s="20"/>
      <c r="E831" s="20"/>
      <c r="F831" s="20"/>
      <c r="G831" s="20"/>
      <c r="H831" s="20"/>
      <c r="I831" s="20"/>
      <c r="J831" s="20"/>
      <c r="K831" s="20"/>
      <c r="L831" s="20"/>
      <c r="M831" s="20"/>
      <c r="N831" s="20"/>
      <c r="O831" s="20"/>
      <c r="P831" s="20"/>
      <c r="Q831" s="20"/>
      <c r="R831" s="20"/>
      <c r="S831" s="20"/>
      <c r="T831" s="20"/>
      <c r="U831" s="20"/>
      <c r="V831" s="20"/>
    </row>
    <row r="832" ht="13.5" customHeight="1" spans="1:22">
      <c r="A832" s="20"/>
      <c r="B832" s="20"/>
      <c r="C832" s="20"/>
      <c r="D832" s="20"/>
      <c r="E832" s="20"/>
      <c r="F832" s="20"/>
      <c r="G832" s="20"/>
      <c r="H832" s="20"/>
      <c r="I832" s="20"/>
      <c r="J832" s="20"/>
      <c r="K832" s="20"/>
      <c r="L832" s="20"/>
      <c r="M832" s="20"/>
      <c r="N832" s="20"/>
      <c r="O832" s="20"/>
      <c r="P832" s="20"/>
      <c r="Q832" s="20"/>
      <c r="R832" s="20"/>
      <c r="S832" s="20"/>
      <c r="T832" s="20"/>
      <c r="U832" s="20"/>
      <c r="V832" s="20"/>
    </row>
    <row r="833" ht="13.5" customHeight="1" spans="1:22">
      <c r="A833" s="20"/>
      <c r="B833" s="20"/>
      <c r="C833" s="20"/>
      <c r="D833" s="20"/>
      <c r="E833" s="20"/>
      <c r="F833" s="20"/>
      <c r="G833" s="20"/>
      <c r="H833" s="20"/>
      <c r="I833" s="20"/>
      <c r="J833" s="20"/>
      <c r="K833" s="20"/>
      <c r="L833" s="20"/>
      <c r="M833" s="20"/>
      <c r="N833" s="20"/>
      <c r="O833" s="20"/>
      <c r="P833" s="20"/>
      <c r="Q833" s="20"/>
      <c r="R833" s="20"/>
      <c r="S833" s="20"/>
      <c r="T833" s="20"/>
      <c r="U833" s="20"/>
      <c r="V833" s="20"/>
    </row>
    <row r="834" ht="13.5" customHeight="1" spans="1:22">
      <c r="A834" s="20"/>
      <c r="B834" s="20"/>
      <c r="C834" s="20"/>
      <c r="D834" s="20"/>
      <c r="E834" s="20"/>
      <c r="F834" s="20"/>
      <c r="G834" s="20"/>
      <c r="H834" s="20"/>
      <c r="I834" s="20"/>
      <c r="J834" s="20"/>
      <c r="K834" s="20"/>
      <c r="L834" s="20"/>
      <c r="M834" s="20"/>
      <c r="N834" s="20"/>
      <c r="O834" s="20"/>
      <c r="P834" s="20"/>
      <c r="Q834" s="20"/>
      <c r="R834" s="20"/>
      <c r="S834" s="20"/>
      <c r="T834" s="20"/>
      <c r="U834" s="20"/>
      <c r="V834" s="20"/>
    </row>
    <row r="835" ht="13.5" customHeight="1" spans="1:22">
      <c r="A835" s="20"/>
      <c r="B835" s="20"/>
      <c r="C835" s="20"/>
      <c r="D835" s="20"/>
      <c r="E835" s="20"/>
      <c r="F835" s="20"/>
      <c r="G835" s="20"/>
      <c r="H835" s="20"/>
      <c r="I835" s="20"/>
      <c r="J835" s="20"/>
      <c r="K835" s="20"/>
      <c r="L835" s="20"/>
      <c r="M835" s="20"/>
      <c r="N835" s="20"/>
      <c r="O835" s="20"/>
      <c r="P835" s="20"/>
      <c r="Q835" s="20"/>
      <c r="R835" s="20"/>
      <c r="S835" s="20"/>
      <c r="T835" s="20"/>
      <c r="U835" s="20"/>
      <c r="V835" s="20"/>
    </row>
    <row r="836" ht="13.5" customHeight="1" spans="1:22">
      <c r="A836" s="20"/>
      <c r="B836" s="20"/>
      <c r="C836" s="20"/>
      <c r="D836" s="20"/>
      <c r="E836" s="20"/>
      <c r="F836" s="20"/>
      <c r="G836" s="20"/>
      <c r="H836" s="20"/>
      <c r="I836" s="20"/>
      <c r="J836" s="20"/>
      <c r="K836" s="20"/>
      <c r="L836" s="20"/>
      <c r="M836" s="20"/>
      <c r="N836" s="20"/>
      <c r="O836" s="20"/>
      <c r="P836" s="20"/>
      <c r="Q836" s="20"/>
      <c r="R836" s="20"/>
      <c r="S836" s="20"/>
      <c r="T836" s="20"/>
      <c r="U836" s="20"/>
      <c r="V836" s="20"/>
    </row>
    <row r="837" ht="13.5" customHeight="1" spans="1:22">
      <c r="A837" s="20"/>
      <c r="B837" s="20"/>
      <c r="C837" s="20"/>
      <c r="D837" s="20"/>
      <c r="E837" s="20"/>
      <c r="F837" s="20"/>
      <c r="G837" s="20"/>
      <c r="H837" s="20"/>
      <c r="I837" s="20"/>
      <c r="J837" s="20"/>
      <c r="K837" s="20"/>
      <c r="L837" s="20"/>
      <c r="M837" s="20"/>
      <c r="N837" s="20"/>
      <c r="O837" s="20"/>
      <c r="P837" s="20"/>
      <c r="Q837" s="20"/>
      <c r="R837" s="20"/>
      <c r="S837" s="20"/>
      <c r="T837" s="20"/>
      <c r="U837" s="20"/>
      <c r="V837" s="20"/>
    </row>
    <row r="838" ht="13.5" customHeight="1" spans="1:22">
      <c r="A838" s="20"/>
      <c r="B838" s="20"/>
      <c r="C838" s="20"/>
      <c r="D838" s="20"/>
      <c r="E838" s="20"/>
      <c r="F838" s="20"/>
      <c r="G838" s="20"/>
      <c r="H838" s="20"/>
      <c r="I838" s="20"/>
      <c r="J838" s="20"/>
      <c r="K838" s="20"/>
      <c r="L838" s="20"/>
      <c r="M838" s="20"/>
      <c r="N838" s="20"/>
      <c r="O838" s="20"/>
      <c r="P838" s="20"/>
      <c r="Q838" s="20"/>
      <c r="R838" s="20"/>
      <c r="S838" s="20"/>
      <c r="T838" s="20"/>
      <c r="U838" s="20"/>
      <c r="V838" s="20"/>
    </row>
    <row r="839" ht="13.5" customHeight="1" spans="1:22">
      <c r="A839" s="20"/>
      <c r="B839" s="20"/>
      <c r="C839" s="20"/>
      <c r="D839" s="20"/>
      <c r="E839" s="20"/>
      <c r="F839" s="20"/>
      <c r="G839" s="20"/>
      <c r="H839" s="20"/>
      <c r="I839" s="20"/>
      <c r="J839" s="20"/>
      <c r="K839" s="20"/>
      <c r="L839" s="20"/>
      <c r="M839" s="20"/>
      <c r="N839" s="20"/>
      <c r="O839" s="20"/>
      <c r="P839" s="20"/>
      <c r="Q839" s="20"/>
      <c r="R839" s="20"/>
      <c r="S839" s="20"/>
      <c r="T839" s="20"/>
      <c r="U839" s="20"/>
      <c r="V839" s="20"/>
    </row>
    <row r="840" ht="13.5" customHeight="1" spans="1:22">
      <c r="A840" s="20"/>
      <c r="B840" s="20"/>
      <c r="C840" s="20"/>
      <c r="D840" s="20"/>
      <c r="E840" s="20"/>
      <c r="F840" s="20"/>
      <c r="G840" s="20"/>
      <c r="H840" s="20"/>
      <c r="I840" s="20"/>
      <c r="J840" s="20"/>
      <c r="K840" s="20"/>
      <c r="L840" s="20"/>
      <c r="M840" s="20"/>
      <c r="N840" s="20"/>
      <c r="O840" s="20"/>
      <c r="P840" s="20"/>
      <c r="Q840" s="20"/>
      <c r="R840" s="20"/>
      <c r="S840" s="20"/>
      <c r="T840" s="20"/>
      <c r="U840" s="20"/>
      <c r="V840" s="20"/>
    </row>
    <row r="841" ht="13.5" customHeight="1" spans="1:22">
      <c r="A841" s="20"/>
      <c r="B841" s="20"/>
      <c r="C841" s="20"/>
      <c r="D841" s="20"/>
      <c r="E841" s="20"/>
      <c r="F841" s="20"/>
      <c r="G841" s="20"/>
      <c r="H841" s="20"/>
      <c r="I841" s="20"/>
      <c r="J841" s="20"/>
      <c r="K841" s="20"/>
      <c r="L841" s="20"/>
      <c r="M841" s="20"/>
      <c r="N841" s="20"/>
      <c r="O841" s="20"/>
      <c r="P841" s="20"/>
      <c r="Q841" s="20"/>
      <c r="R841" s="20"/>
      <c r="S841" s="20"/>
      <c r="T841" s="20"/>
      <c r="U841" s="20"/>
      <c r="V841" s="20"/>
    </row>
    <row r="842" ht="13.5" customHeight="1" spans="1:22">
      <c r="A842" s="20"/>
      <c r="B842" s="20"/>
      <c r="C842" s="20"/>
      <c r="D842" s="20"/>
      <c r="E842" s="20"/>
      <c r="F842" s="20"/>
      <c r="G842" s="20"/>
      <c r="H842" s="20"/>
      <c r="I842" s="20"/>
      <c r="J842" s="20"/>
      <c r="K842" s="20"/>
      <c r="L842" s="20"/>
      <c r="M842" s="20"/>
      <c r="N842" s="20"/>
      <c r="O842" s="20"/>
      <c r="P842" s="20"/>
      <c r="Q842" s="20"/>
      <c r="R842" s="20"/>
      <c r="S842" s="20"/>
      <c r="T842" s="20"/>
      <c r="U842" s="20"/>
      <c r="V842" s="20"/>
    </row>
    <row r="843" ht="13.5" customHeight="1" spans="1:22">
      <c r="A843" s="20"/>
      <c r="B843" s="20"/>
      <c r="C843" s="20"/>
      <c r="D843" s="20"/>
      <c r="E843" s="20"/>
      <c r="F843" s="20"/>
      <c r="G843" s="20"/>
      <c r="H843" s="20"/>
      <c r="I843" s="20"/>
      <c r="J843" s="20"/>
      <c r="K843" s="20"/>
      <c r="L843" s="20"/>
      <c r="M843" s="20"/>
      <c r="N843" s="20"/>
      <c r="O843" s="20"/>
      <c r="P843" s="20"/>
      <c r="Q843" s="20"/>
      <c r="R843" s="20"/>
      <c r="S843" s="20"/>
      <c r="T843" s="20"/>
      <c r="U843" s="20"/>
      <c r="V843" s="20"/>
    </row>
    <row r="844" ht="13.5" customHeight="1" spans="1:22">
      <c r="A844" s="20"/>
      <c r="B844" s="20"/>
      <c r="C844" s="20"/>
      <c r="D844" s="20"/>
      <c r="E844" s="20"/>
      <c r="F844" s="20"/>
      <c r="G844" s="20"/>
      <c r="H844" s="20"/>
      <c r="I844" s="20"/>
      <c r="J844" s="20"/>
      <c r="K844" s="20"/>
      <c r="L844" s="20"/>
      <c r="M844" s="20"/>
      <c r="N844" s="20"/>
      <c r="O844" s="20"/>
      <c r="P844" s="20"/>
      <c r="Q844" s="20"/>
      <c r="R844" s="20"/>
      <c r="S844" s="20"/>
      <c r="T844" s="20"/>
      <c r="U844" s="20"/>
      <c r="V844" s="20"/>
    </row>
    <row r="845" ht="13.5" customHeight="1" spans="1:22">
      <c r="A845" s="20"/>
      <c r="B845" s="20"/>
      <c r="C845" s="20"/>
      <c r="D845" s="20"/>
      <c r="E845" s="20"/>
      <c r="F845" s="20"/>
      <c r="G845" s="20"/>
      <c r="H845" s="20"/>
      <c r="I845" s="20"/>
      <c r="J845" s="20"/>
      <c r="K845" s="20"/>
      <c r="L845" s="20"/>
      <c r="M845" s="20"/>
      <c r="N845" s="20"/>
      <c r="O845" s="20"/>
      <c r="P845" s="20"/>
      <c r="Q845" s="20"/>
      <c r="R845" s="20"/>
      <c r="S845" s="20"/>
      <c r="T845" s="20"/>
      <c r="U845" s="20"/>
      <c r="V845" s="20"/>
    </row>
    <row r="846" ht="13.5" customHeight="1" spans="1:22">
      <c r="A846" s="20"/>
      <c r="B846" s="20"/>
      <c r="C846" s="20"/>
      <c r="D846" s="20"/>
      <c r="E846" s="20"/>
      <c r="F846" s="20"/>
      <c r="G846" s="20"/>
      <c r="H846" s="20"/>
      <c r="I846" s="20"/>
      <c r="J846" s="20"/>
      <c r="K846" s="20"/>
      <c r="L846" s="20"/>
      <c r="M846" s="20"/>
      <c r="N846" s="20"/>
      <c r="O846" s="20"/>
      <c r="P846" s="20"/>
      <c r="Q846" s="20"/>
      <c r="R846" s="20"/>
      <c r="S846" s="20"/>
      <c r="T846" s="20"/>
      <c r="U846" s="20"/>
      <c r="V846" s="20"/>
    </row>
    <row r="847" ht="13.5" customHeight="1" spans="1:22">
      <c r="A847" s="20"/>
      <c r="B847" s="20"/>
      <c r="C847" s="20"/>
      <c r="D847" s="20"/>
      <c r="E847" s="20"/>
      <c r="F847" s="20"/>
      <c r="G847" s="20"/>
      <c r="H847" s="20"/>
      <c r="I847" s="20"/>
      <c r="J847" s="20"/>
      <c r="K847" s="20"/>
      <c r="L847" s="20"/>
      <c r="M847" s="20"/>
      <c r="N847" s="20"/>
      <c r="O847" s="20"/>
      <c r="P847" s="20"/>
      <c r="Q847" s="20"/>
      <c r="R847" s="20"/>
      <c r="S847" s="20"/>
      <c r="T847" s="20"/>
      <c r="U847" s="20"/>
      <c r="V847" s="20"/>
    </row>
    <row r="848" ht="13.5" customHeight="1" spans="1:22">
      <c r="A848" s="20"/>
      <c r="B848" s="20"/>
      <c r="C848" s="20"/>
      <c r="D848" s="20"/>
      <c r="E848" s="20"/>
      <c r="F848" s="20"/>
      <c r="G848" s="20"/>
      <c r="H848" s="20"/>
      <c r="I848" s="20"/>
      <c r="J848" s="20"/>
      <c r="K848" s="20"/>
      <c r="L848" s="20"/>
      <c r="M848" s="20"/>
      <c r="N848" s="20"/>
      <c r="O848" s="20"/>
      <c r="P848" s="20"/>
      <c r="Q848" s="20"/>
      <c r="R848" s="20"/>
      <c r="S848" s="20"/>
      <c r="T848" s="20"/>
      <c r="U848" s="20"/>
      <c r="V848" s="20"/>
    </row>
    <row r="849" ht="13.5" customHeight="1" spans="1:22">
      <c r="A849" s="20"/>
      <c r="B849" s="20"/>
      <c r="C849" s="20"/>
      <c r="D849" s="20"/>
      <c r="E849" s="20"/>
      <c r="F849" s="20"/>
      <c r="G849" s="20"/>
      <c r="H849" s="20"/>
      <c r="I849" s="20"/>
      <c r="J849" s="20"/>
      <c r="K849" s="20"/>
      <c r="L849" s="20"/>
      <c r="M849" s="20"/>
      <c r="N849" s="20"/>
      <c r="O849" s="20"/>
      <c r="P849" s="20"/>
      <c r="Q849" s="20"/>
      <c r="R849" s="20"/>
      <c r="S849" s="20"/>
      <c r="T849" s="20"/>
      <c r="U849" s="20"/>
      <c r="V849" s="20"/>
    </row>
    <row r="850" ht="13.5" customHeight="1" spans="1:22">
      <c r="A850" s="20"/>
      <c r="B850" s="20"/>
      <c r="C850" s="20"/>
      <c r="D850" s="20"/>
      <c r="E850" s="20"/>
      <c r="F850" s="20"/>
      <c r="G850" s="20"/>
      <c r="H850" s="20"/>
      <c r="I850" s="20"/>
      <c r="J850" s="20"/>
      <c r="K850" s="20"/>
      <c r="L850" s="20"/>
      <c r="M850" s="20"/>
      <c r="N850" s="20"/>
      <c r="O850" s="20"/>
      <c r="P850" s="20"/>
      <c r="Q850" s="20"/>
      <c r="R850" s="20"/>
      <c r="S850" s="20"/>
      <c r="T850" s="20"/>
      <c r="U850" s="20"/>
      <c r="V850" s="20"/>
    </row>
    <row r="851" ht="13.5" customHeight="1" spans="1:22">
      <c r="A851" s="20"/>
      <c r="B851" s="20"/>
      <c r="C851" s="20"/>
      <c r="D851" s="20"/>
      <c r="E851" s="20"/>
      <c r="F851" s="20"/>
      <c r="G851" s="20"/>
      <c r="H851" s="20"/>
      <c r="I851" s="20"/>
      <c r="J851" s="20"/>
      <c r="K851" s="20"/>
      <c r="L851" s="20"/>
      <c r="M851" s="20"/>
      <c r="N851" s="20"/>
      <c r="O851" s="20"/>
      <c r="P851" s="20"/>
      <c r="Q851" s="20"/>
      <c r="R851" s="20"/>
      <c r="S851" s="20"/>
      <c r="T851" s="20"/>
      <c r="U851" s="20"/>
      <c r="V851" s="20"/>
    </row>
    <row r="852" ht="13.5" customHeight="1" spans="1:22">
      <c r="A852" s="20"/>
      <c r="B852" s="20"/>
      <c r="C852" s="20"/>
      <c r="D852" s="20"/>
      <c r="E852" s="20"/>
      <c r="F852" s="20"/>
      <c r="G852" s="20"/>
      <c r="H852" s="20"/>
      <c r="I852" s="20"/>
      <c r="J852" s="20"/>
      <c r="K852" s="20"/>
      <c r="L852" s="20"/>
      <c r="M852" s="20"/>
      <c r="N852" s="20"/>
      <c r="O852" s="20"/>
      <c r="P852" s="20"/>
      <c r="Q852" s="20"/>
      <c r="R852" s="20"/>
      <c r="S852" s="20"/>
      <c r="T852" s="20"/>
      <c r="U852" s="20"/>
      <c r="V852" s="20"/>
    </row>
    <row r="853" ht="13.5" customHeight="1" spans="1:22">
      <c r="A853" s="20"/>
      <c r="B853" s="20"/>
      <c r="C853" s="20"/>
      <c r="D853" s="20"/>
      <c r="E853" s="20"/>
      <c r="F853" s="20"/>
      <c r="G853" s="20"/>
      <c r="H853" s="20"/>
      <c r="I853" s="20"/>
      <c r="J853" s="20"/>
      <c r="K853" s="20"/>
      <c r="L853" s="20"/>
      <c r="M853" s="20"/>
      <c r="N853" s="20"/>
      <c r="O853" s="20"/>
      <c r="P853" s="20"/>
      <c r="Q853" s="20"/>
      <c r="R853" s="20"/>
      <c r="S853" s="20"/>
      <c r="T853" s="20"/>
      <c r="U853" s="20"/>
      <c r="V853" s="20"/>
    </row>
    <row r="854" ht="13.5" customHeight="1" spans="1:22">
      <c r="A854" s="20"/>
      <c r="B854" s="20"/>
      <c r="C854" s="20"/>
      <c r="D854" s="20"/>
      <c r="E854" s="20"/>
      <c r="F854" s="20"/>
      <c r="G854" s="20"/>
      <c r="H854" s="20"/>
      <c r="I854" s="20"/>
      <c r="J854" s="20"/>
      <c r="K854" s="20"/>
      <c r="L854" s="20"/>
      <c r="M854" s="20"/>
      <c r="N854" s="20"/>
      <c r="O854" s="20"/>
      <c r="P854" s="20"/>
      <c r="Q854" s="20"/>
      <c r="R854" s="20"/>
      <c r="S854" s="20"/>
      <c r="T854" s="20"/>
      <c r="U854" s="20"/>
      <c r="V854" s="20"/>
    </row>
    <row r="855" ht="13.5" customHeight="1" spans="1:22">
      <c r="A855" s="20"/>
      <c r="B855" s="20"/>
      <c r="C855" s="20"/>
      <c r="D855" s="20"/>
      <c r="E855" s="20"/>
      <c r="F855" s="20"/>
      <c r="G855" s="20"/>
      <c r="H855" s="20"/>
      <c r="I855" s="20"/>
      <c r="J855" s="20"/>
      <c r="K855" s="20"/>
      <c r="L855" s="20"/>
      <c r="M855" s="20"/>
      <c r="N855" s="20"/>
      <c r="O855" s="20"/>
      <c r="P855" s="20"/>
      <c r="Q855" s="20"/>
      <c r="R855" s="20"/>
      <c r="S855" s="20"/>
      <c r="T855" s="20"/>
      <c r="U855" s="20"/>
      <c r="V855" s="20"/>
    </row>
    <row r="856" ht="13.5" customHeight="1" spans="1:22">
      <c r="A856" s="20"/>
      <c r="B856" s="20"/>
      <c r="C856" s="20"/>
      <c r="D856" s="20"/>
      <c r="E856" s="20"/>
      <c r="F856" s="20"/>
      <c r="G856" s="20"/>
      <c r="H856" s="20"/>
      <c r="I856" s="20"/>
      <c r="J856" s="20"/>
      <c r="K856" s="20"/>
      <c r="L856" s="20"/>
      <c r="M856" s="20"/>
      <c r="N856" s="20"/>
      <c r="O856" s="20"/>
      <c r="P856" s="20"/>
      <c r="Q856" s="20"/>
      <c r="R856" s="20"/>
      <c r="S856" s="20"/>
      <c r="T856" s="20"/>
      <c r="U856" s="20"/>
      <c r="V856" s="20"/>
    </row>
    <row r="857" ht="13.5" customHeight="1" spans="1:22">
      <c r="A857" s="20"/>
      <c r="B857" s="20"/>
      <c r="C857" s="20"/>
      <c r="D857" s="20"/>
      <c r="E857" s="20"/>
      <c r="F857" s="20"/>
      <c r="G857" s="20"/>
      <c r="H857" s="20"/>
      <c r="I857" s="20"/>
      <c r="J857" s="20"/>
      <c r="K857" s="20"/>
      <c r="L857" s="20"/>
      <c r="M857" s="20"/>
      <c r="N857" s="20"/>
      <c r="O857" s="20"/>
      <c r="P857" s="20"/>
      <c r="Q857" s="20"/>
      <c r="R857" s="20"/>
      <c r="S857" s="20"/>
      <c r="T857" s="20"/>
      <c r="U857" s="20"/>
      <c r="V857" s="20"/>
    </row>
    <row r="858" ht="13.5" customHeight="1" spans="1:22">
      <c r="A858" s="20"/>
      <c r="B858" s="20"/>
      <c r="C858" s="20"/>
      <c r="D858" s="20"/>
      <c r="E858" s="20"/>
      <c r="F858" s="20"/>
      <c r="G858" s="20"/>
      <c r="H858" s="20"/>
      <c r="I858" s="20"/>
      <c r="J858" s="20"/>
      <c r="K858" s="20"/>
      <c r="L858" s="20"/>
      <c r="M858" s="20"/>
      <c r="N858" s="20"/>
      <c r="O858" s="20"/>
      <c r="P858" s="20"/>
      <c r="Q858" s="20"/>
      <c r="R858" s="20"/>
      <c r="S858" s="20"/>
      <c r="T858" s="20"/>
      <c r="U858" s="20"/>
      <c r="V858" s="20"/>
    </row>
    <row r="859" ht="13.5" customHeight="1" spans="1:22">
      <c r="A859" s="20"/>
      <c r="B859" s="20"/>
      <c r="C859" s="20"/>
      <c r="D859" s="20"/>
      <c r="E859" s="20"/>
      <c r="F859" s="20"/>
      <c r="G859" s="20"/>
      <c r="H859" s="20"/>
      <c r="I859" s="20"/>
      <c r="J859" s="20"/>
      <c r="K859" s="20"/>
      <c r="L859" s="20"/>
      <c r="M859" s="20"/>
      <c r="N859" s="20"/>
      <c r="O859" s="20"/>
      <c r="P859" s="20"/>
      <c r="Q859" s="20"/>
      <c r="R859" s="20"/>
      <c r="S859" s="20"/>
      <c r="T859" s="20"/>
      <c r="U859" s="20"/>
      <c r="V859" s="20"/>
    </row>
    <row r="860" ht="13.5" customHeight="1" spans="1:22">
      <c r="A860" s="20"/>
      <c r="B860" s="20"/>
      <c r="C860" s="20"/>
      <c r="D860" s="20"/>
      <c r="E860" s="20"/>
      <c r="F860" s="20"/>
      <c r="G860" s="20"/>
      <c r="H860" s="20"/>
      <c r="I860" s="20"/>
      <c r="J860" s="20"/>
      <c r="K860" s="20"/>
      <c r="L860" s="20"/>
      <c r="M860" s="20"/>
      <c r="N860" s="20"/>
      <c r="O860" s="20"/>
      <c r="P860" s="20"/>
      <c r="Q860" s="20"/>
      <c r="R860" s="20"/>
      <c r="S860" s="20"/>
      <c r="T860" s="20"/>
      <c r="U860" s="20"/>
      <c r="V860" s="20"/>
    </row>
    <row r="861" ht="13.5" customHeight="1" spans="1:22">
      <c r="A861" s="20"/>
      <c r="B861" s="20"/>
      <c r="C861" s="20"/>
      <c r="D861" s="20"/>
      <c r="E861" s="20"/>
      <c r="F861" s="20"/>
      <c r="G861" s="20"/>
      <c r="H861" s="20"/>
      <c r="I861" s="20"/>
      <c r="J861" s="20"/>
      <c r="K861" s="20"/>
      <c r="L861" s="20"/>
      <c r="M861" s="20"/>
      <c r="N861" s="20"/>
      <c r="O861" s="20"/>
      <c r="P861" s="20"/>
      <c r="Q861" s="20"/>
      <c r="R861" s="20"/>
      <c r="S861" s="20"/>
      <c r="T861" s="20"/>
      <c r="U861" s="20"/>
      <c r="V861" s="20"/>
    </row>
    <row r="862" ht="13.5" customHeight="1" spans="1:22">
      <c r="A862" s="20"/>
      <c r="B862" s="20"/>
      <c r="C862" s="20"/>
      <c r="D862" s="20"/>
      <c r="E862" s="20"/>
      <c r="F862" s="20"/>
      <c r="G862" s="20"/>
      <c r="H862" s="20"/>
      <c r="I862" s="20"/>
      <c r="J862" s="20"/>
      <c r="K862" s="20"/>
      <c r="L862" s="20"/>
      <c r="M862" s="20"/>
      <c r="N862" s="20"/>
      <c r="O862" s="20"/>
      <c r="P862" s="20"/>
      <c r="Q862" s="20"/>
      <c r="R862" s="20"/>
      <c r="S862" s="20"/>
      <c r="T862" s="20"/>
      <c r="U862" s="20"/>
      <c r="V862" s="20"/>
    </row>
    <row r="863" ht="13.5" customHeight="1" spans="1:22">
      <c r="A863" s="20"/>
      <c r="B863" s="20"/>
      <c r="C863" s="20"/>
      <c r="D863" s="20"/>
      <c r="E863" s="20"/>
      <c r="F863" s="20"/>
      <c r="G863" s="20"/>
      <c r="H863" s="20"/>
      <c r="I863" s="20"/>
      <c r="J863" s="20"/>
      <c r="K863" s="20"/>
      <c r="L863" s="20"/>
      <c r="M863" s="20"/>
      <c r="N863" s="20"/>
      <c r="O863" s="20"/>
      <c r="P863" s="20"/>
      <c r="Q863" s="20"/>
      <c r="R863" s="20"/>
      <c r="S863" s="20"/>
      <c r="T863" s="20"/>
      <c r="U863" s="20"/>
      <c r="V863" s="20"/>
    </row>
    <row r="864" ht="13.5" customHeight="1" spans="1:22">
      <c r="A864" s="20"/>
      <c r="B864" s="20"/>
      <c r="C864" s="20"/>
      <c r="D864" s="20"/>
      <c r="E864" s="20"/>
      <c r="F864" s="20"/>
      <c r="G864" s="20"/>
      <c r="H864" s="20"/>
      <c r="I864" s="20"/>
      <c r="J864" s="20"/>
      <c r="K864" s="20"/>
      <c r="L864" s="20"/>
      <c r="M864" s="20"/>
      <c r="N864" s="20"/>
      <c r="O864" s="20"/>
      <c r="P864" s="20"/>
      <c r="Q864" s="20"/>
      <c r="R864" s="20"/>
      <c r="S864" s="20"/>
      <c r="T864" s="20"/>
      <c r="U864" s="20"/>
      <c r="V864" s="20"/>
    </row>
    <row r="865" ht="13.5" customHeight="1" spans="1:22">
      <c r="A865" s="20"/>
      <c r="B865" s="20"/>
      <c r="C865" s="20"/>
      <c r="D865" s="20"/>
      <c r="E865" s="20"/>
      <c r="F865" s="20"/>
      <c r="G865" s="20"/>
      <c r="H865" s="20"/>
      <c r="I865" s="20"/>
      <c r="J865" s="20"/>
      <c r="K865" s="20"/>
      <c r="L865" s="20"/>
      <c r="M865" s="20"/>
      <c r="N865" s="20"/>
      <c r="O865" s="20"/>
      <c r="P865" s="20"/>
      <c r="Q865" s="20"/>
      <c r="R865" s="20"/>
      <c r="S865" s="20"/>
      <c r="T865" s="20"/>
      <c r="U865" s="20"/>
      <c r="V865" s="20"/>
    </row>
    <row r="866" ht="13.5" customHeight="1" spans="1:22">
      <c r="A866" s="20"/>
      <c r="B866" s="20"/>
      <c r="C866" s="20"/>
      <c r="D866" s="20"/>
      <c r="E866" s="20"/>
      <c r="F866" s="20"/>
      <c r="G866" s="20"/>
      <c r="H866" s="20"/>
      <c r="I866" s="20"/>
      <c r="J866" s="20"/>
      <c r="K866" s="20"/>
      <c r="L866" s="20"/>
      <c r="M866" s="20"/>
      <c r="N866" s="20"/>
      <c r="O866" s="20"/>
      <c r="P866" s="20"/>
      <c r="Q866" s="20"/>
      <c r="R866" s="20"/>
      <c r="S866" s="20"/>
      <c r="T866" s="20"/>
      <c r="U866" s="20"/>
      <c r="V866" s="20"/>
    </row>
    <row r="867" ht="13.5" customHeight="1" spans="1:22">
      <c r="A867" s="20"/>
      <c r="B867" s="20"/>
      <c r="C867" s="20"/>
      <c r="D867" s="20"/>
      <c r="E867" s="20"/>
      <c r="F867" s="20"/>
      <c r="G867" s="20"/>
      <c r="H867" s="20"/>
      <c r="I867" s="20"/>
      <c r="J867" s="20"/>
      <c r="K867" s="20"/>
      <c r="L867" s="20"/>
      <c r="M867" s="20"/>
      <c r="N867" s="20"/>
      <c r="O867" s="20"/>
      <c r="P867" s="20"/>
      <c r="Q867" s="20"/>
      <c r="R867" s="20"/>
      <c r="S867" s="20"/>
      <c r="T867" s="20"/>
      <c r="U867" s="20"/>
      <c r="V867" s="20"/>
    </row>
    <row r="868" ht="13.5" customHeight="1" spans="1:22">
      <c r="A868" s="20"/>
      <c r="B868" s="20"/>
      <c r="C868" s="20"/>
      <c r="D868" s="20"/>
      <c r="E868" s="20"/>
      <c r="F868" s="20"/>
      <c r="G868" s="20"/>
      <c r="H868" s="20"/>
      <c r="I868" s="20"/>
      <c r="J868" s="20"/>
      <c r="K868" s="20"/>
      <c r="L868" s="20"/>
      <c r="M868" s="20"/>
      <c r="N868" s="20"/>
      <c r="O868" s="20"/>
      <c r="P868" s="20"/>
      <c r="Q868" s="20"/>
      <c r="R868" s="20"/>
      <c r="S868" s="20"/>
      <c r="T868" s="20"/>
      <c r="U868" s="20"/>
      <c r="V868" s="20"/>
    </row>
    <row r="869" ht="13.5" customHeight="1" spans="1:22">
      <c r="A869" s="20"/>
      <c r="B869" s="20"/>
      <c r="C869" s="20"/>
      <c r="D869" s="20"/>
      <c r="E869" s="20"/>
      <c r="F869" s="20"/>
      <c r="G869" s="20"/>
      <c r="H869" s="20"/>
      <c r="I869" s="20"/>
      <c r="J869" s="20"/>
      <c r="K869" s="20"/>
      <c r="L869" s="20"/>
      <c r="M869" s="20"/>
      <c r="N869" s="20"/>
      <c r="O869" s="20"/>
      <c r="P869" s="20"/>
      <c r="Q869" s="20"/>
      <c r="R869" s="20"/>
      <c r="S869" s="20"/>
      <c r="T869" s="20"/>
      <c r="U869" s="20"/>
      <c r="V869" s="20"/>
    </row>
    <row r="870" ht="13.5" customHeight="1" spans="1:22">
      <c r="A870" s="20"/>
      <c r="B870" s="20"/>
      <c r="C870" s="20"/>
      <c r="D870" s="20"/>
      <c r="E870" s="20"/>
      <c r="F870" s="20"/>
      <c r="G870" s="20"/>
      <c r="H870" s="20"/>
      <c r="I870" s="20"/>
      <c r="J870" s="20"/>
      <c r="K870" s="20"/>
      <c r="L870" s="20"/>
      <c r="M870" s="20"/>
      <c r="N870" s="20"/>
      <c r="O870" s="20"/>
      <c r="P870" s="20"/>
      <c r="Q870" s="20"/>
      <c r="R870" s="20"/>
      <c r="S870" s="20"/>
      <c r="T870" s="20"/>
      <c r="U870" s="20"/>
      <c r="V870" s="20"/>
    </row>
    <row r="871" ht="13.5" customHeight="1" spans="1:22">
      <c r="A871" s="20"/>
      <c r="B871" s="20"/>
      <c r="C871" s="20"/>
      <c r="D871" s="20"/>
      <c r="E871" s="20"/>
      <c r="F871" s="20"/>
      <c r="G871" s="20"/>
      <c r="H871" s="20"/>
      <c r="I871" s="20"/>
      <c r="J871" s="20"/>
      <c r="K871" s="20"/>
      <c r="L871" s="20"/>
      <c r="M871" s="20"/>
      <c r="N871" s="20"/>
      <c r="O871" s="20"/>
      <c r="P871" s="20"/>
      <c r="Q871" s="20"/>
      <c r="R871" s="20"/>
      <c r="S871" s="20"/>
      <c r="T871" s="20"/>
      <c r="U871" s="20"/>
      <c r="V871" s="20"/>
    </row>
    <row r="872" ht="13.5" customHeight="1" spans="1:22">
      <c r="A872" s="20"/>
      <c r="B872" s="20"/>
      <c r="C872" s="20"/>
      <c r="D872" s="20"/>
      <c r="E872" s="20"/>
      <c r="F872" s="20"/>
      <c r="G872" s="20"/>
      <c r="H872" s="20"/>
      <c r="I872" s="20"/>
      <c r="J872" s="20"/>
      <c r="K872" s="20"/>
      <c r="L872" s="20"/>
      <c r="M872" s="20"/>
      <c r="N872" s="20"/>
      <c r="O872" s="20"/>
      <c r="P872" s="20"/>
      <c r="Q872" s="20"/>
      <c r="R872" s="20"/>
      <c r="S872" s="20"/>
      <c r="T872" s="20"/>
      <c r="U872" s="20"/>
      <c r="V872" s="20"/>
    </row>
    <row r="873" ht="13.5" customHeight="1" spans="1:22">
      <c r="A873" s="20"/>
      <c r="B873" s="20"/>
      <c r="C873" s="20"/>
      <c r="D873" s="20"/>
      <c r="E873" s="20"/>
      <c r="F873" s="20"/>
      <c r="G873" s="20"/>
      <c r="H873" s="20"/>
      <c r="I873" s="20"/>
      <c r="J873" s="20"/>
      <c r="K873" s="20"/>
      <c r="L873" s="20"/>
      <c r="M873" s="20"/>
      <c r="N873" s="20"/>
      <c r="O873" s="20"/>
      <c r="P873" s="20"/>
      <c r="Q873" s="20"/>
      <c r="R873" s="20"/>
      <c r="S873" s="20"/>
      <c r="T873" s="20"/>
      <c r="U873" s="20"/>
      <c r="V873" s="20"/>
    </row>
    <row r="874" ht="13.5" customHeight="1" spans="1:22">
      <c r="A874" s="20"/>
      <c r="B874" s="20"/>
      <c r="C874" s="20"/>
      <c r="D874" s="20"/>
      <c r="E874" s="20"/>
      <c r="F874" s="20"/>
      <c r="G874" s="20"/>
      <c r="H874" s="20"/>
      <c r="I874" s="20"/>
      <c r="J874" s="20"/>
      <c r="K874" s="20"/>
      <c r="L874" s="20"/>
      <c r="M874" s="20"/>
      <c r="N874" s="20"/>
      <c r="O874" s="20"/>
      <c r="P874" s="20"/>
      <c r="Q874" s="20"/>
      <c r="R874" s="20"/>
      <c r="S874" s="20"/>
      <c r="T874" s="20"/>
      <c r="U874" s="20"/>
      <c r="V874" s="20"/>
    </row>
    <row r="875" ht="13.5" customHeight="1" spans="1:22">
      <c r="A875" s="20"/>
      <c r="B875" s="20"/>
      <c r="C875" s="20"/>
      <c r="D875" s="20"/>
      <c r="E875" s="20"/>
      <c r="F875" s="20"/>
      <c r="G875" s="20"/>
      <c r="H875" s="20"/>
      <c r="I875" s="20"/>
      <c r="J875" s="20"/>
      <c r="K875" s="20"/>
      <c r="L875" s="20"/>
      <c r="M875" s="20"/>
      <c r="N875" s="20"/>
      <c r="O875" s="20"/>
      <c r="P875" s="20"/>
      <c r="Q875" s="20"/>
      <c r="R875" s="20"/>
      <c r="S875" s="20"/>
      <c r="T875" s="20"/>
      <c r="U875" s="20"/>
      <c r="V875" s="20"/>
    </row>
    <row r="876" ht="13.5" customHeight="1" spans="1:22">
      <c r="A876" s="20"/>
      <c r="B876" s="20"/>
      <c r="C876" s="20"/>
      <c r="D876" s="20"/>
      <c r="E876" s="20"/>
      <c r="F876" s="20"/>
      <c r="G876" s="20"/>
      <c r="H876" s="20"/>
      <c r="I876" s="20"/>
      <c r="J876" s="20"/>
      <c r="K876" s="20"/>
      <c r="L876" s="20"/>
      <c r="M876" s="20"/>
      <c r="N876" s="20"/>
      <c r="O876" s="20"/>
      <c r="P876" s="20"/>
      <c r="Q876" s="20"/>
      <c r="R876" s="20"/>
      <c r="S876" s="20"/>
      <c r="T876" s="20"/>
      <c r="U876" s="20"/>
      <c r="V876" s="20"/>
    </row>
    <row r="877" ht="13.5" customHeight="1" spans="1:22">
      <c r="A877" s="20"/>
      <c r="B877" s="20"/>
      <c r="C877" s="20"/>
      <c r="D877" s="20"/>
      <c r="E877" s="20"/>
      <c r="F877" s="20"/>
      <c r="G877" s="20"/>
      <c r="H877" s="20"/>
      <c r="I877" s="20"/>
      <c r="J877" s="20"/>
      <c r="K877" s="20"/>
      <c r="L877" s="20"/>
      <c r="M877" s="20"/>
      <c r="N877" s="20"/>
      <c r="O877" s="20"/>
      <c r="P877" s="20"/>
      <c r="Q877" s="20"/>
      <c r="R877" s="20"/>
      <c r="S877" s="20"/>
      <c r="T877" s="20"/>
      <c r="U877" s="20"/>
      <c r="V877" s="20"/>
    </row>
    <row r="878" ht="13.5" customHeight="1" spans="1:22">
      <c r="A878" s="20"/>
      <c r="B878" s="20"/>
      <c r="C878" s="20"/>
      <c r="D878" s="20"/>
      <c r="E878" s="20"/>
      <c r="F878" s="20"/>
      <c r="G878" s="20"/>
      <c r="H878" s="20"/>
      <c r="I878" s="20"/>
      <c r="J878" s="20"/>
      <c r="K878" s="20"/>
      <c r="L878" s="20"/>
      <c r="M878" s="20"/>
      <c r="N878" s="20"/>
      <c r="O878" s="20"/>
      <c r="P878" s="20"/>
      <c r="Q878" s="20"/>
      <c r="R878" s="20"/>
      <c r="S878" s="20"/>
      <c r="T878" s="20"/>
      <c r="U878" s="20"/>
      <c r="V878" s="20"/>
    </row>
    <row r="879" ht="13.5" customHeight="1" spans="1:22">
      <c r="A879" s="20"/>
      <c r="B879" s="20"/>
      <c r="C879" s="20"/>
      <c r="D879" s="20"/>
      <c r="E879" s="20"/>
      <c r="F879" s="20"/>
      <c r="G879" s="20"/>
      <c r="H879" s="20"/>
      <c r="I879" s="20"/>
      <c r="J879" s="20"/>
      <c r="K879" s="20"/>
      <c r="L879" s="20"/>
      <c r="M879" s="20"/>
      <c r="N879" s="20"/>
      <c r="O879" s="20"/>
      <c r="P879" s="20"/>
      <c r="Q879" s="20"/>
      <c r="R879" s="20"/>
      <c r="S879" s="20"/>
      <c r="T879" s="20"/>
      <c r="U879" s="20"/>
      <c r="V879" s="20"/>
    </row>
    <row r="880" ht="13.5" customHeight="1" spans="1:22">
      <c r="A880" s="20"/>
      <c r="B880" s="20"/>
      <c r="C880" s="20"/>
      <c r="D880" s="20"/>
      <c r="E880" s="20"/>
      <c r="F880" s="20"/>
      <c r="G880" s="20"/>
      <c r="H880" s="20"/>
      <c r="I880" s="20"/>
      <c r="J880" s="20"/>
      <c r="K880" s="20"/>
      <c r="L880" s="20"/>
      <c r="M880" s="20"/>
      <c r="N880" s="20"/>
      <c r="O880" s="20"/>
      <c r="P880" s="20"/>
      <c r="Q880" s="20"/>
      <c r="R880" s="20"/>
      <c r="S880" s="20"/>
      <c r="T880" s="20"/>
      <c r="U880" s="20"/>
      <c r="V880" s="20"/>
    </row>
    <row r="881" ht="13.5" customHeight="1" spans="1:22">
      <c r="A881" s="20"/>
      <c r="B881" s="20"/>
      <c r="C881" s="20"/>
      <c r="D881" s="20"/>
      <c r="E881" s="20"/>
      <c r="F881" s="20"/>
      <c r="G881" s="20"/>
      <c r="H881" s="20"/>
      <c r="I881" s="20"/>
      <c r="J881" s="20"/>
      <c r="K881" s="20"/>
      <c r="L881" s="20"/>
      <c r="M881" s="20"/>
      <c r="N881" s="20"/>
      <c r="O881" s="20"/>
      <c r="P881" s="20"/>
      <c r="Q881" s="20"/>
      <c r="R881" s="20"/>
      <c r="S881" s="20"/>
      <c r="T881" s="20"/>
      <c r="U881" s="20"/>
      <c r="V881" s="20"/>
    </row>
    <row r="882" ht="13.5" customHeight="1" spans="1:22">
      <c r="A882" s="20"/>
      <c r="B882" s="20"/>
      <c r="C882" s="20"/>
      <c r="D882" s="20"/>
      <c r="E882" s="20"/>
      <c r="F882" s="20"/>
      <c r="G882" s="20"/>
      <c r="H882" s="20"/>
      <c r="I882" s="20"/>
      <c r="J882" s="20"/>
      <c r="K882" s="20"/>
      <c r="L882" s="20"/>
      <c r="M882" s="20"/>
      <c r="N882" s="20"/>
      <c r="O882" s="20"/>
      <c r="P882" s="20"/>
      <c r="Q882" s="20"/>
      <c r="R882" s="20"/>
      <c r="S882" s="20"/>
      <c r="T882" s="20"/>
      <c r="U882" s="20"/>
      <c r="V882" s="20"/>
    </row>
    <row r="883" ht="13.5" customHeight="1" spans="1:22">
      <c r="A883" s="20"/>
      <c r="B883" s="20"/>
      <c r="C883" s="20"/>
      <c r="D883" s="20"/>
      <c r="E883" s="20"/>
      <c r="F883" s="20"/>
      <c r="G883" s="20"/>
      <c r="H883" s="20"/>
      <c r="I883" s="20"/>
      <c r="J883" s="20"/>
      <c r="K883" s="20"/>
      <c r="L883" s="20"/>
      <c r="M883" s="20"/>
      <c r="N883" s="20"/>
      <c r="O883" s="20"/>
      <c r="P883" s="20"/>
      <c r="Q883" s="20"/>
      <c r="R883" s="20"/>
      <c r="S883" s="20"/>
      <c r="T883" s="20"/>
      <c r="U883" s="20"/>
      <c r="V883" s="20"/>
    </row>
    <row r="884" ht="13.5" customHeight="1" spans="1:22">
      <c r="A884" s="20"/>
      <c r="B884" s="20"/>
      <c r="C884" s="20"/>
      <c r="D884" s="20"/>
      <c r="E884" s="20"/>
      <c r="F884" s="20"/>
      <c r="G884" s="20"/>
      <c r="H884" s="20"/>
      <c r="I884" s="20"/>
      <c r="J884" s="20"/>
      <c r="K884" s="20"/>
      <c r="L884" s="20"/>
      <c r="M884" s="20"/>
      <c r="N884" s="20"/>
      <c r="O884" s="20"/>
      <c r="P884" s="20"/>
      <c r="Q884" s="20"/>
      <c r="R884" s="20"/>
      <c r="S884" s="20"/>
      <c r="T884" s="20"/>
      <c r="U884" s="20"/>
      <c r="V884" s="20"/>
    </row>
    <row r="885" ht="13.5" customHeight="1" spans="1:22">
      <c r="A885" s="20"/>
      <c r="B885" s="20"/>
      <c r="C885" s="20"/>
      <c r="D885" s="20"/>
      <c r="E885" s="20"/>
      <c r="F885" s="20"/>
      <c r="G885" s="20"/>
      <c r="H885" s="20"/>
      <c r="I885" s="20"/>
      <c r="J885" s="20"/>
      <c r="K885" s="20"/>
      <c r="L885" s="20"/>
      <c r="M885" s="20"/>
      <c r="N885" s="20"/>
      <c r="O885" s="20"/>
      <c r="P885" s="20"/>
      <c r="Q885" s="20"/>
      <c r="R885" s="20"/>
      <c r="S885" s="20"/>
      <c r="T885" s="20"/>
      <c r="U885" s="20"/>
      <c r="V885" s="20"/>
    </row>
    <row r="886" ht="13.5" customHeight="1" spans="1:22">
      <c r="A886" s="20"/>
      <c r="B886" s="20"/>
      <c r="C886" s="20"/>
      <c r="D886" s="20"/>
      <c r="E886" s="20"/>
      <c r="F886" s="20"/>
      <c r="G886" s="20"/>
      <c r="H886" s="20"/>
      <c r="I886" s="20"/>
      <c r="J886" s="20"/>
      <c r="K886" s="20"/>
      <c r="L886" s="20"/>
      <c r="M886" s="20"/>
      <c r="N886" s="20"/>
      <c r="O886" s="20"/>
      <c r="P886" s="20"/>
      <c r="Q886" s="20"/>
      <c r="R886" s="20"/>
      <c r="S886" s="20"/>
      <c r="T886" s="20"/>
      <c r="U886" s="20"/>
      <c r="V886" s="20"/>
    </row>
    <row r="887" ht="13.5" customHeight="1" spans="1:22">
      <c r="A887" s="20"/>
      <c r="B887" s="20"/>
      <c r="C887" s="20"/>
      <c r="D887" s="20"/>
      <c r="E887" s="20"/>
      <c r="F887" s="20"/>
      <c r="G887" s="20"/>
      <c r="H887" s="20"/>
      <c r="I887" s="20"/>
      <c r="J887" s="20"/>
      <c r="K887" s="20"/>
      <c r="L887" s="20"/>
      <c r="M887" s="20"/>
      <c r="N887" s="20"/>
      <c r="O887" s="20"/>
      <c r="P887" s="20"/>
      <c r="Q887" s="20"/>
      <c r="R887" s="20"/>
      <c r="S887" s="20"/>
      <c r="T887" s="20"/>
      <c r="U887" s="20"/>
      <c r="V887" s="20"/>
    </row>
    <row r="888" ht="13.5" customHeight="1" spans="1:22">
      <c r="A888" s="20"/>
      <c r="B888" s="20"/>
      <c r="C888" s="20"/>
      <c r="D888" s="20"/>
      <c r="E888" s="20"/>
      <c r="F888" s="20"/>
      <c r="G888" s="20"/>
      <c r="H888" s="20"/>
      <c r="I888" s="20"/>
      <c r="J888" s="20"/>
      <c r="K888" s="20"/>
      <c r="L888" s="20"/>
      <c r="M888" s="20"/>
      <c r="N888" s="20"/>
      <c r="O888" s="20"/>
      <c r="P888" s="20"/>
      <c r="Q888" s="20"/>
      <c r="R888" s="20"/>
      <c r="S888" s="20"/>
      <c r="T888" s="20"/>
      <c r="U888" s="20"/>
      <c r="V888" s="20"/>
    </row>
    <row r="889" ht="13.5" customHeight="1" spans="1:22">
      <c r="A889" s="20"/>
      <c r="B889" s="20"/>
      <c r="C889" s="20"/>
      <c r="D889" s="20"/>
      <c r="E889" s="20"/>
      <c r="F889" s="20"/>
      <c r="G889" s="20"/>
      <c r="H889" s="20"/>
      <c r="I889" s="20"/>
      <c r="J889" s="20"/>
      <c r="K889" s="20"/>
      <c r="L889" s="20"/>
      <c r="M889" s="20"/>
      <c r="N889" s="20"/>
      <c r="O889" s="20"/>
      <c r="P889" s="20"/>
      <c r="Q889" s="20"/>
      <c r="R889" s="20"/>
      <c r="S889" s="20"/>
      <c r="T889" s="20"/>
      <c r="U889" s="20"/>
      <c r="V889" s="20"/>
    </row>
    <row r="890" ht="13.5" customHeight="1" spans="1:22">
      <c r="A890" s="20"/>
      <c r="B890" s="20"/>
      <c r="C890" s="20"/>
      <c r="D890" s="20"/>
      <c r="E890" s="20"/>
      <c r="F890" s="20"/>
      <c r="G890" s="20"/>
      <c r="H890" s="20"/>
      <c r="I890" s="20"/>
      <c r="J890" s="20"/>
      <c r="K890" s="20"/>
      <c r="L890" s="20"/>
      <c r="M890" s="20"/>
      <c r="N890" s="20"/>
      <c r="O890" s="20"/>
      <c r="P890" s="20"/>
      <c r="Q890" s="20"/>
      <c r="R890" s="20"/>
      <c r="S890" s="20"/>
      <c r="T890" s="20"/>
      <c r="U890" s="20"/>
      <c r="V890" s="20"/>
    </row>
    <row r="891" ht="13.5" customHeight="1" spans="1:22">
      <c r="A891" s="20"/>
      <c r="B891" s="20"/>
      <c r="C891" s="20"/>
      <c r="D891" s="20"/>
      <c r="E891" s="20"/>
      <c r="F891" s="20"/>
      <c r="G891" s="20"/>
      <c r="H891" s="20"/>
      <c r="I891" s="20"/>
      <c r="J891" s="20"/>
      <c r="K891" s="20"/>
      <c r="L891" s="20"/>
      <c r="M891" s="20"/>
      <c r="N891" s="20"/>
      <c r="O891" s="20"/>
      <c r="P891" s="20"/>
      <c r="Q891" s="20"/>
      <c r="R891" s="20"/>
      <c r="S891" s="20"/>
      <c r="T891" s="20"/>
      <c r="U891" s="20"/>
      <c r="V891" s="20"/>
    </row>
    <row r="892" ht="13.5" customHeight="1" spans="1:22">
      <c r="A892" s="20"/>
      <c r="B892" s="20"/>
      <c r="C892" s="20"/>
      <c r="D892" s="20"/>
      <c r="E892" s="20"/>
      <c r="F892" s="20"/>
      <c r="G892" s="20"/>
      <c r="H892" s="20"/>
      <c r="I892" s="20"/>
      <c r="J892" s="20"/>
      <c r="K892" s="20"/>
      <c r="L892" s="20"/>
      <c r="M892" s="20"/>
      <c r="N892" s="20"/>
      <c r="O892" s="20"/>
      <c r="P892" s="20"/>
      <c r="Q892" s="20"/>
      <c r="R892" s="20"/>
      <c r="S892" s="20"/>
      <c r="T892" s="20"/>
      <c r="U892" s="20"/>
      <c r="V892" s="20"/>
    </row>
    <row r="893" ht="13.5" customHeight="1" spans="1:22">
      <c r="A893" s="20"/>
      <c r="B893" s="20"/>
      <c r="C893" s="20"/>
      <c r="D893" s="20"/>
      <c r="E893" s="20"/>
      <c r="F893" s="20"/>
      <c r="G893" s="20"/>
      <c r="H893" s="20"/>
      <c r="I893" s="20"/>
      <c r="J893" s="20"/>
      <c r="K893" s="20"/>
      <c r="L893" s="20"/>
      <c r="M893" s="20"/>
      <c r="N893" s="20"/>
      <c r="O893" s="20"/>
      <c r="P893" s="20"/>
      <c r="Q893" s="20"/>
      <c r="R893" s="20"/>
      <c r="S893" s="20"/>
      <c r="T893" s="20"/>
      <c r="U893" s="20"/>
      <c r="V893" s="20"/>
    </row>
    <row r="894" ht="13.5" customHeight="1" spans="1:22">
      <c r="A894" s="20"/>
      <c r="B894" s="20"/>
      <c r="C894" s="20"/>
      <c r="D894" s="20"/>
      <c r="E894" s="20"/>
      <c r="F894" s="20"/>
      <c r="G894" s="20"/>
      <c r="H894" s="20"/>
      <c r="I894" s="20"/>
      <c r="J894" s="20"/>
      <c r="K894" s="20"/>
      <c r="L894" s="20"/>
      <c r="M894" s="20"/>
      <c r="N894" s="20"/>
      <c r="O894" s="20"/>
      <c r="P894" s="20"/>
      <c r="Q894" s="20"/>
      <c r="R894" s="20"/>
      <c r="S894" s="20"/>
      <c r="T894" s="20"/>
      <c r="U894" s="20"/>
      <c r="V894" s="20"/>
    </row>
    <row r="895" ht="13.5" customHeight="1" spans="1:22">
      <c r="A895" s="20"/>
      <c r="B895" s="20"/>
      <c r="C895" s="20"/>
      <c r="D895" s="20"/>
      <c r="E895" s="20"/>
      <c r="F895" s="20"/>
      <c r="G895" s="20"/>
      <c r="H895" s="20"/>
      <c r="I895" s="20"/>
      <c r="J895" s="20"/>
      <c r="K895" s="20"/>
      <c r="L895" s="20"/>
      <c r="M895" s="20"/>
      <c r="N895" s="20"/>
      <c r="O895" s="20"/>
      <c r="P895" s="20"/>
      <c r="Q895" s="20"/>
      <c r="R895" s="20"/>
      <c r="S895" s="20"/>
      <c r="T895" s="20"/>
      <c r="U895" s="20"/>
      <c r="V895" s="20"/>
    </row>
    <row r="896" ht="13.5" customHeight="1" spans="1:22">
      <c r="A896" s="20"/>
      <c r="B896" s="20"/>
      <c r="C896" s="20"/>
      <c r="D896" s="20"/>
      <c r="E896" s="20"/>
      <c r="F896" s="20"/>
      <c r="G896" s="20"/>
      <c r="H896" s="20"/>
      <c r="I896" s="20"/>
      <c r="J896" s="20"/>
      <c r="K896" s="20"/>
      <c r="L896" s="20"/>
      <c r="M896" s="20"/>
      <c r="N896" s="20"/>
      <c r="O896" s="20"/>
      <c r="P896" s="20"/>
      <c r="Q896" s="20"/>
      <c r="R896" s="20"/>
      <c r="S896" s="20"/>
      <c r="T896" s="20"/>
      <c r="U896" s="20"/>
      <c r="V896" s="20"/>
    </row>
    <row r="897" ht="13.5" customHeight="1" spans="1:22">
      <c r="A897" s="20"/>
      <c r="B897" s="20"/>
      <c r="C897" s="20"/>
      <c r="D897" s="20"/>
      <c r="E897" s="20"/>
      <c r="F897" s="20"/>
      <c r="G897" s="20"/>
      <c r="H897" s="20"/>
      <c r="I897" s="20"/>
      <c r="J897" s="20"/>
      <c r="K897" s="20"/>
      <c r="L897" s="20"/>
      <c r="M897" s="20"/>
      <c r="N897" s="20"/>
      <c r="O897" s="20"/>
      <c r="P897" s="20"/>
      <c r="Q897" s="20"/>
      <c r="R897" s="20"/>
      <c r="S897" s="20"/>
      <c r="T897" s="20"/>
      <c r="U897" s="20"/>
      <c r="V897" s="20"/>
    </row>
    <row r="898" ht="13.5" customHeight="1" spans="1:22">
      <c r="A898" s="20"/>
      <c r="B898" s="20"/>
      <c r="C898" s="20"/>
      <c r="D898" s="20"/>
      <c r="E898" s="20"/>
      <c r="F898" s="20"/>
      <c r="G898" s="20"/>
      <c r="H898" s="20"/>
      <c r="I898" s="20"/>
      <c r="J898" s="20"/>
      <c r="K898" s="20"/>
      <c r="L898" s="20"/>
      <c r="M898" s="20"/>
      <c r="N898" s="20"/>
      <c r="O898" s="20"/>
      <c r="P898" s="20"/>
      <c r="Q898" s="20"/>
      <c r="R898" s="20"/>
      <c r="S898" s="20"/>
      <c r="T898" s="20"/>
      <c r="U898" s="20"/>
      <c r="V898" s="20"/>
    </row>
    <row r="899" ht="13.5" customHeight="1" spans="1:22">
      <c r="A899" s="20"/>
      <c r="B899" s="20"/>
      <c r="C899" s="20"/>
      <c r="D899" s="20"/>
      <c r="E899" s="20"/>
      <c r="F899" s="20"/>
      <c r="G899" s="20"/>
      <c r="H899" s="20"/>
      <c r="I899" s="20"/>
      <c r="J899" s="20"/>
      <c r="K899" s="20"/>
      <c r="L899" s="20"/>
      <c r="M899" s="20"/>
      <c r="N899" s="20"/>
      <c r="O899" s="20"/>
      <c r="P899" s="20"/>
      <c r="Q899" s="20"/>
      <c r="R899" s="20"/>
      <c r="S899" s="20"/>
      <c r="T899" s="20"/>
      <c r="U899" s="20"/>
      <c r="V899" s="20"/>
    </row>
    <row r="900" ht="13.5" customHeight="1" spans="1:22">
      <c r="A900" s="20"/>
      <c r="B900" s="20"/>
      <c r="C900" s="20"/>
      <c r="D900" s="20"/>
      <c r="E900" s="20"/>
      <c r="F900" s="20"/>
      <c r="G900" s="20"/>
      <c r="H900" s="20"/>
      <c r="I900" s="20"/>
      <c r="J900" s="20"/>
      <c r="K900" s="20"/>
      <c r="L900" s="20"/>
      <c r="M900" s="20"/>
      <c r="N900" s="20"/>
      <c r="O900" s="20"/>
      <c r="P900" s="20"/>
      <c r="Q900" s="20"/>
      <c r="R900" s="20"/>
      <c r="S900" s="20"/>
      <c r="T900" s="20"/>
      <c r="U900" s="20"/>
      <c r="V900" s="20"/>
    </row>
    <row r="901" ht="13.5" customHeight="1" spans="1:22">
      <c r="A901" s="20"/>
      <c r="B901" s="20"/>
      <c r="C901" s="20"/>
      <c r="D901" s="20"/>
      <c r="E901" s="20"/>
      <c r="F901" s="20"/>
      <c r="G901" s="20"/>
      <c r="H901" s="20"/>
      <c r="I901" s="20"/>
      <c r="J901" s="20"/>
      <c r="K901" s="20"/>
      <c r="L901" s="20"/>
      <c r="M901" s="20"/>
      <c r="N901" s="20"/>
      <c r="O901" s="20"/>
      <c r="P901" s="20"/>
      <c r="Q901" s="20"/>
      <c r="R901" s="20"/>
      <c r="S901" s="20"/>
      <c r="T901" s="20"/>
      <c r="U901" s="20"/>
      <c r="V901" s="20"/>
    </row>
    <row r="902" ht="13.5" customHeight="1" spans="1:22">
      <c r="A902" s="20"/>
      <c r="B902" s="20"/>
      <c r="C902" s="20"/>
      <c r="D902" s="20"/>
      <c r="E902" s="20"/>
      <c r="F902" s="20"/>
      <c r="G902" s="20"/>
      <c r="H902" s="20"/>
      <c r="I902" s="20"/>
      <c r="J902" s="20"/>
      <c r="K902" s="20"/>
      <c r="L902" s="20"/>
      <c r="M902" s="20"/>
      <c r="N902" s="20"/>
      <c r="O902" s="20"/>
      <c r="P902" s="20"/>
      <c r="Q902" s="20"/>
      <c r="R902" s="20"/>
      <c r="S902" s="20"/>
      <c r="T902" s="20"/>
      <c r="U902" s="20"/>
      <c r="V902" s="20"/>
    </row>
    <row r="903" ht="13.5" customHeight="1" spans="1:22">
      <c r="A903" s="20"/>
      <c r="B903" s="20"/>
      <c r="C903" s="20"/>
      <c r="D903" s="20"/>
      <c r="E903" s="20"/>
      <c r="F903" s="20"/>
      <c r="G903" s="20"/>
      <c r="H903" s="20"/>
      <c r="I903" s="20"/>
      <c r="J903" s="20"/>
      <c r="K903" s="20"/>
      <c r="L903" s="20"/>
      <c r="M903" s="20"/>
      <c r="N903" s="20"/>
      <c r="O903" s="20"/>
      <c r="P903" s="20"/>
      <c r="Q903" s="20"/>
      <c r="R903" s="20"/>
      <c r="S903" s="20"/>
      <c r="T903" s="20"/>
      <c r="U903" s="20"/>
      <c r="V903" s="20"/>
    </row>
    <row r="904" ht="13.5" customHeight="1" spans="1:22">
      <c r="A904" s="20"/>
      <c r="B904" s="20"/>
      <c r="C904" s="20"/>
      <c r="D904" s="20"/>
      <c r="E904" s="20"/>
      <c r="F904" s="20"/>
      <c r="G904" s="20"/>
      <c r="H904" s="20"/>
      <c r="I904" s="20"/>
      <c r="J904" s="20"/>
      <c r="K904" s="20"/>
      <c r="L904" s="20"/>
      <c r="M904" s="20"/>
      <c r="N904" s="20"/>
      <c r="O904" s="20"/>
      <c r="P904" s="20"/>
      <c r="Q904" s="20"/>
      <c r="R904" s="20"/>
      <c r="S904" s="20"/>
      <c r="T904" s="20"/>
      <c r="U904" s="20"/>
      <c r="V904" s="20"/>
    </row>
    <row r="905" ht="13.5" customHeight="1" spans="1:22">
      <c r="A905" s="20"/>
      <c r="B905" s="20"/>
      <c r="C905" s="20"/>
      <c r="D905" s="20"/>
      <c r="E905" s="20"/>
      <c r="F905" s="20"/>
      <c r="G905" s="20"/>
      <c r="H905" s="20"/>
      <c r="I905" s="20"/>
      <c r="J905" s="20"/>
      <c r="K905" s="20"/>
      <c r="L905" s="20"/>
      <c r="M905" s="20"/>
      <c r="N905" s="20"/>
      <c r="O905" s="20"/>
      <c r="P905" s="20"/>
      <c r="Q905" s="20"/>
      <c r="R905" s="20"/>
      <c r="S905" s="20"/>
      <c r="T905" s="20"/>
      <c r="U905" s="20"/>
      <c r="V905" s="20"/>
    </row>
    <row r="906" ht="13.5" customHeight="1" spans="1:22">
      <c r="A906" s="20"/>
      <c r="B906" s="20"/>
      <c r="C906" s="20"/>
      <c r="D906" s="20"/>
      <c r="E906" s="20"/>
      <c r="F906" s="20"/>
      <c r="G906" s="20"/>
      <c r="H906" s="20"/>
      <c r="I906" s="20"/>
      <c r="J906" s="20"/>
      <c r="K906" s="20"/>
      <c r="L906" s="20"/>
      <c r="M906" s="20"/>
      <c r="N906" s="20"/>
      <c r="O906" s="20"/>
      <c r="P906" s="20"/>
      <c r="Q906" s="20"/>
      <c r="R906" s="20"/>
      <c r="S906" s="20"/>
      <c r="T906" s="20"/>
      <c r="U906" s="20"/>
      <c r="V906" s="20"/>
    </row>
    <row r="907" ht="13.5" customHeight="1" spans="1:22">
      <c r="A907" s="20"/>
      <c r="B907" s="20"/>
      <c r="C907" s="20"/>
      <c r="D907" s="20"/>
      <c r="E907" s="20"/>
      <c r="F907" s="20"/>
      <c r="G907" s="20"/>
      <c r="H907" s="20"/>
      <c r="I907" s="20"/>
      <c r="J907" s="20"/>
      <c r="K907" s="20"/>
      <c r="L907" s="20"/>
      <c r="M907" s="20"/>
      <c r="N907" s="20"/>
      <c r="O907" s="20"/>
      <c r="P907" s="20"/>
      <c r="Q907" s="20"/>
      <c r="R907" s="20"/>
      <c r="S907" s="20"/>
      <c r="T907" s="20"/>
      <c r="U907" s="20"/>
      <c r="V907" s="20"/>
    </row>
    <row r="908" ht="13.5" customHeight="1" spans="1:22">
      <c r="A908" s="20"/>
      <c r="B908" s="20"/>
      <c r="C908" s="20"/>
      <c r="D908" s="20"/>
      <c r="E908" s="20"/>
      <c r="F908" s="20"/>
      <c r="G908" s="20"/>
      <c r="H908" s="20"/>
      <c r="I908" s="20"/>
      <c r="J908" s="20"/>
      <c r="K908" s="20"/>
      <c r="L908" s="20"/>
      <c r="M908" s="20"/>
      <c r="N908" s="20"/>
      <c r="O908" s="20"/>
      <c r="P908" s="20"/>
      <c r="Q908" s="20"/>
      <c r="R908" s="20"/>
      <c r="S908" s="20"/>
      <c r="T908" s="20"/>
      <c r="U908" s="20"/>
      <c r="V908" s="20"/>
    </row>
    <row r="909" ht="13.5" customHeight="1" spans="1:22">
      <c r="A909" s="20"/>
      <c r="B909" s="20"/>
      <c r="C909" s="20"/>
      <c r="D909" s="20"/>
      <c r="E909" s="20"/>
      <c r="F909" s="20"/>
      <c r="G909" s="20"/>
      <c r="H909" s="20"/>
      <c r="I909" s="20"/>
      <c r="J909" s="20"/>
      <c r="K909" s="20"/>
      <c r="L909" s="20"/>
      <c r="M909" s="20"/>
      <c r="N909" s="20"/>
      <c r="O909" s="20"/>
      <c r="P909" s="20"/>
      <c r="Q909" s="20"/>
      <c r="R909" s="20"/>
      <c r="S909" s="20"/>
      <c r="T909" s="20"/>
      <c r="U909" s="20"/>
      <c r="V909" s="20"/>
    </row>
    <row r="910" ht="13.5" customHeight="1" spans="1:22">
      <c r="A910" s="20"/>
      <c r="B910" s="20"/>
      <c r="C910" s="20"/>
      <c r="D910" s="20"/>
      <c r="E910" s="20"/>
      <c r="F910" s="20"/>
      <c r="G910" s="20"/>
      <c r="H910" s="20"/>
      <c r="I910" s="20"/>
      <c r="J910" s="20"/>
      <c r="K910" s="20"/>
      <c r="L910" s="20"/>
      <c r="M910" s="20"/>
      <c r="N910" s="20"/>
      <c r="O910" s="20"/>
      <c r="P910" s="20"/>
      <c r="Q910" s="20"/>
      <c r="R910" s="20"/>
      <c r="S910" s="20"/>
      <c r="T910" s="20"/>
      <c r="U910" s="20"/>
      <c r="V910" s="20"/>
    </row>
    <row r="911" ht="13.5" customHeight="1" spans="1:22">
      <c r="A911" s="20"/>
      <c r="B911" s="20"/>
      <c r="C911" s="20"/>
      <c r="D911" s="20"/>
      <c r="E911" s="20"/>
      <c r="F911" s="20"/>
      <c r="G911" s="20"/>
      <c r="H911" s="20"/>
      <c r="I911" s="20"/>
      <c r="J911" s="20"/>
      <c r="K911" s="20"/>
      <c r="L911" s="20"/>
      <c r="M911" s="20"/>
      <c r="N911" s="20"/>
      <c r="O911" s="20"/>
      <c r="P911" s="20"/>
      <c r="Q911" s="20"/>
      <c r="R911" s="20"/>
      <c r="S911" s="20"/>
      <c r="T911" s="20"/>
      <c r="U911" s="20"/>
      <c r="V911" s="20"/>
    </row>
    <row r="912" ht="13.5" customHeight="1" spans="1:22">
      <c r="A912" s="20"/>
      <c r="B912" s="20"/>
      <c r="C912" s="20"/>
      <c r="D912" s="20"/>
      <c r="E912" s="20"/>
      <c r="F912" s="20"/>
      <c r="G912" s="20"/>
      <c r="H912" s="20"/>
      <c r="I912" s="20"/>
      <c r="J912" s="20"/>
      <c r="K912" s="20"/>
      <c r="L912" s="20"/>
      <c r="M912" s="20"/>
      <c r="N912" s="20"/>
      <c r="O912" s="20"/>
      <c r="P912" s="20"/>
      <c r="Q912" s="20"/>
      <c r="R912" s="20"/>
      <c r="S912" s="20"/>
      <c r="T912" s="20"/>
      <c r="U912" s="20"/>
      <c r="V912" s="20"/>
    </row>
    <row r="913" ht="13.5" customHeight="1" spans="1:22">
      <c r="A913" s="20"/>
      <c r="B913" s="20"/>
      <c r="C913" s="20"/>
      <c r="D913" s="20"/>
      <c r="E913" s="20"/>
      <c r="F913" s="20"/>
      <c r="G913" s="20"/>
      <c r="H913" s="20"/>
      <c r="I913" s="20"/>
      <c r="J913" s="20"/>
      <c r="K913" s="20"/>
      <c r="L913" s="20"/>
      <c r="M913" s="20"/>
      <c r="N913" s="20"/>
      <c r="O913" s="20"/>
      <c r="P913" s="20"/>
      <c r="Q913" s="20"/>
      <c r="R913" s="20"/>
      <c r="S913" s="20"/>
      <c r="T913" s="20"/>
      <c r="U913" s="20"/>
      <c r="V913" s="20"/>
    </row>
    <row r="914" ht="13.5" customHeight="1" spans="1:22">
      <c r="A914" s="20"/>
      <c r="B914" s="20"/>
      <c r="C914" s="20"/>
      <c r="D914" s="20"/>
      <c r="E914" s="20"/>
      <c r="F914" s="20"/>
      <c r="G914" s="20"/>
      <c r="H914" s="20"/>
      <c r="I914" s="20"/>
      <c r="J914" s="20"/>
      <c r="K914" s="20"/>
      <c r="L914" s="20"/>
      <c r="M914" s="20"/>
      <c r="N914" s="20"/>
      <c r="O914" s="20"/>
      <c r="P914" s="20"/>
      <c r="Q914" s="20"/>
      <c r="R914" s="20"/>
      <c r="S914" s="20"/>
      <c r="T914" s="20"/>
      <c r="U914" s="20"/>
      <c r="V914" s="20"/>
    </row>
    <row r="915" ht="13.5" customHeight="1" spans="1:22">
      <c r="A915" s="20"/>
      <c r="B915" s="20"/>
      <c r="C915" s="20"/>
      <c r="D915" s="20"/>
      <c r="E915" s="20"/>
      <c r="F915" s="20"/>
      <c r="G915" s="20"/>
      <c r="H915" s="20"/>
      <c r="I915" s="20"/>
      <c r="J915" s="20"/>
      <c r="K915" s="20"/>
      <c r="L915" s="20"/>
      <c r="M915" s="20"/>
      <c r="N915" s="20"/>
      <c r="O915" s="20"/>
      <c r="P915" s="20"/>
      <c r="Q915" s="20"/>
      <c r="R915" s="20"/>
      <c r="S915" s="20"/>
      <c r="T915" s="20"/>
      <c r="U915" s="20"/>
      <c r="V915" s="20"/>
    </row>
    <row r="916" ht="13.5" customHeight="1" spans="1:22">
      <c r="A916" s="20"/>
      <c r="B916" s="20"/>
      <c r="C916" s="20"/>
      <c r="D916" s="20"/>
      <c r="E916" s="20"/>
      <c r="F916" s="20"/>
      <c r="G916" s="20"/>
      <c r="H916" s="20"/>
      <c r="I916" s="20"/>
      <c r="J916" s="20"/>
      <c r="K916" s="20"/>
      <c r="L916" s="20"/>
      <c r="M916" s="20"/>
      <c r="N916" s="20"/>
      <c r="O916" s="20"/>
      <c r="P916" s="20"/>
      <c r="Q916" s="20"/>
      <c r="R916" s="20"/>
      <c r="S916" s="20"/>
      <c r="T916" s="20"/>
      <c r="U916" s="20"/>
      <c r="V916" s="20"/>
    </row>
    <row r="917" ht="13.5" customHeight="1" spans="1:22">
      <c r="A917" s="20"/>
      <c r="B917" s="20"/>
      <c r="C917" s="20"/>
      <c r="D917" s="20"/>
      <c r="E917" s="20"/>
      <c r="F917" s="20"/>
      <c r="G917" s="20"/>
      <c r="H917" s="20"/>
      <c r="I917" s="20"/>
      <c r="J917" s="20"/>
      <c r="K917" s="20"/>
      <c r="L917" s="20"/>
      <c r="M917" s="20"/>
      <c r="N917" s="20"/>
      <c r="O917" s="20"/>
      <c r="P917" s="20"/>
      <c r="Q917" s="20"/>
      <c r="R917" s="20"/>
      <c r="S917" s="20"/>
      <c r="T917" s="20"/>
      <c r="U917" s="20"/>
      <c r="V917" s="20"/>
    </row>
    <row r="918" ht="13.5" customHeight="1" spans="1:22">
      <c r="A918" s="20"/>
      <c r="B918" s="20"/>
      <c r="C918" s="20"/>
      <c r="D918" s="20"/>
      <c r="E918" s="20"/>
      <c r="F918" s="20"/>
      <c r="G918" s="20"/>
      <c r="H918" s="20"/>
      <c r="I918" s="20"/>
      <c r="J918" s="20"/>
      <c r="K918" s="20"/>
      <c r="L918" s="20"/>
      <c r="M918" s="20"/>
      <c r="N918" s="20"/>
      <c r="O918" s="20"/>
      <c r="P918" s="20"/>
      <c r="Q918" s="20"/>
      <c r="R918" s="20"/>
      <c r="S918" s="20"/>
      <c r="T918" s="20"/>
      <c r="U918" s="20"/>
      <c r="V918" s="20"/>
    </row>
    <row r="919" ht="13.5" customHeight="1" spans="1:22">
      <c r="A919" s="20"/>
      <c r="B919" s="20"/>
      <c r="C919" s="20"/>
      <c r="D919" s="20"/>
      <c r="E919" s="20"/>
      <c r="F919" s="20"/>
      <c r="G919" s="20"/>
      <c r="H919" s="20"/>
      <c r="I919" s="20"/>
      <c r="J919" s="20"/>
      <c r="K919" s="20"/>
      <c r="L919" s="20"/>
      <c r="M919" s="20"/>
      <c r="N919" s="20"/>
      <c r="O919" s="20"/>
      <c r="P919" s="20"/>
      <c r="Q919" s="20"/>
      <c r="R919" s="20"/>
      <c r="S919" s="20"/>
      <c r="T919" s="20"/>
      <c r="U919" s="20"/>
      <c r="V919" s="20"/>
    </row>
    <row r="920" ht="13.5" customHeight="1" spans="1:22">
      <c r="A920" s="20"/>
      <c r="B920" s="20"/>
      <c r="C920" s="20"/>
      <c r="D920" s="20"/>
      <c r="E920" s="20"/>
      <c r="F920" s="20"/>
      <c r="G920" s="20"/>
      <c r="H920" s="20"/>
      <c r="I920" s="20"/>
      <c r="J920" s="20"/>
      <c r="K920" s="20"/>
      <c r="L920" s="20"/>
      <c r="M920" s="20"/>
      <c r="N920" s="20"/>
      <c r="O920" s="20"/>
      <c r="P920" s="20"/>
      <c r="Q920" s="20"/>
      <c r="R920" s="20"/>
      <c r="S920" s="20"/>
      <c r="T920" s="20"/>
      <c r="U920" s="20"/>
      <c r="V920" s="20"/>
    </row>
    <row r="921" ht="13.5" customHeight="1" spans="1:22">
      <c r="A921" s="20"/>
      <c r="B921" s="20"/>
      <c r="C921" s="20"/>
      <c r="D921" s="20"/>
      <c r="E921" s="20"/>
      <c r="F921" s="20"/>
      <c r="G921" s="20"/>
      <c r="H921" s="20"/>
      <c r="I921" s="20"/>
      <c r="J921" s="20"/>
      <c r="K921" s="20"/>
      <c r="L921" s="20"/>
      <c r="M921" s="20"/>
      <c r="N921" s="20"/>
      <c r="O921" s="20"/>
      <c r="P921" s="20"/>
      <c r="Q921" s="20"/>
      <c r="R921" s="20"/>
      <c r="S921" s="20"/>
      <c r="T921" s="20"/>
      <c r="U921" s="20"/>
      <c r="V921" s="20"/>
    </row>
    <row r="922" ht="13.5" customHeight="1" spans="1:22">
      <c r="A922" s="20"/>
      <c r="B922" s="20"/>
      <c r="C922" s="20"/>
      <c r="D922" s="20"/>
      <c r="E922" s="20"/>
      <c r="F922" s="20"/>
      <c r="G922" s="20"/>
      <c r="H922" s="20"/>
      <c r="I922" s="20"/>
      <c r="J922" s="20"/>
      <c r="K922" s="20"/>
      <c r="L922" s="20"/>
      <c r="M922" s="20"/>
      <c r="N922" s="20"/>
      <c r="O922" s="20"/>
      <c r="P922" s="20"/>
      <c r="Q922" s="20"/>
      <c r="R922" s="20"/>
      <c r="S922" s="20"/>
      <c r="T922" s="20"/>
      <c r="U922" s="20"/>
      <c r="V922" s="20"/>
    </row>
    <row r="923" ht="13.5" customHeight="1" spans="1:22">
      <c r="A923" s="20"/>
      <c r="B923" s="20"/>
      <c r="C923" s="20"/>
      <c r="D923" s="20"/>
      <c r="E923" s="20"/>
      <c r="F923" s="20"/>
      <c r="G923" s="20"/>
      <c r="H923" s="20"/>
      <c r="I923" s="20"/>
      <c r="J923" s="20"/>
      <c r="K923" s="20"/>
      <c r="L923" s="20"/>
      <c r="M923" s="20"/>
      <c r="N923" s="20"/>
      <c r="O923" s="20"/>
      <c r="P923" s="20"/>
      <c r="Q923" s="20"/>
      <c r="R923" s="20"/>
      <c r="S923" s="20"/>
      <c r="T923" s="20"/>
      <c r="U923" s="20"/>
      <c r="V923" s="20"/>
    </row>
    <row r="924" ht="13.5" customHeight="1" spans="1:22">
      <c r="A924" s="20"/>
      <c r="B924" s="20"/>
      <c r="C924" s="20"/>
      <c r="D924" s="20"/>
      <c r="E924" s="20"/>
      <c r="F924" s="20"/>
      <c r="G924" s="20"/>
      <c r="H924" s="20"/>
      <c r="I924" s="20"/>
      <c r="J924" s="20"/>
      <c r="K924" s="20"/>
      <c r="L924" s="20"/>
      <c r="M924" s="20"/>
      <c r="N924" s="20"/>
      <c r="O924" s="20"/>
      <c r="P924" s="20"/>
      <c r="Q924" s="20"/>
      <c r="R924" s="20"/>
      <c r="S924" s="20"/>
      <c r="T924" s="20"/>
      <c r="U924" s="20"/>
      <c r="V924" s="20"/>
    </row>
    <row r="925" ht="13.5" customHeight="1" spans="1:22">
      <c r="A925" s="20"/>
      <c r="B925" s="20"/>
      <c r="C925" s="20"/>
      <c r="D925" s="20"/>
      <c r="E925" s="20"/>
      <c r="F925" s="20"/>
      <c r="G925" s="20"/>
      <c r="H925" s="20"/>
      <c r="I925" s="20"/>
      <c r="J925" s="20"/>
      <c r="K925" s="20"/>
      <c r="L925" s="20"/>
      <c r="M925" s="20"/>
      <c r="N925" s="20"/>
      <c r="O925" s="20"/>
      <c r="P925" s="20"/>
      <c r="Q925" s="20"/>
      <c r="R925" s="20"/>
      <c r="S925" s="20"/>
      <c r="T925" s="20"/>
      <c r="U925" s="20"/>
      <c r="V925" s="20"/>
    </row>
    <row r="926" ht="13.5" customHeight="1" spans="1:22">
      <c r="A926" s="20"/>
      <c r="B926" s="20"/>
      <c r="C926" s="20"/>
      <c r="D926" s="20"/>
      <c r="E926" s="20"/>
      <c r="F926" s="20"/>
      <c r="G926" s="20"/>
      <c r="H926" s="20"/>
      <c r="I926" s="20"/>
      <c r="J926" s="20"/>
      <c r="K926" s="20"/>
      <c r="L926" s="20"/>
      <c r="M926" s="20"/>
      <c r="N926" s="20"/>
      <c r="O926" s="20"/>
      <c r="P926" s="20"/>
      <c r="Q926" s="20"/>
      <c r="R926" s="20"/>
      <c r="S926" s="20"/>
      <c r="T926" s="20"/>
      <c r="U926" s="20"/>
      <c r="V926" s="20"/>
    </row>
    <row r="927" ht="13.5" customHeight="1" spans="1:22">
      <c r="A927" s="20"/>
      <c r="B927" s="20"/>
      <c r="C927" s="20"/>
      <c r="D927" s="20"/>
      <c r="E927" s="20"/>
      <c r="F927" s="20"/>
      <c r="G927" s="20"/>
      <c r="H927" s="20"/>
      <c r="I927" s="20"/>
      <c r="J927" s="20"/>
      <c r="K927" s="20"/>
      <c r="L927" s="20"/>
      <c r="M927" s="20"/>
      <c r="N927" s="20"/>
      <c r="O927" s="20"/>
      <c r="P927" s="20"/>
      <c r="Q927" s="20"/>
      <c r="R927" s="20"/>
      <c r="S927" s="20"/>
      <c r="T927" s="20"/>
      <c r="U927" s="20"/>
      <c r="V927" s="20"/>
    </row>
    <row r="928" ht="13.5" customHeight="1" spans="1:22">
      <c r="A928" s="20"/>
      <c r="B928" s="20"/>
      <c r="C928" s="20"/>
      <c r="D928" s="20"/>
      <c r="E928" s="20"/>
      <c r="F928" s="20"/>
      <c r="G928" s="20"/>
      <c r="H928" s="20"/>
      <c r="I928" s="20"/>
      <c r="J928" s="20"/>
      <c r="K928" s="20"/>
      <c r="L928" s="20"/>
      <c r="M928" s="20"/>
      <c r="N928" s="20"/>
      <c r="O928" s="20"/>
      <c r="P928" s="20"/>
      <c r="Q928" s="20"/>
      <c r="R928" s="20"/>
      <c r="S928" s="20"/>
      <c r="T928" s="20"/>
      <c r="U928" s="20"/>
      <c r="V928" s="20"/>
    </row>
    <row r="929" ht="13.5" customHeight="1" spans="1:22">
      <c r="A929" s="20"/>
      <c r="B929" s="20"/>
      <c r="C929" s="20"/>
      <c r="D929" s="20"/>
      <c r="E929" s="20"/>
      <c r="F929" s="20"/>
      <c r="G929" s="20"/>
      <c r="H929" s="20"/>
      <c r="I929" s="20"/>
      <c r="J929" s="20"/>
      <c r="K929" s="20"/>
      <c r="L929" s="20"/>
      <c r="M929" s="20"/>
      <c r="N929" s="20"/>
      <c r="O929" s="20"/>
      <c r="P929" s="20"/>
      <c r="Q929" s="20"/>
      <c r="R929" s="20"/>
      <c r="S929" s="20"/>
      <c r="T929" s="20"/>
      <c r="U929" s="20"/>
      <c r="V929" s="20"/>
    </row>
    <row r="930" ht="13.5" customHeight="1" spans="1:22">
      <c r="A930" s="20"/>
      <c r="B930" s="20"/>
      <c r="C930" s="20"/>
      <c r="D930" s="20"/>
      <c r="E930" s="20"/>
      <c r="F930" s="20"/>
      <c r="G930" s="20"/>
      <c r="H930" s="20"/>
      <c r="I930" s="20"/>
      <c r="J930" s="20"/>
      <c r="K930" s="20"/>
      <c r="L930" s="20"/>
      <c r="M930" s="20"/>
      <c r="N930" s="20"/>
      <c r="O930" s="20"/>
      <c r="P930" s="20"/>
      <c r="Q930" s="20"/>
      <c r="R930" s="20"/>
      <c r="S930" s="20"/>
      <c r="T930" s="20"/>
      <c r="U930" s="20"/>
      <c r="V930" s="20"/>
    </row>
    <row r="931" ht="13.5" customHeight="1" spans="1:22">
      <c r="A931" s="20"/>
      <c r="B931" s="20"/>
      <c r="C931" s="20"/>
      <c r="D931" s="20"/>
      <c r="E931" s="20"/>
      <c r="F931" s="20"/>
      <c r="G931" s="20"/>
      <c r="H931" s="20"/>
      <c r="I931" s="20"/>
      <c r="J931" s="20"/>
      <c r="K931" s="20"/>
      <c r="L931" s="20"/>
      <c r="M931" s="20"/>
      <c r="N931" s="20"/>
      <c r="O931" s="20"/>
      <c r="P931" s="20"/>
      <c r="Q931" s="20"/>
      <c r="R931" s="20"/>
      <c r="S931" s="20"/>
      <c r="T931" s="20"/>
      <c r="U931" s="20"/>
      <c r="V931" s="20"/>
    </row>
    <row r="932" ht="13.5" customHeight="1" spans="1:22">
      <c r="A932" s="20"/>
      <c r="B932" s="20"/>
      <c r="C932" s="20"/>
      <c r="D932" s="20"/>
      <c r="E932" s="20"/>
      <c r="F932" s="20"/>
      <c r="G932" s="20"/>
      <c r="H932" s="20"/>
      <c r="I932" s="20"/>
      <c r="J932" s="20"/>
      <c r="K932" s="20"/>
      <c r="L932" s="20"/>
      <c r="M932" s="20"/>
      <c r="N932" s="20"/>
      <c r="O932" s="20"/>
      <c r="P932" s="20"/>
      <c r="Q932" s="20"/>
      <c r="R932" s="20"/>
      <c r="S932" s="20"/>
      <c r="T932" s="20"/>
      <c r="U932" s="20"/>
      <c r="V932" s="20"/>
    </row>
    <row r="933" ht="13.5" customHeight="1" spans="1:22">
      <c r="A933" s="20"/>
      <c r="B933" s="20"/>
      <c r="C933" s="20"/>
      <c r="D933" s="20"/>
      <c r="E933" s="20"/>
      <c r="F933" s="20"/>
      <c r="G933" s="20"/>
      <c r="H933" s="20"/>
      <c r="I933" s="20"/>
      <c r="J933" s="20"/>
      <c r="K933" s="20"/>
      <c r="L933" s="20"/>
      <c r="M933" s="20"/>
      <c r="N933" s="20"/>
      <c r="O933" s="20"/>
      <c r="P933" s="20"/>
      <c r="Q933" s="20"/>
      <c r="R933" s="20"/>
      <c r="S933" s="20"/>
      <c r="T933" s="20"/>
      <c r="U933" s="20"/>
      <c r="V933" s="20"/>
    </row>
    <row r="934" ht="13.5" customHeight="1" spans="1:22">
      <c r="A934" s="20"/>
      <c r="B934" s="20"/>
      <c r="C934" s="20"/>
      <c r="D934" s="20"/>
      <c r="E934" s="20"/>
      <c r="F934" s="20"/>
      <c r="G934" s="20"/>
      <c r="H934" s="20"/>
      <c r="I934" s="20"/>
      <c r="J934" s="20"/>
      <c r="K934" s="20"/>
      <c r="L934" s="20"/>
      <c r="M934" s="20"/>
      <c r="N934" s="20"/>
      <c r="O934" s="20"/>
      <c r="P934" s="20"/>
      <c r="Q934" s="20"/>
      <c r="R934" s="20"/>
      <c r="S934" s="20"/>
      <c r="T934" s="20"/>
      <c r="U934" s="20"/>
      <c r="V934" s="20"/>
    </row>
    <row r="935" ht="13.5" customHeight="1" spans="1:22">
      <c r="A935" s="20"/>
      <c r="B935" s="20"/>
      <c r="C935" s="20"/>
      <c r="D935" s="20"/>
      <c r="E935" s="20"/>
      <c r="F935" s="20"/>
      <c r="G935" s="20"/>
      <c r="H935" s="20"/>
      <c r="I935" s="20"/>
      <c r="J935" s="20"/>
      <c r="K935" s="20"/>
      <c r="L935" s="20"/>
      <c r="M935" s="20"/>
      <c r="N935" s="20"/>
      <c r="O935" s="20"/>
      <c r="P935" s="20"/>
      <c r="Q935" s="20"/>
      <c r="R935" s="20"/>
      <c r="S935" s="20"/>
      <c r="T935" s="20"/>
      <c r="U935" s="20"/>
      <c r="V935" s="20"/>
    </row>
    <row r="936" ht="13.5" customHeight="1" spans="1:22">
      <c r="A936" s="20"/>
      <c r="B936" s="20"/>
      <c r="C936" s="20"/>
      <c r="D936" s="20"/>
      <c r="E936" s="20"/>
      <c r="F936" s="20"/>
      <c r="G936" s="20"/>
      <c r="H936" s="20"/>
      <c r="I936" s="20"/>
      <c r="J936" s="20"/>
      <c r="K936" s="20"/>
      <c r="L936" s="20"/>
      <c r="M936" s="20"/>
      <c r="N936" s="20"/>
      <c r="O936" s="20"/>
      <c r="P936" s="20"/>
      <c r="Q936" s="20"/>
      <c r="R936" s="20"/>
      <c r="S936" s="20"/>
      <c r="T936" s="20"/>
      <c r="U936" s="20"/>
      <c r="V936" s="20"/>
    </row>
    <row r="937" ht="13.5" customHeight="1" spans="1:22">
      <c r="A937" s="20"/>
      <c r="B937" s="20"/>
      <c r="C937" s="20"/>
      <c r="D937" s="20"/>
      <c r="E937" s="20"/>
      <c r="F937" s="20"/>
      <c r="G937" s="20"/>
      <c r="H937" s="20"/>
      <c r="I937" s="20"/>
      <c r="J937" s="20"/>
      <c r="K937" s="20"/>
      <c r="L937" s="20"/>
      <c r="M937" s="20"/>
      <c r="N937" s="20"/>
      <c r="O937" s="20"/>
      <c r="P937" s="20"/>
      <c r="Q937" s="20"/>
      <c r="R937" s="20"/>
      <c r="S937" s="20"/>
      <c r="T937" s="20"/>
      <c r="U937" s="20"/>
      <c r="V937" s="20"/>
    </row>
    <row r="938" ht="13.5" customHeight="1" spans="1:22">
      <c r="A938" s="20"/>
      <c r="B938" s="20"/>
      <c r="C938" s="20"/>
      <c r="D938" s="20"/>
      <c r="E938" s="20"/>
      <c r="F938" s="20"/>
      <c r="G938" s="20"/>
      <c r="H938" s="20"/>
      <c r="I938" s="20"/>
      <c r="J938" s="20"/>
      <c r="K938" s="20"/>
      <c r="L938" s="20"/>
      <c r="M938" s="20"/>
      <c r="N938" s="20"/>
      <c r="O938" s="20"/>
      <c r="P938" s="20"/>
      <c r="Q938" s="20"/>
      <c r="R938" s="20"/>
      <c r="S938" s="20"/>
      <c r="T938" s="20"/>
      <c r="U938" s="20"/>
      <c r="V938" s="20"/>
    </row>
    <row r="939" ht="13.5" customHeight="1" spans="1:22">
      <c r="A939" s="20"/>
      <c r="B939" s="20"/>
      <c r="C939" s="20"/>
      <c r="D939" s="20"/>
      <c r="E939" s="20"/>
      <c r="F939" s="20"/>
      <c r="G939" s="20"/>
      <c r="H939" s="20"/>
      <c r="I939" s="20"/>
      <c r="J939" s="20"/>
      <c r="K939" s="20"/>
      <c r="L939" s="20"/>
      <c r="M939" s="20"/>
      <c r="N939" s="20"/>
      <c r="O939" s="20"/>
      <c r="P939" s="20"/>
      <c r="Q939" s="20"/>
      <c r="R939" s="20"/>
      <c r="S939" s="20"/>
      <c r="T939" s="20"/>
      <c r="U939" s="20"/>
      <c r="V939" s="20"/>
    </row>
    <row r="940" ht="13.5" customHeight="1" spans="1:22">
      <c r="A940" s="20"/>
      <c r="B940" s="20"/>
      <c r="C940" s="20"/>
      <c r="D940" s="20"/>
      <c r="E940" s="20"/>
      <c r="F940" s="20"/>
      <c r="G940" s="20"/>
      <c r="H940" s="20"/>
      <c r="I940" s="20"/>
      <c r="J940" s="20"/>
      <c r="K940" s="20"/>
      <c r="L940" s="20"/>
      <c r="M940" s="20"/>
      <c r="N940" s="20"/>
      <c r="O940" s="20"/>
      <c r="P940" s="20"/>
      <c r="Q940" s="20"/>
      <c r="R940" s="20"/>
      <c r="S940" s="20"/>
      <c r="T940" s="20"/>
      <c r="U940" s="20"/>
      <c r="V940" s="20"/>
    </row>
    <row r="941" ht="13.5" customHeight="1" spans="1:22">
      <c r="A941" s="20"/>
      <c r="B941" s="20"/>
      <c r="C941" s="20"/>
      <c r="D941" s="20"/>
      <c r="E941" s="20"/>
      <c r="F941" s="20"/>
      <c r="G941" s="20"/>
      <c r="H941" s="20"/>
      <c r="I941" s="20"/>
      <c r="J941" s="20"/>
      <c r="K941" s="20"/>
      <c r="L941" s="20"/>
      <c r="M941" s="20"/>
      <c r="N941" s="20"/>
      <c r="O941" s="20"/>
      <c r="P941" s="20"/>
      <c r="Q941" s="20"/>
      <c r="R941" s="20"/>
      <c r="S941" s="20"/>
      <c r="T941" s="20"/>
      <c r="U941" s="20"/>
      <c r="V941" s="20"/>
    </row>
    <row r="942" ht="13.5" customHeight="1" spans="1:22">
      <c r="A942" s="20"/>
      <c r="B942" s="20"/>
      <c r="C942" s="20"/>
      <c r="D942" s="20"/>
      <c r="E942" s="20"/>
      <c r="F942" s="20"/>
      <c r="G942" s="20"/>
      <c r="H942" s="20"/>
      <c r="I942" s="20"/>
      <c r="J942" s="20"/>
      <c r="K942" s="20"/>
      <c r="L942" s="20"/>
      <c r="M942" s="20"/>
      <c r="N942" s="20"/>
      <c r="O942" s="20"/>
      <c r="P942" s="20"/>
      <c r="Q942" s="20"/>
      <c r="R942" s="20"/>
      <c r="S942" s="20"/>
      <c r="T942" s="20"/>
      <c r="U942" s="20"/>
      <c r="V942" s="20"/>
    </row>
    <row r="943" ht="13.5" customHeight="1" spans="1:22">
      <c r="A943" s="20"/>
      <c r="B943" s="20"/>
      <c r="C943" s="20"/>
      <c r="D943" s="20"/>
      <c r="E943" s="20"/>
      <c r="F943" s="20"/>
      <c r="G943" s="20"/>
      <c r="H943" s="20"/>
      <c r="I943" s="20"/>
      <c r="J943" s="20"/>
      <c r="K943" s="20"/>
      <c r="L943" s="20"/>
      <c r="M943" s="20"/>
      <c r="N943" s="20"/>
      <c r="O943" s="20"/>
      <c r="P943" s="20"/>
      <c r="Q943" s="20"/>
      <c r="R943" s="20"/>
      <c r="S943" s="20"/>
      <c r="T943" s="20"/>
      <c r="U943" s="20"/>
      <c r="V943" s="20"/>
    </row>
    <row r="944" ht="13.5" customHeight="1" spans="1:22">
      <c r="A944" s="20"/>
      <c r="B944" s="20"/>
      <c r="C944" s="20"/>
      <c r="D944" s="20"/>
      <c r="E944" s="20"/>
      <c r="F944" s="20"/>
      <c r="G944" s="20"/>
      <c r="H944" s="20"/>
      <c r="I944" s="20"/>
      <c r="J944" s="20"/>
      <c r="K944" s="20"/>
      <c r="L944" s="20"/>
      <c r="M944" s="20"/>
      <c r="N944" s="20"/>
      <c r="O944" s="20"/>
      <c r="P944" s="20"/>
      <c r="Q944" s="20"/>
      <c r="R944" s="20"/>
      <c r="S944" s="20"/>
      <c r="T944" s="20"/>
      <c r="U944" s="20"/>
      <c r="V944" s="20"/>
    </row>
    <row r="945" ht="13.5" customHeight="1" spans="1:22">
      <c r="A945" s="20"/>
      <c r="B945" s="20"/>
      <c r="C945" s="20"/>
      <c r="D945" s="20"/>
      <c r="E945" s="20"/>
      <c r="F945" s="20"/>
      <c r="G945" s="20"/>
      <c r="H945" s="20"/>
      <c r="I945" s="20"/>
      <c r="J945" s="20"/>
      <c r="K945" s="20"/>
      <c r="L945" s="20"/>
      <c r="M945" s="20"/>
      <c r="N945" s="20"/>
      <c r="O945" s="20"/>
      <c r="P945" s="20"/>
      <c r="Q945" s="20"/>
      <c r="R945" s="20"/>
      <c r="S945" s="20"/>
      <c r="T945" s="20"/>
      <c r="U945" s="20"/>
      <c r="V945" s="20"/>
    </row>
    <row r="946" ht="13.5" customHeight="1" spans="1:22">
      <c r="A946" s="20"/>
      <c r="B946" s="20"/>
      <c r="C946" s="20"/>
      <c r="D946" s="20"/>
      <c r="E946" s="20"/>
      <c r="F946" s="20"/>
      <c r="G946" s="20"/>
      <c r="H946" s="20"/>
      <c r="I946" s="20"/>
      <c r="J946" s="20"/>
      <c r="K946" s="20"/>
      <c r="L946" s="20"/>
      <c r="M946" s="20"/>
      <c r="N946" s="20"/>
      <c r="O946" s="20"/>
      <c r="P946" s="20"/>
      <c r="Q946" s="20"/>
      <c r="R946" s="20"/>
      <c r="S946" s="20"/>
      <c r="T946" s="20"/>
      <c r="U946" s="20"/>
      <c r="V946" s="20"/>
    </row>
    <row r="947" ht="13.5" customHeight="1" spans="1:22">
      <c r="A947" s="20"/>
      <c r="B947" s="20"/>
      <c r="C947" s="20"/>
      <c r="D947" s="20"/>
      <c r="E947" s="20"/>
      <c r="F947" s="20"/>
      <c r="G947" s="20"/>
      <c r="H947" s="20"/>
      <c r="I947" s="20"/>
      <c r="J947" s="20"/>
      <c r="K947" s="20"/>
      <c r="L947" s="20"/>
      <c r="M947" s="20"/>
      <c r="N947" s="20"/>
      <c r="O947" s="20"/>
      <c r="P947" s="20"/>
      <c r="Q947" s="20"/>
      <c r="R947" s="20"/>
      <c r="S947" s="20"/>
      <c r="T947" s="20"/>
      <c r="U947" s="20"/>
      <c r="V947" s="20"/>
    </row>
    <row r="948" ht="13.5" customHeight="1" spans="1:22">
      <c r="A948" s="20"/>
      <c r="B948" s="20"/>
      <c r="C948" s="20"/>
      <c r="D948" s="20"/>
      <c r="E948" s="20"/>
      <c r="F948" s="20"/>
      <c r="G948" s="20"/>
      <c r="H948" s="20"/>
      <c r="I948" s="20"/>
      <c r="J948" s="20"/>
      <c r="K948" s="20"/>
      <c r="L948" s="20"/>
      <c r="M948" s="20"/>
      <c r="N948" s="20"/>
      <c r="O948" s="20"/>
      <c r="P948" s="20"/>
      <c r="Q948" s="20"/>
      <c r="R948" s="20"/>
      <c r="S948" s="20"/>
      <c r="T948" s="20"/>
      <c r="U948" s="20"/>
      <c r="V948" s="20"/>
    </row>
    <row r="949" ht="13.5" customHeight="1" spans="1:22">
      <c r="A949" s="20"/>
      <c r="B949" s="20"/>
      <c r="C949" s="20"/>
      <c r="D949" s="20"/>
      <c r="E949" s="20"/>
      <c r="F949" s="20"/>
      <c r="G949" s="20"/>
      <c r="H949" s="20"/>
      <c r="I949" s="20"/>
      <c r="J949" s="20"/>
      <c r="K949" s="20"/>
      <c r="L949" s="20"/>
      <c r="M949" s="20"/>
      <c r="N949" s="20"/>
      <c r="O949" s="20"/>
      <c r="P949" s="20"/>
      <c r="Q949" s="20"/>
      <c r="R949" s="20"/>
      <c r="S949" s="20"/>
      <c r="T949" s="20"/>
      <c r="U949" s="20"/>
      <c r="V949" s="20"/>
    </row>
    <row r="950" ht="13.5" customHeight="1" spans="1:22">
      <c r="A950" s="20"/>
      <c r="B950" s="20"/>
      <c r="C950" s="20"/>
      <c r="D950" s="20"/>
      <c r="E950" s="20"/>
      <c r="F950" s="20"/>
      <c r="G950" s="20"/>
      <c r="H950" s="20"/>
      <c r="I950" s="20"/>
      <c r="J950" s="20"/>
      <c r="K950" s="20"/>
      <c r="L950" s="20"/>
      <c r="M950" s="20"/>
      <c r="N950" s="20"/>
      <c r="O950" s="20"/>
      <c r="P950" s="20"/>
      <c r="Q950" s="20"/>
      <c r="R950" s="20"/>
      <c r="S950" s="20"/>
      <c r="T950" s="20"/>
      <c r="U950" s="20"/>
      <c r="V950" s="20"/>
    </row>
    <row r="951" ht="13.5" customHeight="1" spans="1:22">
      <c r="A951" s="20"/>
      <c r="B951" s="20"/>
      <c r="C951" s="20"/>
      <c r="D951" s="20"/>
      <c r="E951" s="20"/>
      <c r="F951" s="20"/>
      <c r="G951" s="20"/>
      <c r="H951" s="20"/>
      <c r="I951" s="20"/>
      <c r="J951" s="20"/>
      <c r="K951" s="20"/>
      <c r="L951" s="20"/>
      <c r="M951" s="20"/>
      <c r="N951" s="20"/>
      <c r="O951" s="20"/>
      <c r="P951" s="20"/>
      <c r="Q951" s="20"/>
      <c r="R951" s="20"/>
      <c r="S951" s="20"/>
      <c r="T951" s="20"/>
      <c r="U951" s="20"/>
      <c r="V951" s="20"/>
    </row>
    <row r="952" ht="13.5" customHeight="1" spans="1:22">
      <c r="A952" s="20"/>
      <c r="B952" s="20"/>
      <c r="C952" s="20"/>
      <c r="D952" s="20"/>
      <c r="E952" s="20"/>
      <c r="F952" s="20"/>
      <c r="G952" s="20"/>
      <c r="H952" s="20"/>
      <c r="I952" s="20"/>
      <c r="J952" s="20"/>
      <c r="K952" s="20"/>
      <c r="L952" s="20"/>
      <c r="M952" s="20"/>
      <c r="N952" s="20"/>
      <c r="O952" s="20"/>
      <c r="P952" s="20"/>
      <c r="Q952" s="20"/>
      <c r="R952" s="20"/>
      <c r="S952" s="20"/>
      <c r="T952" s="20"/>
      <c r="U952" s="20"/>
      <c r="V952" s="20"/>
    </row>
    <row r="953" ht="13.5" customHeight="1" spans="1:22">
      <c r="A953" s="20"/>
      <c r="B953" s="20"/>
      <c r="C953" s="20"/>
      <c r="D953" s="20"/>
      <c r="E953" s="20"/>
      <c r="F953" s="20"/>
      <c r="G953" s="20"/>
      <c r="H953" s="20"/>
      <c r="I953" s="20"/>
      <c r="J953" s="20"/>
      <c r="K953" s="20"/>
      <c r="L953" s="20"/>
      <c r="M953" s="20"/>
      <c r="N953" s="20"/>
      <c r="O953" s="20"/>
      <c r="P953" s="20"/>
      <c r="Q953" s="20"/>
      <c r="R953" s="20"/>
      <c r="S953" s="20"/>
      <c r="T953" s="20"/>
      <c r="U953" s="20"/>
      <c r="V953" s="20"/>
    </row>
    <row r="954" ht="13.5" customHeight="1" spans="1:22">
      <c r="A954" s="20"/>
      <c r="B954" s="20"/>
      <c r="C954" s="20"/>
      <c r="D954" s="20"/>
      <c r="E954" s="20"/>
      <c r="F954" s="20"/>
      <c r="G954" s="20"/>
      <c r="H954" s="20"/>
      <c r="I954" s="20"/>
      <c r="J954" s="20"/>
      <c r="K954" s="20"/>
      <c r="L954" s="20"/>
      <c r="M954" s="20"/>
      <c r="N954" s="20"/>
      <c r="O954" s="20"/>
      <c r="P954" s="20"/>
      <c r="Q954" s="20"/>
      <c r="R954" s="20"/>
      <c r="S954" s="20"/>
      <c r="T954" s="20"/>
      <c r="U954" s="20"/>
      <c r="V954" s="20"/>
    </row>
    <row r="955" ht="13.5" customHeight="1" spans="1:22">
      <c r="A955" s="20"/>
      <c r="B955" s="20"/>
      <c r="C955" s="20"/>
      <c r="D955" s="20"/>
      <c r="E955" s="20"/>
      <c r="F955" s="20"/>
      <c r="G955" s="20"/>
      <c r="H955" s="20"/>
      <c r="I955" s="20"/>
      <c r="J955" s="20"/>
      <c r="K955" s="20"/>
      <c r="L955" s="20"/>
      <c r="M955" s="20"/>
      <c r="N955" s="20"/>
      <c r="O955" s="20"/>
      <c r="P955" s="20"/>
      <c r="Q955" s="20"/>
      <c r="R955" s="20"/>
      <c r="S955" s="20"/>
      <c r="T955" s="20"/>
      <c r="U955" s="20"/>
      <c r="V955" s="20"/>
    </row>
    <row r="956" ht="13.5" customHeight="1" spans="1:22">
      <c r="A956" s="20"/>
      <c r="B956" s="20"/>
      <c r="C956" s="20"/>
      <c r="D956" s="20"/>
      <c r="E956" s="20"/>
      <c r="F956" s="20"/>
      <c r="G956" s="20"/>
      <c r="H956" s="20"/>
      <c r="I956" s="20"/>
      <c r="J956" s="20"/>
      <c r="K956" s="20"/>
      <c r="L956" s="20"/>
      <c r="M956" s="20"/>
      <c r="N956" s="20"/>
      <c r="O956" s="20"/>
      <c r="P956" s="20"/>
      <c r="Q956" s="20"/>
      <c r="R956" s="20"/>
      <c r="S956" s="20"/>
      <c r="T956" s="20"/>
      <c r="U956" s="20"/>
      <c r="V956" s="20"/>
    </row>
    <row r="957" ht="13.5" customHeight="1" spans="1:22">
      <c r="A957" s="20"/>
      <c r="B957" s="20"/>
      <c r="C957" s="20"/>
      <c r="D957" s="20"/>
      <c r="E957" s="20"/>
      <c r="F957" s="20"/>
      <c r="G957" s="20"/>
      <c r="H957" s="20"/>
      <c r="I957" s="20"/>
      <c r="J957" s="20"/>
      <c r="K957" s="20"/>
      <c r="L957" s="20"/>
      <c r="M957" s="20"/>
      <c r="N957" s="20"/>
      <c r="O957" s="20"/>
      <c r="P957" s="20"/>
      <c r="Q957" s="20"/>
      <c r="R957" s="20"/>
      <c r="S957" s="20"/>
      <c r="T957" s="20"/>
      <c r="U957" s="20"/>
      <c r="V957" s="20"/>
    </row>
    <row r="958" ht="13.5" customHeight="1" spans="1:22">
      <c r="A958" s="20"/>
      <c r="B958" s="20"/>
      <c r="C958" s="20"/>
      <c r="D958" s="20"/>
      <c r="E958" s="20"/>
      <c r="F958" s="20"/>
      <c r="G958" s="20"/>
      <c r="H958" s="20"/>
      <c r="I958" s="20"/>
      <c r="J958" s="20"/>
      <c r="K958" s="20"/>
      <c r="L958" s="20"/>
      <c r="M958" s="20"/>
      <c r="N958" s="20"/>
      <c r="O958" s="20"/>
      <c r="P958" s="20"/>
      <c r="Q958" s="20"/>
      <c r="R958" s="20"/>
      <c r="S958" s="20"/>
      <c r="T958" s="20"/>
      <c r="U958" s="20"/>
      <c r="V958" s="20"/>
    </row>
    <row r="959" ht="13.5" customHeight="1" spans="1:22">
      <c r="A959" s="20"/>
      <c r="B959" s="20"/>
      <c r="C959" s="20"/>
      <c r="D959" s="20"/>
      <c r="E959" s="20"/>
      <c r="F959" s="20"/>
      <c r="G959" s="20"/>
      <c r="H959" s="20"/>
      <c r="I959" s="20"/>
      <c r="J959" s="20"/>
      <c r="K959" s="20"/>
      <c r="L959" s="20"/>
      <c r="M959" s="20"/>
      <c r="N959" s="20"/>
      <c r="O959" s="20"/>
      <c r="P959" s="20"/>
      <c r="Q959" s="20"/>
      <c r="R959" s="20"/>
      <c r="S959" s="20"/>
      <c r="T959" s="20"/>
      <c r="U959" s="20"/>
      <c r="V959" s="20"/>
    </row>
    <row r="960" ht="13.5" customHeight="1" spans="1:22">
      <c r="A960" s="20"/>
      <c r="B960" s="20"/>
      <c r="C960" s="20"/>
      <c r="D960" s="20"/>
      <c r="E960" s="20"/>
      <c r="F960" s="20"/>
      <c r="G960" s="20"/>
      <c r="H960" s="20"/>
      <c r="I960" s="20"/>
      <c r="J960" s="20"/>
      <c r="K960" s="20"/>
      <c r="L960" s="20"/>
      <c r="M960" s="20"/>
      <c r="N960" s="20"/>
      <c r="O960" s="20"/>
      <c r="P960" s="20"/>
      <c r="Q960" s="20"/>
      <c r="R960" s="20"/>
      <c r="S960" s="20"/>
      <c r="T960" s="20"/>
      <c r="U960" s="20"/>
      <c r="V960" s="20"/>
    </row>
    <row r="961" ht="13.5" customHeight="1" spans="1:22">
      <c r="A961" s="20"/>
      <c r="B961" s="20"/>
      <c r="C961" s="20"/>
      <c r="D961" s="20"/>
      <c r="E961" s="20"/>
      <c r="F961" s="20"/>
      <c r="G961" s="20"/>
      <c r="H961" s="20"/>
      <c r="I961" s="20"/>
      <c r="J961" s="20"/>
      <c r="K961" s="20"/>
      <c r="L961" s="20"/>
      <c r="M961" s="20"/>
      <c r="N961" s="20"/>
      <c r="O961" s="20"/>
      <c r="P961" s="20"/>
      <c r="Q961" s="20"/>
      <c r="R961" s="20"/>
      <c r="S961" s="20"/>
      <c r="T961" s="20"/>
      <c r="U961" s="20"/>
      <c r="V961" s="20"/>
    </row>
    <row r="962" ht="13.5" customHeight="1" spans="1:22">
      <c r="A962" s="20"/>
      <c r="B962" s="20"/>
      <c r="C962" s="20"/>
      <c r="D962" s="20"/>
      <c r="E962" s="20"/>
      <c r="F962" s="20"/>
      <c r="G962" s="20"/>
      <c r="H962" s="20"/>
      <c r="I962" s="20"/>
      <c r="J962" s="20"/>
      <c r="K962" s="20"/>
      <c r="L962" s="20"/>
      <c r="M962" s="20"/>
      <c r="N962" s="20"/>
      <c r="O962" s="20"/>
      <c r="P962" s="20"/>
      <c r="Q962" s="20"/>
      <c r="R962" s="20"/>
      <c r="S962" s="20"/>
      <c r="T962" s="20"/>
      <c r="U962" s="20"/>
      <c r="V962" s="20"/>
    </row>
    <row r="963" ht="13.5" customHeight="1" spans="1:22">
      <c r="A963" s="20"/>
      <c r="B963" s="20"/>
      <c r="C963" s="20"/>
      <c r="D963" s="20"/>
      <c r="E963" s="20"/>
      <c r="F963" s="20"/>
      <c r="G963" s="20"/>
      <c r="H963" s="20"/>
      <c r="I963" s="20"/>
      <c r="J963" s="20"/>
      <c r="K963" s="20"/>
      <c r="L963" s="20"/>
      <c r="M963" s="20"/>
      <c r="N963" s="20"/>
      <c r="O963" s="20"/>
      <c r="P963" s="20"/>
      <c r="Q963" s="20"/>
      <c r="R963" s="20"/>
      <c r="S963" s="20"/>
      <c r="T963" s="20"/>
      <c r="U963" s="20"/>
      <c r="V963" s="20"/>
    </row>
    <row r="964" ht="13.5" customHeight="1" spans="1:22">
      <c r="A964" s="20"/>
      <c r="B964" s="20"/>
      <c r="C964" s="20"/>
      <c r="D964" s="20"/>
      <c r="E964" s="20"/>
      <c r="F964" s="20"/>
      <c r="G964" s="20"/>
      <c r="H964" s="20"/>
      <c r="I964" s="20"/>
      <c r="J964" s="20"/>
      <c r="K964" s="20"/>
      <c r="L964" s="20"/>
      <c r="M964" s="20"/>
      <c r="N964" s="20"/>
      <c r="O964" s="20"/>
      <c r="P964" s="20"/>
      <c r="Q964" s="20"/>
      <c r="R964" s="20"/>
      <c r="S964" s="20"/>
      <c r="T964" s="20"/>
      <c r="U964" s="20"/>
      <c r="V964" s="20"/>
    </row>
    <row r="965" ht="13.5" customHeight="1" spans="1:22">
      <c r="A965" s="20"/>
      <c r="B965" s="20"/>
      <c r="C965" s="20"/>
      <c r="D965" s="20"/>
      <c r="E965" s="20"/>
      <c r="F965" s="20"/>
      <c r="G965" s="20"/>
      <c r="H965" s="20"/>
      <c r="I965" s="20"/>
      <c r="J965" s="20"/>
      <c r="K965" s="20"/>
      <c r="L965" s="20"/>
      <c r="M965" s="20"/>
      <c r="N965" s="20"/>
      <c r="O965" s="20"/>
      <c r="P965" s="20"/>
      <c r="Q965" s="20"/>
      <c r="R965" s="20"/>
      <c r="S965" s="20"/>
      <c r="T965" s="20"/>
      <c r="U965" s="20"/>
      <c r="V965" s="20"/>
    </row>
    <row r="966" ht="13.5" customHeight="1" spans="1:22">
      <c r="A966" s="20"/>
      <c r="B966" s="20"/>
      <c r="C966" s="20"/>
      <c r="D966" s="20"/>
      <c r="E966" s="20"/>
      <c r="F966" s="20"/>
      <c r="G966" s="20"/>
      <c r="H966" s="20"/>
      <c r="I966" s="20"/>
      <c r="J966" s="20"/>
      <c r="K966" s="20"/>
      <c r="L966" s="20"/>
      <c r="M966" s="20"/>
      <c r="N966" s="20"/>
      <c r="O966" s="20"/>
      <c r="P966" s="20"/>
      <c r="Q966" s="20"/>
      <c r="R966" s="20"/>
      <c r="S966" s="20"/>
      <c r="T966" s="20"/>
      <c r="U966" s="20"/>
      <c r="V966" s="20"/>
    </row>
    <row r="967" ht="13.5" customHeight="1" spans="1:22">
      <c r="A967" s="20"/>
      <c r="B967" s="20"/>
      <c r="C967" s="20"/>
      <c r="D967" s="20"/>
      <c r="E967" s="20"/>
      <c r="F967" s="20"/>
      <c r="G967" s="20"/>
      <c r="H967" s="20"/>
      <c r="I967" s="20"/>
      <c r="J967" s="20"/>
      <c r="K967" s="20"/>
      <c r="L967" s="20"/>
      <c r="M967" s="20"/>
      <c r="N967" s="20"/>
      <c r="O967" s="20"/>
      <c r="P967" s="20"/>
      <c r="Q967" s="20"/>
      <c r="R967" s="20"/>
      <c r="S967" s="20"/>
      <c r="T967" s="20"/>
      <c r="U967" s="20"/>
      <c r="V967" s="20"/>
    </row>
    <row r="968" ht="13.5" customHeight="1" spans="1:22">
      <c r="A968" s="20"/>
      <c r="B968" s="20"/>
      <c r="C968" s="20"/>
      <c r="D968" s="20"/>
      <c r="E968" s="20"/>
      <c r="F968" s="20"/>
      <c r="G968" s="20"/>
      <c r="H968" s="20"/>
      <c r="I968" s="20"/>
      <c r="J968" s="20"/>
      <c r="K968" s="20"/>
      <c r="L968" s="20"/>
      <c r="M968" s="20"/>
      <c r="N968" s="20"/>
      <c r="O968" s="20"/>
      <c r="P968" s="20"/>
      <c r="Q968" s="20"/>
      <c r="R968" s="20"/>
      <c r="S968" s="20"/>
      <c r="T968" s="20"/>
      <c r="U968" s="20"/>
      <c r="V968" s="20"/>
    </row>
    <row r="969" ht="13.5" customHeight="1" spans="1:22">
      <c r="A969" s="20"/>
      <c r="B969" s="20"/>
      <c r="C969" s="20"/>
      <c r="D969" s="20"/>
      <c r="E969" s="20"/>
      <c r="F969" s="20"/>
      <c r="G969" s="20"/>
      <c r="H969" s="20"/>
      <c r="I969" s="20"/>
      <c r="J969" s="20"/>
      <c r="K969" s="20"/>
      <c r="L969" s="20"/>
      <c r="M969" s="20"/>
      <c r="N969" s="20"/>
      <c r="O969" s="20"/>
      <c r="P969" s="20"/>
      <c r="Q969" s="20"/>
      <c r="R969" s="20"/>
      <c r="S969" s="20"/>
      <c r="T969" s="20"/>
      <c r="U969" s="20"/>
      <c r="V969" s="20"/>
    </row>
    <row r="970" ht="13.5" customHeight="1" spans="1:22">
      <c r="A970" s="20"/>
      <c r="B970" s="20"/>
      <c r="C970" s="20"/>
      <c r="D970" s="20"/>
      <c r="E970" s="20"/>
      <c r="F970" s="20"/>
      <c r="G970" s="20"/>
      <c r="H970" s="20"/>
      <c r="I970" s="20"/>
      <c r="J970" s="20"/>
      <c r="K970" s="20"/>
      <c r="L970" s="20"/>
      <c r="M970" s="20"/>
      <c r="N970" s="20"/>
      <c r="O970" s="20"/>
      <c r="P970" s="20"/>
      <c r="Q970" s="20"/>
      <c r="R970" s="20"/>
      <c r="S970" s="20"/>
      <c r="T970" s="20"/>
      <c r="U970" s="20"/>
      <c r="V970" s="20"/>
    </row>
    <row r="971" ht="13.5" customHeight="1" spans="1:22">
      <c r="A971" s="20"/>
      <c r="B971" s="20"/>
      <c r="C971" s="20"/>
      <c r="D971" s="20"/>
      <c r="E971" s="20"/>
      <c r="F971" s="20"/>
      <c r="G971" s="20"/>
      <c r="H971" s="20"/>
      <c r="I971" s="20"/>
      <c r="J971" s="20"/>
      <c r="K971" s="20"/>
      <c r="L971" s="20"/>
      <c r="M971" s="20"/>
      <c r="N971" s="20"/>
      <c r="O971" s="20"/>
      <c r="P971" s="20"/>
      <c r="Q971" s="20"/>
      <c r="R971" s="20"/>
      <c r="S971" s="20"/>
      <c r="T971" s="20"/>
      <c r="U971" s="20"/>
      <c r="V971" s="20"/>
    </row>
    <row r="972" ht="13.5" customHeight="1" spans="1:22">
      <c r="A972" s="20"/>
      <c r="B972" s="20"/>
      <c r="C972" s="20"/>
      <c r="D972" s="20"/>
      <c r="E972" s="20"/>
      <c r="F972" s="20"/>
      <c r="G972" s="20"/>
      <c r="H972" s="20"/>
      <c r="I972" s="20"/>
      <c r="J972" s="20"/>
      <c r="K972" s="20"/>
      <c r="L972" s="20"/>
      <c r="M972" s="20"/>
      <c r="N972" s="20"/>
      <c r="O972" s="20"/>
      <c r="P972" s="20"/>
      <c r="Q972" s="20"/>
      <c r="R972" s="20"/>
      <c r="S972" s="20"/>
      <c r="T972" s="20"/>
      <c r="U972" s="20"/>
      <c r="V972" s="20"/>
    </row>
    <row r="973" ht="13.5" customHeight="1" spans="1:22">
      <c r="A973" s="20"/>
      <c r="B973" s="20"/>
      <c r="C973" s="20"/>
      <c r="D973" s="20"/>
      <c r="E973" s="20"/>
      <c r="F973" s="20"/>
      <c r="G973" s="20"/>
      <c r="H973" s="20"/>
      <c r="I973" s="20"/>
      <c r="J973" s="20"/>
      <c r="K973" s="20"/>
      <c r="L973" s="20"/>
      <c r="M973" s="20"/>
      <c r="N973" s="20"/>
      <c r="O973" s="20"/>
      <c r="P973" s="20"/>
      <c r="Q973" s="20"/>
      <c r="R973" s="20"/>
      <c r="S973" s="20"/>
      <c r="T973" s="20"/>
      <c r="U973" s="20"/>
      <c r="V973" s="20"/>
    </row>
    <row r="974" ht="13.5" customHeight="1" spans="1:22">
      <c r="A974" s="20"/>
      <c r="B974" s="20"/>
      <c r="C974" s="20"/>
      <c r="D974" s="20"/>
      <c r="E974" s="20"/>
      <c r="F974" s="20"/>
      <c r="G974" s="20"/>
      <c r="H974" s="20"/>
      <c r="I974" s="20"/>
      <c r="J974" s="20"/>
      <c r="K974" s="20"/>
      <c r="L974" s="20"/>
      <c r="M974" s="20"/>
      <c r="N974" s="20"/>
      <c r="O974" s="20"/>
      <c r="P974" s="20"/>
      <c r="Q974" s="20"/>
      <c r="R974" s="20"/>
      <c r="S974" s="20"/>
      <c r="T974" s="20"/>
      <c r="U974" s="20"/>
      <c r="V974" s="20"/>
    </row>
    <row r="975" ht="13.5" customHeight="1" spans="1:22">
      <c r="A975" s="20"/>
      <c r="B975" s="20"/>
      <c r="C975" s="20"/>
      <c r="D975" s="20"/>
      <c r="E975" s="20"/>
      <c r="F975" s="20"/>
      <c r="G975" s="20"/>
      <c r="H975" s="20"/>
      <c r="I975" s="20"/>
      <c r="J975" s="20"/>
      <c r="K975" s="20"/>
      <c r="L975" s="20"/>
      <c r="M975" s="20"/>
      <c r="N975" s="20"/>
      <c r="O975" s="20"/>
      <c r="P975" s="20"/>
      <c r="Q975" s="20"/>
      <c r="R975" s="20"/>
      <c r="S975" s="20"/>
      <c r="T975" s="20"/>
      <c r="U975" s="20"/>
      <c r="V975" s="20"/>
    </row>
    <row r="976" ht="13.5" customHeight="1" spans="1:22">
      <c r="A976" s="20"/>
      <c r="B976" s="20"/>
      <c r="C976" s="20"/>
      <c r="D976" s="20"/>
      <c r="E976" s="20"/>
      <c r="F976" s="20"/>
      <c r="G976" s="20"/>
      <c r="H976" s="20"/>
      <c r="I976" s="20"/>
      <c r="J976" s="20"/>
      <c r="K976" s="20"/>
      <c r="L976" s="20"/>
      <c r="M976" s="20"/>
      <c r="N976" s="20"/>
      <c r="O976" s="20"/>
      <c r="P976" s="20"/>
      <c r="Q976" s="20"/>
      <c r="R976" s="20"/>
      <c r="S976" s="20"/>
      <c r="T976" s="20"/>
      <c r="U976" s="20"/>
      <c r="V976" s="20"/>
    </row>
    <row r="977" ht="13.5" customHeight="1" spans="1:22">
      <c r="A977" s="20"/>
      <c r="B977" s="20"/>
      <c r="C977" s="20"/>
      <c r="D977" s="20"/>
      <c r="E977" s="20"/>
      <c r="F977" s="20"/>
      <c r="G977" s="20"/>
      <c r="H977" s="20"/>
      <c r="I977" s="20"/>
      <c r="J977" s="20"/>
      <c r="K977" s="20"/>
      <c r="L977" s="20"/>
      <c r="M977" s="20"/>
      <c r="N977" s="20"/>
      <c r="O977" s="20"/>
      <c r="P977" s="20"/>
      <c r="Q977" s="20"/>
      <c r="R977" s="20"/>
      <c r="S977" s="20"/>
      <c r="T977" s="20"/>
      <c r="U977" s="20"/>
      <c r="V977" s="20"/>
    </row>
    <row r="978" ht="13.5" customHeight="1" spans="1:22">
      <c r="A978" s="20"/>
      <c r="B978" s="20"/>
      <c r="C978" s="20"/>
      <c r="D978" s="20"/>
      <c r="E978" s="20"/>
      <c r="F978" s="20"/>
      <c r="G978" s="20"/>
      <c r="H978" s="20"/>
      <c r="I978" s="20"/>
      <c r="J978" s="20"/>
      <c r="K978" s="20"/>
      <c r="L978" s="20"/>
      <c r="M978" s="20"/>
      <c r="N978" s="20"/>
      <c r="O978" s="20"/>
      <c r="P978" s="20"/>
      <c r="Q978" s="20"/>
      <c r="R978" s="20"/>
      <c r="S978" s="20"/>
      <c r="T978" s="20"/>
      <c r="U978" s="20"/>
      <c r="V978" s="20"/>
    </row>
    <row r="979" ht="13.5" customHeight="1" spans="1:22">
      <c r="A979" s="20"/>
      <c r="B979" s="20"/>
      <c r="C979" s="20"/>
      <c r="D979" s="20"/>
      <c r="E979" s="20"/>
      <c r="F979" s="20"/>
      <c r="G979" s="20"/>
      <c r="H979" s="20"/>
      <c r="I979" s="20"/>
      <c r="J979" s="20"/>
      <c r="K979" s="20"/>
      <c r="L979" s="20"/>
      <c r="M979" s="20"/>
      <c r="N979" s="20"/>
      <c r="O979" s="20"/>
      <c r="P979" s="20"/>
      <c r="Q979" s="20"/>
      <c r="R979" s="20"/>
      <c r="S979" s="20"/>
      <c r="T979" s="20"/>
      <c r="U979" s="20"/>
      <c r="V979" s="20"/>
    </row>
    <row r="980" ht="13.5" customHeight="1" spans="1:22">
      <c r="A980" s="20"/>
      <c r="B980" s="20"/>
      <c r="C980" s="20"/>
      <c r="D980" s="20"/>
      <c r="E980" s="20"/>
      <c r="F980" s="20"/>
      <c r="G980" s="20"/>
      <c r="H980" s="20"/>
      <c r="I980" s="20"/>
      <c r="J980" s="20"/>
      <c r="K980" s="20"/>
      <c r="L980" s="20"/>
      <c r="M980" s="20"/>
      <c r="N980" s="20"/>
      <c r="O980" s="20"/>
      <c r="P980" s="20"/>
      <c r="Q980" s="20"/>
      <c r="R980" s="20"/>
      <c r="S980" s="20"/>
      <c r="T980" s="20"/>
      <c r="U980" s="20"/>
      <c r="V980" s="20"/>
    </row>
    <row r="981" ht="13.5" customHeight="1" spans="1:22">
      <c r="A981" s="20"/>
      <c r="B981" s="20"/>
      <c r="C981" s="20"/>
      <c r="D981" s="20"/>
      <c r="E981" s="20"/>
      <c r="F981" s="20"/>
      <c r="G981" s="20"/>
      <c r="H981" s="20"/>
      <c r="I981" s="20"/>
      <c r="J981" s="20"/>
      <c r="K981" s="20"/>
      <c r="L981" s="20"/>
      <c r="M981" s="20"/>
      <c r="N981" s="20"/>
      <c r="O981" s="20"/>
      <c r="P981" s="20"/>
      <c r="Q981" s="20"/>
      <c r="R981" s="20"/>
      <c r="S981" s="20"/>
      <c r="T981" s="20"/>
      <c r="U981" s="20"/>
      <c r="V981" s="20"/>
    </row>
    <row r="982" ht="13.5" customHeight="1" spans="1:22">
      <c r="A982" s="20"/>
      <c r="B982" s="20"/>
      <c r="C982" s="20"/>
      <c r="D982" s="20"/>
      <c r="E982" s="20"/>
      <c r="F982" s="20"/>
      <c r="G982" s="20"/>
      <c r="H982" s="20"/>
      <c r="I982" s="20"/>
      <c r="J982" s="20"/>
      <c r="K982" s="20"/>
      <c r="L982" s="20"/>
      <c r="M982" s="20"/>
      <c r="N982" s="20"/>
      <c r="O982" s="20"/>
      <c r="P982" s="20"/>
      <c r="Q982" s="20"/>
      <c r="R982" s="20"/>
      <c r="S982" s="20"/>
      <c r="T982" s="20"/>
      <c r="U982" s="20"/>
      <c r="V982" s="20"/>
    </row>
    <row r="983" ht="13.5" customHeight="1" spans="1:22">
      <c r="A983" s="20"/>
      <c r="B983" s="20"/>
      <c r="C983" s="20"/>
      <c r="D983" s="20"/>
      <c r="E983" s="20"/>
      <c r="F983" s="20"/>
      <c r="G983" s="20"/>
      <c r="H983" s="20"/>
      <c r="I983" s="20"/>
      <c r="J983" s="20"/>
      <c r="K983" s="20"/>
      <c r="L983" s="20"/>
      <c r="M983" s="20"/>
      <c r="N983" s="20"/>
      <c r="O983" s="20"/>
      <c r="P983" s="20"/>
      <c r="Q983" s="20"/>
      <c r="R983" s="20"/>
      <c r="S983" s="20"/>
      <c r="T983" s="20"/>
      <c r="U983" s="20"/>
      <c r="V983" s="20"/>
    </row>
    <row r="984" ht="13.5" customHeight="1" spans="1:22">
      <c r="A984" s="20"/>
      <c r="B984" s="20"/>
      <c r="C984" s="20"/>
      <c r="D984" s="20"/>
      <c r="E984" s="20"/>
      <c r="F984" s="20"/>
      <c r="G984" s="20"/>
      <c r="H984" s="20"/>
      <c r="I984" s="20"/>
      <c r="J984" s="20"/>
      <c r="K984" s="20"/>
      <c r="L984" s="20"/>
      <c r="M984" s="20"/>
      <c r="N984" s="20"/>
      <c r="O984" s="20"/>
      <c r="P984" s="20"/>
      <c r="Q984" s="20"/>
      <c r="R984" s="20"/>
      <c r="S984" s="20"/>
      <c r="T984" s="20"/>
      <c r="U984" s="20"/>
      <c r="V984" s="20"/>
    </row>
    <row r="985" ht="13.5" customHeight="1" spans="1:22">
      <c r="A985" s="20"/>
      <c r="B985" s="20"/>
      <c r="C985" s="20"/>
      <c r="D985" s="20"/>
      <c r="E985" s="20"/>
      <c r="F985" s="20"/>
      <c r="G985" s="20"/>
      <c r="H985" s="20"/>
      <c r="I985" s="20"/>
      <c r="J985" s="20"/>
      <c r="K985" s="20"/>
      <c r="L985" s="20"/>
      <c r="M985" s="20"/>
      <c r="N985" s="20"/>
      <c r="O985" s="20"/>
      <c r="P985" s="20"/>
      <c r="Q985" s="20"/>
      <c r="R985" s="20"/>
      <c r="S985" s="20"/>
      <c r="T985" s="20"/>
      <c r="U985" s="20"/>
      <c r="V985" s="20"/>
    </row>
    <row r="986" ht="13.5" customHeight="1" spans="1:22">
      <c r="A986" s="20"/>
      <c r="B986" s="20"/>
      <c r="C986" s="20"/>
      <c r="D986" s="20"/>
      <c r="E986" s="20"/>
      <c r="F986" s="20"/>
      <c r="G986" s="20"/>
      <c r="H986" s="20"/>
      <c r="I986" s="20"/>
      <c r="J986" s="20"/>
      <c r="K986" s="20"/>
      <c r="L986" s="20"/>
      <c r="M986" s="20"/>
      <c r="N986" s="20"/>
      <c r="O986" s="20"/>
      <c r="P986" s="20"/>
      <c r="Q986" s="20"/>
      <c r="R986" s="20"/>
      <c r="S986" s="20"/>
      <c r="T986" s="20"/>
      <c r="U986" s="20"/>
      <c r="V986" s="20"/>
    </row>
    <row r="987" ht="13.5" customHeight="1" spans="1:22">
      <c r="A987" s="20"/>
      <c r="B987" s="20"/>
      <c r="C987" s="20"/>
      <c r="D987" s="20"/>
      <c r="E987" s="20"/>
      <c r="F987" s="20"/>
      <c r="G987" s="20"/>
      <c r="H987" s="20"/>
      <c r="I987" s="20"/>
      <c r="J987" s="20"/>
      <c r="K987" s="20"/>
      <c r="L987" s="20"/>
      <c r="M987" s="20"/>
      <c r="N987" s="20"/>
      <c r="O987" s="20"/>
      <c r="P987" s="20"/>
      <c r="Q987" s="20"/>
      <c r="R987" s="20"/>
      <c r="S987" s="20"/>
      <c r="T987" s="20"/>
      <c r="U987" s="20"/>
      <c r="V987" s="20"/>
    </row>
    <row r="988" ht="13.5" customHeight="1" spans="1:22">
      <c r="A988" s="20"/>
      <c r="B988" s="20"/>
      <c r="C988" s="20"/>
      <c r="D988" s="20"/>
      <c r="E988" s="20"/>
      <c r="F988" s="20"/>
      <c r="G988" s="20"/>
      <c r="H988" s="20"/>
      <c r="I988" s="20"/>
      <c r="J988" s="20"/>
      <c r="K988" s="20"/>
      <c r="L988" s="20"/>
      <c r="M988" s="20"/>
      <c r="N988" s="20"/>
      <c r="O988" s="20"/>
      <c r="P988" s="20"/>
      <c r="Q988" s="20"/>
      <c r="R988" s="20"/>
      <c r="S988" s="20"/>
      <c r="T988" s="20"/>
      <c r="U988" s="20"/>
      <c r="V988" s="20"/>
    </row>
    <row r="989" ht="13.5" customHeight="1" spans="1:22">
      <c r="A989" s="20"/>
      <c r="B989" s="20"/>
      <c r="C989" s="20"/>
      <c r="D989" s="20"/>
      <c r="E989" s="20"/>
      <c r="F989" s="20"/>
      <c r="G989" s="20"/>
      <c r="H989" s="20"/>
      <c r="I989" s="20"/>
      <c r="J989" s="20"/>
      <c r="K989" s="20"/>
      <c r="L989" s="20"/>
      <c r="M989" s="20"/>
      <c r="N989" s="20"/>
      <c r="O989" s="20"/>
      <c r="P989" s="20"/>
      <c r="Q989" s="20"/>
      <c r="R989" s="20"/>
      <c r="S989" s="20"/>
      <c r="T989" s="20"/>
      <c r="U989" s="20"/>
      <c r="V989" s="20"/>
    </row>
    <row r="990" ht="13.5" customHeight="1" spans="1:22">
      <c r="A990" s="20"/>
      <c r="B990" s="20"/>
      <c r="C990" s="20"/>
      <c r="D990" s="20"/>
      <c r="E990" s="20"/>
      <c r="F990" s="20"/>
      <c r="G990" s="20"/>
      <c r="H990" s="20"/>
      <c r="I990" s="20"/>
      <c r="J990" s="20"/>
      <c r="K990" s="20"/>
      <c r="L990" s="20"/>
      <c r="M990" s="20"/>
      <c r="N990" s="20"/>
      <c r="O990" s="20"/>
      <c r="P990" s="20"/>
      <c r="Q990" s="20"/>
      <c r="R990" s="20"/>
      <c r="S990" s="20"/>
      <c r="T990" s="20"/>
      <c r="U990" s="20"/>
      <c r="V990" s="20"/>
    </row>
    <row r="991" ht="13.5" customHeight="1" spans="1:22">
      <c r="A991" s="20"/>
      <c r="B991" s="20"/>
      <c r="C991" s="20"/>
      <c r="D991" s="20"/>
      <c r="E991" s="20"/>
      <c r="F991" s="20"/>
      <c r="G991" s="20"/>
      <c r="H991" s="20"/>
      <c r="I991" s="20"/>
      <c r="J991" s="20"/>
      <c r="K991" s="20"/>
      <c r="L991" s="20"/>
      <c r="M991" s="20"/>
      <c r="N991" s="20"/>
      <c r="O991" s="20"/>
      <c r="P991" s="20"/>
      <c r="Q991" s="20"/>
      <c r="R991" s="20"/>
      <c r="S991" s="20"/>
      <c r="T991" s="20"/>
      <c r="U991" s="20"/>
      <c r="V991" s="20"/>
    </row>
    <row r="992" ht="13.5" customHeight="1" spans="1:22">
      <c r="A992" s="20"/>
      <c r="B992" s="20"/>
      <c r="C992" s="20"/>
      <c r="D992" s="20"/>
      <c r="E992" s="20"/>
      <c r="F992" s="20"/>
      <c r="G992" s="20"/>
      <c r="H992" s="20"/>
      <c r="I992" s="20"/>
      <c r="J992" s="20"/>
      <c r="K992" s="20"/>
      <c r="L992" s="20"/>
      <c r="M992" s="20"/>
      <c r="N992" s="20"/>
      <c r="O992" s="20"/>
      <c r="P992" s="20"/>
      <c r="Q992" s="20"/>
      <c r="R992" s="20"/>
      <c r="S992" s="20"/>
      <c r="T992" s="20"/>
      <c r="U992" s="20"/>
      <c r="V992" s="20"/>
    </row>
    <row r="993" ht="13.5" customHeight="1" spans="1:22">
      <c r="A993" s="20"/>
      <c r="B993" s="20"/>
      <c r="C993" s="20"/>
      <c r="D993" s="20"/>
      <c r="E993" s="20"/>
      <c r="F993" s="20"/>
      <c r="G993" s="20"/>
      <c r="H993" s="20"/>
      <c r="I993" s="20"/>
      <c r="J993" s="20"/>
      <c r="K993" s="20"/>
      <c r="L993" s="20"/>
      <c r="M993" s="20"/>
      <c r="N993" s="20"/>
      <c r="O993" s="20"/>
      <c r="P993" s="20"/>
      <c r="Q993" s="20"/>
      <c r="R993" s="20"/>
      <c r="S993" s="20"/>
      <c r="T993" s="20"/>
      <c r="U993" s="20"/>
      <c r="V993" s="20"/>
    </row>
    <row r="994" ht="13.5" customHeight="1" spans="1:22">
      <c r="A994" s="20"/>
      <c r="B994" s="20"/>
      <c r="C994" s="20"/>
      <c r="D994" s="20"/>
      <c r="E994" s="20"/>
      <c r="F994" s="20"/>
      <c r="G994" s="20"/>
      <c r="H994" s="20"/>
      <c r="I994" s="20"/>
      <c r="J994" s="20"/>
      <c r="K994" s="20"/>
      <c r="L994" s="20"/>
      <c r="M994" s="20"/>
      <c r="N994" s="20"/>
      <c r="O994" s="20"/>
      <c r="P994" s="20"/>
      <c r="Q994" s="20"/>
      <c r="R994" s="20"/>
      <c r="S994" s="20"/>
      <c r="T994" s="20"/>
      <c r="U994" s="20"/>
      <c r="V994" s="20"/>
    </row>
    <row r="995" ht="13.5" customHeight="1" spans="1:22">
      <c r="A995" s="20"/>
      <c r="B995" s="20"/>
      <c r="C995" s="20"/>
      <c r="D995" s="20"/>
      <c r="E995" s="20"/>
      <c r="F995" s="20"/>
      <c r="G995" s="20"/>
      <c r="H995" s="20"/>
      <c r="I995" s="20"/>
      <c r="J995" s="20"/>
      <c r="K995" s="20"/>
      <c r="L995" s="20"/>
      <c r="M995" s="20"/>
      <c r="N995" s="20"/>
      <c r="O995" s="20"/>
      <c r="P995" s="20"/>
      <c r="Q995" s="20"/>
      <c r="R995" s="20"/>
      <c r="S995" s="20"/>
      <c r="T995" s="20"/>
      <c r="U995" s="20"/>
      <c r="V995" s="20"/>
    </row>
    <row r="996" ht="13.5" customHeight="1" spans="1:22">
      <c r="A996" s="20"/>
      <c r="B996" s="20"/>
      <c r="C996" s="20"/>
      <c r="D996" s="20"/>
      <c r="E996" s="20"/>
      <c r="F996" s="20"/>
      <c r="G996" s="20"/>
      <c r="H996" s="20"/>
      <c r="I996" s="20"/>
      <c r="J996" s="20"/>
      <c r="K996" s="20"/>
      <c r="L996" s="20"/>
      <c r="M996" s="20"/>
      <c r="N996" s="20"/>
      <c r="O996" s="20"/>
      <c r="P996" s="20"/>
      <c r="Q996" s="20"/>
      <c r="R996" s="20"/>
      <c r="S996" s="20"/>
      <c r="T996" s="20"/>
      <c r="U996" s="20"/>
      <c r="V996" s="20"/>
    </row>
    <row r="997" ht="13.5" customHeight="1" spans="1:22">
      <c r="A997" s="20"/>
      <c r="B997" s="20"/>
      <c r="C997" s="20"/>
      <c r="D997" s="20"/>
      <c r="E997" s="20"/>
      <c r="F997" s="20"/>
      <c r="G997" s="20"/>
      <c r="H997" s="20"/>
      <c r="I997" s="20"/>
      <c r="J997" s="20"/>
      <c r="K997" s="20"/>
      <c r="L997" s="20"/>
      <c r="M997" s="20"/>
      <c r="N997" s="20"/>
      <c r="O997" s="20"/>
      <c r="P997" s="20"/>
      <c r="Q997" s="20"/>
      <c r="R997" s="20"/>
      <c r="S997" s="20"/>
      <c r="T997" s="20"/>
      <c r="U997" s="20"/>
      <c r="V997" s="20"/>
    </row>
    <row r="998" ht="13.5" customHeight="1" spans="1:22">
      <c r="A998" s="20"/>
      <c r="B998" s="20"/>
      <c r="C998" s="20"/>
      <c r="D998" s="20"/>
      <c r="E998" s="20"/>
      <c r="F998" s="20"/>
      <c r="G998" s="20"/>
      <c r="H998" s="20"/>
      <c r="I998" s="20"/>
      <c r="J998" s="20"/>
      <c r="K998" s="20"/>
      <c r="L998" s="20"/>
      <c r="M998" s="20"/>
      <c r="N998" s="20"/>
      <c r="O998" s="20"/>
      <c r="P998" s="20"/>
      <c r="Q998" s="20"/>
      <c r="R998" s="20"/>
      <c r="S998" s="20"/>
      <c r="T998" s="20"/>
      <c r="U998" s="20"/>
      <c r="V998" s="20"/>
    </row>
    <row r="999" ht="13.5" customHeight="1" spans="1:22">
      <c r="A999" s="20"/>
      <c r="B999" s="20"/>
      <c r="C999" s="20"/>
      <c r="D999" s="20"/>
      <c r="E999" s="20"/>
      <c r="F999" s="20"/>
      <c r="G999" s="20"/>
      <c r="H999" s="20"/>
      <c r="I999" s="20"/>
      <c r="J999" s="20"/>
      <c r="K999" s="20"/>
      <c r="L999" s="20"/>
      <c r="M999" s="20"/>
      <c r="N999" s="20"/>
      <c r="O999" s="20"/>
      <c r="P999" s="20"/>
      <c r="Q999" s="20"/>
      <c r="R999" s="20"/>
      <c r="S999" s="20"/>
      <c r="T999" s="20"/>
      <c r="U999" s="20"/>
      <c r="V999" s="20"/>
    </row>
    <row r="1000" ht="13.5" customHeight="1" spans="1:22">
      <c r="A1000" s="20"/>
      <c r="B1000" s="20"/>
      <c r="C1000" s="20"/>
      <c r="D1000" s="20"/>
      <c r="E1000" s="20"/>
      <c r="F1000" s="20"/>
      <c r="G1000" s="20"/>
      <c r="H1000" s="20"/>
      <c r="I1000" s="20"/>
      <c r="J1000" s="20"/>
      <c r="K1000" s="20"/>
      <c r="L1000" s="20"/>
      <c r="M1000" s="20"/>
      <c r="N1000" s="20"/>
      <c r="O1000" s="20"/>
      <c r="P1000" s="20"/>
      <c r="Q1000" s="20"/>
      <c r="R1000" s="20"/>
      <c r="S1000" s="20"/>
      <c r="T1000" s="20"/>
      <c r="U1000" s="20"/>
      <c r="V1000" s="20"/>
    </row>
  </sheetData>
  <autoFilter ref="B8:F58">
    <extLst/>
  </autoFilter>
  <pageMargins left="0.7" right="0.7" top="0.75" bottom="0.75" header="0" footer="0"/>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9"/>
  </sheetPr>
  <dimension ref="A1:Z1000"/>
  <sheetViews>
    <sheetView showGridLines="0" workbookViewId="0">
      <selection activeCell="A1" sqref="A1"/>
    </sheetView>
  </sheetViews>
  <sheetFormatPr defaultColWidth="14.4285714285714" defaultRowHeight="15" customHeight="1"/>
  <cols>
    <col min="1" max="1" width="3.42857142857143" customWidth="1"/>
    <col min="2" max="26" width="9.14285714285714" customWidth="1"/>
  </cols>
  <sheetData>
    <row r="1" ht="13.5" customHeight="1" spans="1:26">
      <c r="A1" s="96" t="s">
        <v>1098</v>
      </c>
      <c r="B1" s="20"/>
      <c r="C1" s="20"/>
      <c r="D1" s="20"/>
      <c r="E1" s="20"/>
      <c r="F1" s="20"/>
      <c r="G1" s="20"/>
      <c r="H1" s="20"/>
      <c r="I1" s="20"/>
      <c r="J1" s="20"/>
      <c r="K1" s="20"/>
      <c r="L1" s="20"/>
      <c r="M1" s="20"/>
      <c r="N1" s="20"/>
      <c r="O1" s="20"/>
      <c r="P1" s="20"/>
      <c r="Q1" s="20"/>
      <c r="R1" s="20"/>
      <c r="S1" s="20"/>
      <c r="T1" s="20"/>
      <c r="U1" s="20"/>
      <c r="V1" s="20"/>
      <c r="W1" s="20"/>
      <c r="X1" s="20"/>
      <c r="Y1" s="20"/>
      <c r="Z1" s="20"/>
    </row>
    <row r="2" ht="13.5" customHeight="1" spans="1:26">
      <c r="A2" s="20"/>
      <c r="B2" s="113" t="s">
        <v>1099</v>
      </c>
      <c r="C2" s="114"/>
      <c r="D2" s="114"/>
      <c r="E2" s="114"/>
      <c r="F2" s="114"/>
      <c r="G2" s="114"/>
      <c r="H2" s="114"/>
      <c r="I2" s="114"/>
      <c r="J2" s="114"/>
      <c r="K2" s="114"/>
      <c r="L2" s="123"/>
      <c r="M2" s="20"/>
      <c r="N2" s="20"/>
      <c r="O2" s="20"/>
      <c r="P2" s="20"/>
      <c r="Q2" s="20"/>
      <c r="R2" s="20"/>
      <c r="S2" s="20"/>
      <c r="T2" s="20"/>
      <c r="U2" s="20"/>
      <c r="V2" s="20"/>
      <c r="W2" s="20"/>
      <c r="X2" s="20"/>
      <c r="Y2" s="20"/>
      <c r="Z2" s="20"/>
    </row>
    <row r="3" ht="13.5" customHeight="1" spans="1:26">
      <c r="A3" s="20"/>
      <c r="B3" s="115" t="s">
        <v>1100</v>
      </c>
      <c r="C3" s="116"/>
      <c r="D3" s="116"/>
      <c r="E3" s="116"/>
      <c r="F3" s="116"/>
      <c r="G3" s="116"/>
      <c r="H3" s="116"/>
      <c r="I3" s="116"/>
      <c r="J3" s="116"/>
      <c r="K3" s="116"/>
      <c r="L3" s="124"/>
      <c r="M3" s="20"/>
      <c r="N3" s="20"/>
      <c r="O3" s="20"/>
      <c r="P3" s="20"/>
      <c r="Q3" s="20"/>
      <c r="R3" s="20"/>
      <c r="S3" s="20"/>
      <c r="T3" s="20"/>
      <c r="U3" s="20"/>
      <c r="V3" s="20"/>
      <c r="W3" s="20"/>
      <c r="X3" s="20"/>
      <c r="Y3" s="20"/>
      <c r="Z3" s="20"/>
    </row>
    <row r="4" ht="13.5" customHeight="1" spans="1:26">
      <c r="A4" s="20"/>
      <c r="B4" s="117" t="s">
        <v>1101</v>
      </c>
      <c r="C4" s="118"/>
      <c r="D4" s="118"/>
      <c r="E4" s="118"/>
      <c r="F4" s="118"/>
      <c r="G4" s="118"/>
      <c r="H4" s="118"/>
      <c r="I4" s="118"/>
      <c r="J4" s="118"/>
      <c r="K4" s="118"/>
      <c r="L4" s="125"/>
      <c r="M4" s="20"/>
      <c r="N4" s="20"/>
      <c r="O4" s="20"/>
      <c r="P4" s="20"/>
      <c r="Q4" s="20"/>
      <c r="R4" s="20"/>
      <c r="S4" s="20"/>
      <c r="T4" s="20"/>
      <c r="U4" s="20"/>
      <c r="V4" s="20"/>
      <c r="W4" s="20"/>
      <c r="X4" s="20"/>
      <c r="Y4" s="20"/>
      <c r="Z4" s="20"/>
    </row>
    <row r="5" ht="13.5" customHeight="1" spans="1:26">
      <c r="A5" s="20"/>
      <c r="B5" s="20"/>
      <c r="C5" s="20"/>
      <c r="D5" s="20"/>
      <c r="E5" s="20"/>
      <c r="F5" s="20"/>
      <c r="G5" s="20"/>
      <c r="H5" s="20"/>
      <c r="I5" s="20"/>
      <c r="J5" s="20"/>
      <c r="K5" s="20"/>
      <c r="L5" s="20"/>
      <c r="M5" s="20"/>
      <c r="N5" s="20"/>
      <c r="O5" s="20"/>
      <c r="P5" s="20"/>
      <c r="Q5" s="20"/>
      <c r="R5" s="20"/>
      <c r="S5" s="20"/>
      <c r="T5" s="20"/>
      <c r="U5" s="20"/>
      <c r="V5" s="20"/>
      <c r="W5" s="20"/>
      <c r="X5" s="20"/>
      <c r="Y5" s="20"/>
      <c r="Z5" s="20"/>
    </row>
    <row r="6" ht="13.5" customHeight="1" spans="1:26">
      <c r="A6" s="20"/>
      <c r="B6" s="113" t="s">
        <v>1102</v>
      </c>
      <c r="C6" s="114"/>
      <c r="D6" s="114"/>
      <c r="E6" s="114"/>
      <c r="F6" s="114"/>
      <c r="G6" s="114"/>
      <c r="H6" s="114"/>
      <c r="I6" s="114"/>
      <c r="J6" s="114"/>
      <c r="K6" s="114"/>
      <c r="L6" s="123"/>
      <c r="M6" s="20"/>
      <c r="N6" s="20"/>
      <c r="O6" s="20"/>
      <c r="P6" s="20"/>
      <c r="Q6" s="20"/>
      <c r="R6" s="20"/>
      <c r="S6" s="20"/>
      <c r="T6" s="20"/>
      <c r="U6" s="20"/>
      <c r="V6" s="20"/>
      <c r="W6" s="20"/>
      <c r="X6" s="20"/>
      <c r="Y6" s="20"/>
      <c r="Z6" s="20"/>
    </row>
    <row r="7" ht="13.5" customHeight="1" spans="1:26">
      <c r="A7" s="20"/>
      <c r="B7" s="117" t="s">
        <v>1103</v>
      </c>
      <c r="C7" s="118"/>
      <c r="D7" s="118"/>
      <c r="E7" s="118"/>
      <c r="F7" s="118"/>
      <c r="G7" s="118"/>
      <c r="H7" s="118"/>
      <c r="I7" s="118"/>
      <c r="J7" s="118"/>
      <c r="K7" s="118"/>
      <c r="L7" s="125"/>
      <c r="M7" s="20"/>
      <c r="N7" s="20"/>
      <c r="O7" s="20"/>
      <c r="P7" s="20"/>
      <c r="Q7" s="20"/>
      <c r="R7" s="20"/>
      <c r="S7" s="20"/>
      <c r="T7" s="20"/>
      <c r="U7" s="20"/>
      <c r="V7" s="20"/>
      <c r="W7" s="20"/>
      <c r="X7" s="20"/>
      <c r="Y7" s="20"/>
      <c r="Z7" s="20"/>
    </row>
    <row r="8" ht="13.5" customHeight="1" spans="1:26">
      <c r="A8" s="20"/>
      <c r="B8" s="20"/>
      <c r="C8" s="20"/>
      <c r="D8" s="20"/>
      <c r="E8" s="20"/>
      <c r="F8" s="20"/>
      <c r="G8" s="20"/>
      <c r="H8" s="20"/>
      <c r="I8" s="20"/>
      <c r="J8" s="20"/>
      <c r="K8" s="20"/>
      <c r="L8" s="20"/>
      <c r="M8" s="20"/>
      <c r="N8" s="20"/>
      <c r="O8" s="20"/>
      <c r="P8" s="20"/>
      <c r="Q8" s="20"/>
      <c r="R8" s="20"/>
      <c r="S8" s="20"/>
      <c r="T8" s="20"/>
      <c r="U8" s="20"/>
      <c r="V8" s="20"/>
      <c r="W8" s="20"/>
      <c r="X8" s="20"/>
      <c r="Y8" s="20"/>
      <c r="Z8" s="20"/>
    </row>
    <row r="9" ht="13.5" customHeight="1" spans="1:26">
      <c r="A9" s="20"/>
      <c r="B9" s="119" t="s">
        <v>1104</v>
      </c>
      <c r="C9" s="20"/>
      <c r="D9" s="63" t="s">
        <v>1105</v>
      </c>
      <c r="E9" s="63"/>
      <c r="F9" s="120">
        <v>10</v>
      </c>
      <c r="G9" s="20"/>
      <c r="H9" s="20"/>
      <c r="I9" s="20"/>
      <c r="J9" s="20"/>
      <c r="K9" s="20"/>
      <c r="L9" s="20"/>
      <c r="M9" s="20"/>
      <c r="N9" s="20"/>
      <c r="O9" s="20"/>
      <c r="P9" s="20"/>
      <c r="Q9" s="20"/>
      <c r="R9" s="20"/>
      <c r="S9" s="20"/>
      <c r="T9" s="20"/>
      <c r="U9" s="20"/>
      <c r="V9" s="20"/>
      <c r="W9" s="20"/>
      <c r="X9" s="20"/>
      <c r="Y9" s="20"/>
      <c r="Z9" s="20"/>
    </row>
    <row r="10" ht="13.5" customHeight="1" spans="1:26">
      <c r="A10" s="20"/>
      <c r="B10" s="63">
        <v>68</v>
      </c>
      <c r="C10" s="20"/>
      <c r="D10" s="63" t="s">
        <v>1106</v>
      </c>
      <c r="E10" s="63"/>
      <c r="F10" s="120">
        <v>24</v>
      </c>
      <c r="G10" s="20"/>
      <c r="H10" s="20"/>
      <c r="I10" s="20"/>
      <c r="J10" s="20"/>
      <c r="K10" s="20"/>
      <c r="L10" s="20"/>
      <c r="M10" s="20"/>
      <c r="N10" s="20"/>
      <c r="O10" s="20"/>
      <c r="P10" s="20"/>
      <c r="Q10" s="20"/>
      <c r="R10" s="20"/>
      <c r="S10" s="20"/>
      <c r="T10" s="20"/>
      <c r="U10" s="20"/>
      <c r="V10" s="20"/>
      <c r="W10" s="20"/>
      <c r="X10" s="20"/>
      <c r="Y10" s="20"/>
      <c r="Z10" s="20"/>
    </row>
    <row r="11" ht="13.5" customHeight="1" spans="1:26">
      <c r="A11" s="20"/>
      <c r="B11" s="63">
        <v>85</v>
      </c>
      <c r="C11" s="20"/>
      <c r="D11" s="20"/>
      <c r="E11" s="20"/>
      <c r="F11" s="20"/>
      <c r="G11" s="20"/>
      <c r="H11" s="20"/>
      <c r="I11" s="20"/>
      <c r="J11" s="20"/>
      <c r="K11" s="20"/>
      <c r="L11" s="20"/>
      <c r="M11" s="20"/>
      <c r="N11" s="20"/>
      <c r="O11" s="20"/>
      <c r="P11" s="20"/>
      <c r="Q11" s="20"/>
      <c r="R11" s="20"/>
      <c r="S11" s="20"/>
      <c r="T11" s="20"/>
      <c r="U11" s="20"/>
      <c r="V11" s="20"/>
      <c r="W11" s="20"/>
      <c r="X11" s="20"/>
      <c r="Y11" s="20"/>
      <c r="Z11" s="20"/>
    </row>
    <row r="12" ht="13.5" customHeight="1" spans="1:26">
      <c r="A12" s="20"/>
      <c r="B12" s="63">
        <v>61</v>
      </c>
      <c r="C12" s="20"/>
      <c r="D12" s="121" t="s">
        <v>1107</v>
      </c>
      <c r="E12" s="20">
        <f>SUM(B10:B24)</f>
        <v>1117</v>
      </c>
      <c r="F12" s="20"/>
      <c r="G12" s="20"/>
      <c r="H12" s="20"/>
      <c r="I12" s="20"/>
      <c r="J12" s="20"/>
      <c r="K12" s="20"/>
      <c r="L12" s="20"/>
      <c r="M12" s="20"/>
      <c r="N12" s="20"/>
      <c r="O12" s="20"/>
      <c r="P12" s="20"/>
      <c r="Q12" s="20"/>
      <c r="R12" s="20"/>
      <c r="S12" s="20"/>
      <c r="T12" s="20"/>
      <c r="U12" s="20"/>
      <c r="V12" s="20"/>
      <c r="W12" s="20"/>
      <c r="X12" s="20"/>
      <c r="Y12" s="20"/>
      <c r="Z12" s="20"/>
    </row>
    <row r="13" ht="13.5" customHeight="1" spans="1:26">
      <c r="A13" s="20"/>
      <c r="B13" s="63">
        <v>90</v>
      </c>
      <c r="C13" s="20"/>
      <c r="D13" s="20"/>
      <c r="F13" s="20"/>
      <c r="G13" s="20"/>
      <c r="H13" s="20"/>
      <c r="I13" s="20"/>
      <c r="J13" s="20"/>
      <c r="K13" s="20"/>
      <c r="L13" s="20"/>
      <c r="M13" s="20"/>
      <c r="N13" s="20"/>
      <c r="O13" s="20"/>
      <c r="P13" s="20"/>
      <c r="Q13" s="20"/>
      <c r="R13" s="20"/>
      <c r="S13" s="20"/>
      <c r="T13" s="20"/>
      <c r="U13" s="20"/>
      <c r="V13" s="20"/>
      <c r="W13" s="20"/>
      <c r="X13" s="20"/>
      <c r="Y13" s="20"/>
      <c r="Z13" s="20"/>
    </row>
    <row r="14" ht="13.5" customHeight="1" spans="1:26">
      <c r="A14" s="20"/>
      <c r="B14" s="63">
        <v>99</v>
      </c>
      <c r="C14" s="20"/>
      <c r="D14" s="20"/>
      <c r="E14" s="20"/>
      <c r="F14" s="20"/>
      <c r="G14" s="20"/>
      <c r="H14" s="20"/>
      <c r="I14" s="20"/>
      <c r="J14" s="20"/>
      <c r="K14" s="20"/>
      <c r="L14" s="20"/>
      <c r="M14" s="20"/>
      <c r="N14" s="20"/>
      <c r="O14" s="20"/>
      <c r="P14" s="20"/>
      <c r="Q14" s="20"/>
      <c r="R14" s="20"/>
      <c r="S14" s="20"/>
      <c r="T14" s="20"/>
      <c r="U14" s="20"/>
      <c r="V14" s="20"/>
      <c r="W14" s="20"/>
      <c r="X14" s="20"/>
      <c r="Y14" s="20"/>
      <c r="Z14" s="20"/>
    </row>
    <row r="15" ht="13.5" customHeight="1" spans="1:26">
      <c r="A15" s="20"/>
      <c r="B15" s="63">
        <v>55</v>
      </c>
      <c r="C15" s="20"/>
      <c r="D15" s="20"/>
      <c r="E15" s="20"/>
      <c r="F15" s="20"/>
      <c r="G15" s="20"/>
      <c r="H15" s="20"/>
      <c r="I15" s="20"/>
      <c r="J15" s="20"/>
      <c r="K15" s="20"/>
      <c r="L15" s="20"/>
      <c r="M15" s="20"/>
      <c r="N15" s="20"/>
      <c r="O15" s="20"/>
      <c r="P15" s="20"/>
      <c r="Q15" s="20"/>
      <c r="R15" s="20"/>
      <c r="S15" s="20"/>
      <c r="T15" s="20"/>
      <c r="U15" s="20"/>
      <c r="V15" s="20"/>
      <c r="W15" s="20"/>
      <c r="X15" s="20"/>
      <c r="Y15" s="20"/>
      <c r="Z15" s="20"/>
    </row>
    <row r="16" ht="13.5" customHeight="1" spans="1:26">
      <c r="A16" s="20"/>
      <c r="B16" s="63">
        <v>98</v>
      </c>
      <c r="C16" s="20"/>
      <c r="D16" s="20"/>
      <c r="E16" s="20"/>
      <c r="F16" s="20"/>
      <c r="G16" s="20"/>
      <c r="H16" s="20"/>
      <c r="I16" s="20"/>
      <c r="J16" s="20"/>
      <c r="K16" s="20"/>
      <c r="L16" s="20"/>
      <c r="M16" s="20"/>
      <c r="N16" s="20"/>
      <c r="O16" s="20"/>
      <c r="P16" s="20"/>
      <c r="Q16" s="20"/>
      <c r="R16" s="20"/>
      <c r="S16" s="20"/>
      <c r="T16" s="20"/>
      <c r="U16" s="20"/>
      <c r="V16" s="20"/>
      <c r="W16" s="20"/>
      <c r="X16" s="20"/>
      <c r="Y16" s="20"/>
      <c r="Z16" s="20"/>
    </row>
    <row r="17" ht="13.5" customHeight="1" spans="1:26">
      <c r="A17" s="20"/>
      <c r="B17" s="63">
        <v>80</v>
      </c>
      <c r="C17" s="20"/>
      <c r="D17" s="20"/>
      <c r="E17" s="20"/>
      <c r="F17" s="20"/>
      <c r="G17" s="20"/>
      <c r="H17" s="20"/>
      <c r="I17" s="20"/>
      <c r="J17" s="20"/>
      <c r="K17" s="20"/>
      <c r="L17" s="20"/>
      <c r="M17" s="20"/>
      <c r="N17" s="20"/>
      <c r="O17" s="20"/>
      <c r="P17" s="20"/>
      <c r="Q17" s="20"/>
      <c r="R17" s="20"/>
      <c r="S17" s="20"/>
      <c r="T17" s="20"/>
      <c r="U17" s="20"/>
      <c r="V17" s="20"/>
      <c r="W17" s="20"/>
      <c r="X17" s="20"/>
      <c r="Y17" s="20"/>
      <c r="Z17" s="20"/>
    </row>
    <row r="18" ht="13.5" customHeight="1" spans="1:26">
      <c r="A18" s="20"/>
      <c r="B18" s="63">
        <v>73</v>
      </c>
      <c r="C18" s="20"/>
      <c r="D18" s="20"/>
      <c r="E18" s="20"/>
      <c r="F18" s="20"/>
      <c r="G18" s="20"/>
      <c r="H18" s="20"/>
      <c r="I18" s="20"/>
      <c r="J18" s="20"/>
      <c r="K18" s="20"/>
      <c r="L18" s="20"/>
      <c r="M18" s="20"/>
      <c r="N18" s="20"/>
      <c r="O18" s="20"/>
      <c r="P18" s="20"/>
      <c r="Q18" s="20"/>
      <c r="R18" s="20"/>
      <c r="S18" s="20"/>
      <c r="T18" s="20"/>
      <c r="U18" s="20"/>
      <c r="V18" s="20"/>
      <c r="W18" s="20"/>
      <c r="X18" s="20"/>
      <c r="Y18" s="20"/>
      <c r="Z18" s="20"/>
    </row>
    <row r="19" ht="13.5" customHeight="1" spans="1:26">
      <c r="A19" s="20"/>
      <c r="B19" s="63">
        <v>55</v>
      </c>
      <c r="C19" s="20"/>
      <c r="D19" s="20"/>
      <c r="E19" s="20"/>
      <c r="F19" s="20"/>
      <c r="G19" s="20"/>
      <c r="H19" s="20"/>
      <c r="I19" s="20"/>
      <c r="J19" s="20"/>
      <c r="K19" s="20"/>
      <c r="L19" s="20"/>
      <c r="M19" s="20"/>
      <c r="N19" s="20"/>
      <c r="O19" s="20"/>
      <c r="P19" s="20"/>
      <c r="Q19" s="20"/>
      <c r="R19" s="20"/>
      <c r="S19" s="20"/>
      <c r="T19" s="20"/>
      <c r="U19" s="20"/>
      <c r="V19" s="20"/>
      <c r="W19" s="20"/>
      <c r="X19" s="20"/>
      <c r="Y19" s="20"/>
      <c r="Z19" s="20"/>
    </row>
    <row r="20" ht="13.5" customHeight="1" spans="1:26">
      <c r="A20" s="20"/>
      <c r="B20" s="63">
        <v>77</v>
      </c>
      <c r="C20" s="20"/>
      <c r="D20" s="20"/>
      <c r="E20" s="20"/>
      <c r="F20" s="20"/>
      <c r="G20" s="20"/>
      <c r="H20" s="20"/>
      <c r="I20" s="20"/>
      <c r="J20" s="20"/>
      <c r="K20" s="20"/>
      <c r="L20" s="20"/>
      <c r="M20" s="20"/>
      <c r="N20" s="20"/>
      <c r="O20" s="20"/>
      <c r="P20" s="20"/>
      <c r="Q20" s="20"/>
      <c r="R20" s="20"/>
      <c r="S20" s="20"/>
      <c r="T20" s="20"/>
      <c r="U20" s="20"/>
      <c r="V20" s="20"/>
      <c r="W20" s="20"/>
      <c r="X20" s="20"/>
      <c r="Y20" s="20"/>
      <c r="Z20" s="20"/>
    </row>
    <row r="21" ht="13.5" customHeight="1" spans="1:26">
      <c r="A21" s="20"/>
      <c r="B21" s="63">
        <v>66</v>
      </c>
      <c r="C21" s="20"/>
      <c r="D21" s="20"/>
      <c r="E21" s="20"/>
      <c r="F21" s="20"/>
      <c r="G21" s="20"/>
      <c r="H21" s="20"/>
      <c r="I21" s="20"/>
      <c r="J21" s="20"/>
      <c r="K21" s="20"/>
      <c r="L21" s="20"/>
      <c r="M21" s="20"/>
      <c r="N21" s="20"/>
      <c r="O21" s="20"/>
      <c r="P21" s="20"/>
      <c r="Q21" s="20"/>
      <c r="R21" s="20"/>
      <c r="S21" s="20"/>
      <c r="T21" s="20"/>
      <c r="U21" s="20"/>
      <c r="V21" s="20"/>
      <c r="W21" s="20"/>
      <c r="X21" s="20"/>
      <c r="Y21" s="20"/>
      <c r="Z21" s="20"/>
    </row>
    <row r="22" ht="13.5" customHeight="1" spans="1:26">
      <c r="A22" s="20"/>
      <c r="B22" s="63">
        <v>69</v>
      </c>
      <c r="C22" s="20"/>
      <c r="D22" s="20"/>
      <c r="E22" s="20"/>
      <c r="F22" s="20"/>
      <c r="G22" s="20"/>
      <c r="H22" s="20"/>
      <c r="I22" s="20"/>
      <c r="J22" s="20"/>
      <c r="K22" s="20"/>
      <c r="L22" s="20"/>
      <c r="M22" s="20"/>
      <c r="N22" s="20"/>
      <c r="O22" s="20"/>
      <c r="P22" s="20"/>
      <c r="Q22" s="20"/>
      <c r="R22" s="20"/>
      <c r="S22" s="20"/>
      <c r="T22" s="20"/>
      <c r="U22" s="20"/>
      <c r="V22" s="20"/>
      <c r="W22" s="20"/>
      <c r="X22" s="20"/>
      <c r="Y22" s="20"/>
      <c r="Z22" s="20"/>
    </row>
    <row r="23" ht="13.5" customHeight="1" spans="1:26">
      <c r="A23" s="20"/>
      <c r="B23" s="63">
        <v>87</v>
      </c>
      <c r="C23" s="20"/>
      <c r="D23" s="20"/>
      <c r="E23" s="20"/>
      <c r="F23" s="20"/>
      <c r="G23" s="20"/>
      <c r="H23" s="20"/>
      <c r="I23" s="20"/>
      <c r="J23" s="20"/>
      <c r="K23" s="20"/>
      <c r="L23" s="20"/>
      <c r="M23" s="20"/>
      <c r="N23" s="20"/>
      <c r="O23" s="20"/>
      <c r="P23" s="20"/>
      <c r="Q23" s="20"/>
      <c r="R23" s="20"/>
      <c r="S23" s="20"/>
      <c r="T23" s="20"/>
      <c r="U23" s="20"/>
      <c r="V23" s="20"/>
      <c r="W23" s="20"/>
      <c r="X23" s="20"/>
      <c r="Y23" s="20"/>
      <c r="Z23" s="20"/>
    </row>
    <row r="24" ht="13.5" customHeight="1" spans="1:26">
      <c r="A24" s="20"/>
      <c r="B24" s="63">
        <v>54</v>
      </c>
      <c r="C24" s="20"/>
      <c r="D24" s="20"/>
      <c r="E24" s="20"/>
      <c r="F24" s="20"/>
      <c r="G24" s="20"/>
      <c r="H24" s="20"/>
      <c r="I24" s="20"/>
      <c r="J24" s="20"/>
      <c r="K24" s="20"/>
      <c r="L24" s="20"/>
      <c r="M24" s="20"/>
      <c r="N24" s="20"/>
      <c r="O24" s="20"/>
      <c r="P24" s="20"/>
      <c r="Q24" s="20"/>
      <c r="R24" s="20"/>
      <c r="S24" s="20"/>
      <c r="T24" s="20"/>
      <c r="U24" s="20"/>
      <c r="V24" s="20"/>
      <c r="W24" s="20"/>
      <c r="X24" s="20"/>
      <c r="Y24" s="20"/>
      <c r="Z24" s="20"/>
    </row>
    <row r="25" ht="13.5" customHeight="1" spans="1:26">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row>
    <row r="26" ht="13.5" customHeight="1" spans="1:26">
      <c r="A26" s="20"/>
      <c r="B26" s="122">
        <f ca="1">SUM(INDIRECT("B"&amp;$F$9&amp;":B"&amp;$F$10))</f>
        <v>1117</v>
      </c>
      <c r="C26" s="20"/>
      <c r="D26" s="20"/>
      <c r="E26" s="20"/>
      <c r="F26" s="20"/>
      <c r="G26" s="20"/>
      <c r="H26" s="20"/>
      <c r="I26" s="20"/>
      <c r="J26" s="20"/>
      <c r="K26" s="20"/>
      <c r="L26" s="20"/>
      <c r="M26" s="20"/>
      <c r="N26" s="20"/>
      <c r="O26" s="20"/>
      <c r="P26" s="20"/>
      <c r="Q26" s="20"/>
      <c r="R26" s="20"/>
      <c r="S26" s="20"/>
      <c r="T26" s="20"/>
      <c r="U26" s="20"/>
      <c r="V26" s="20"/>
      <c r="W26" s="20"/>
      <c r="X26" s="20"/>
      <c r="Y26" s="20"/>
      <c r="Z26" s="20"/>
    </row>
    <row r="27" ht="13.5" customHeight="1" spans="1:26">
      <c r="A27" s="20"/>
      <c r="C27" s="20"/>
      <c r="D27" s="20"/>
      <c r="E27" s="20"/>
      <c r="F27" s="20"/>
      <c r="G27" s="20"/>
      <c r="H27" s="20"/>
      <c r="I27" s="20"/>
      <c r="J27" s="20"/>
      <c r="K27" s="20"/>
      <c r="L27" s="20"/>
      <c r="M27" s="20"/>
      <c r="N27" s="20"/>
      <c r="O27" s="20"/>
      <c r="P27" s="20"/>
      <c r="Q27" s="20"/>
      <c r="R27" s="20"/>
      <c r="S27" s="20"/>
      <c r="T27" s="20"/>
      <c r="U27" s="20"/>
      <c r="V27" s="20"/>
      <c r="W27" s="20"/>
      <c r="X27" s="20"/>
      <c r="Y27" s="20"/>
      <c r="Z27" s="20"/>
    </row>
    <row r="28" ht="13.5" customHeight="1" spans="1:26">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row>
    <row r="29" ht="13.5" customHeight="1" spans="1:26">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row>
    <row r="30" ht="13.5" customHeight="1" spans="1:26">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row>
    <row r="31" ht="13.5" customHeight="1" spans="1:26">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row>
    <row r="32" ht="13.5" customHeight="1" spans="1:26">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row>
    <row r="33" ht="13.5" customHeight="1" spans="1:26">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row>
    <row r="34" ht="13.5" customHeight="1" spans="1:26">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row>
    <row r="35" ht="13.5" customHeight="1" spans="1:26">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row>
    <row r="36" ht="13.5" customHeight="1" spans="1:26">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row>
    <row r="37" ht="13.5" customHeight="1" spans="1:26">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row>
    <row r="38" ht="13.5" customHeight="1" spans="1:26">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row>
    <row r="39" ht="13.5" customHeight="1" spans="1:26">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row>
    <row r="40" ht="13.5" customHeight="1" spans="1:26">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row>
    <row r="41" ht="13.5" customHeight="1" spans="1:26">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row>
    <row r="42" ht="13.5" customHeight="1" spans="1:26">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row>
    <row r="43" ht="13.5" customHeight="1" spans="1:26">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row>
    <row r="44" ht="13.5" customHeight="1" spans="1:26">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row>
    <row r="45" ht="13.5" customHeight="1" spans="1:26">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row>
    <row r="46" ht="13.5" customHeight="1" spans="1:26">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row>
    <row r="47" ht="13.5" customHeight="1" spans="1:26">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row>
    <row r="48" ht="13.5" customHeight="1" spans="1:26">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row>
    <row r="49" ht="13.5" customHeight="1" spans="1:26">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row>
    <row r="50" ht="13.5" customHeight="1" spans="1:26">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row>
    <row r="51" ht="13.5" customHeight="1" spans="1:26">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row>
    <row r="52" ht="13.5" customHeight="1" spans="1:26">
      <c r="A52" s="20"/>
      <c r="B52" s="20"/>
      <c r="C52" s="20"/>
      <c r="D52" s="20"/>
      <c r="E52" s="20"/>
      <c r="F52" s="20"/>
      <c r="G52" s="20"/>
      <c r="H52" s="20"/>
      <c r="I52" s="20"/>
      <c r="J52" s="20"/>
      <c r="K52" s="20"/>
      <c r="L52" s="20"/>
      <c r="M52" s="20"/>
      <c r="N52" s="20"/>
      <c r="O52" s="20"/>
      <c r="P52" s="20"/>
      <c r="Q52" s="20"/>
      <c r="R52" s="20"/>
      <c r="S52" s="20"/>
      <c r="T52" s="20"/>
      <c r="U52" s="20"/>
      <c r="V52" s="20"/>
      <c r="W52" s="20"/>
      <c r="X52" s="20"/>
      <c r="Y52" s="20"/>
      <c r="Z52" s="20"/>
    </row>
    <row r="53" ht="13.5" customHeight="1" spans="1:26">
      <c r="A53" s="20"/>
      <c r="B53" s="20"/>
      <c r="C53" s="20"/>
      <c r="D53" s="20"/>
      <c r="E53" s="20"/>
      <c r="F53" s="20"/>
      <c r="G53" s="20"/>
      <c r="H53" s="20"/>
      <c r="I53" s="20"/>
      <c r="J53" s="20"/>
      <c r="K53" s="20"/>
      <c r="L53" s="20"/>
      <c r="M53" s="20"/>
      <c r="N53" s="20"/>
      <c r="O53" s="20"/>
      <c r="P53" s="20"/>
      <c r="Q53" s="20"/>
      <c r="R53" s="20"/>
      <c r="S53" s="20"/>
      <c r="T53" s="20"/>
      <c r="U53" s="20"/>
      <c r="V53" s="20"/>
      <c r="W53" s="20"/>
      <c r="X53" s="20"/>
      <c r="Y53" s="20"/>
      <c r="Z53" s="20"/>
    </row>
    <row r="54" ht="13.5" customHeight="1" spans="1:26">
      <c r="A54" s="20"/>
      <c r="B54" s="20"/>
      <c r="C54" s="20"/>
      <c r="D54" s="20"/>
      <c r="E54" s="20"/>
      <c r="F54" s="20"/>
      <c r="G54" s="20"/>
      <c r="H54" s="20"/>
      <c r="I54" s="20"/>
      <c r="J54" s="20"/>
      <c r="K54" s="20"/>
      <c r="L54" s="20"/>
      <c r="M54" s="20"/>
      <c r="N54" s="20"/>
      <c r="O54" s="20"/>
      <c r="P54" s="20"/>
      <c r="Q54" s="20"/>
      <c r="R54" s="20"/>
      <c r="S54" s="20"/>
      <c r="T54" s="20"/>
      <c r="U54" s="20"/>
      <c r="V54" s="20"/>
      <c r="W54" s="20"/>
      <c r="X54" s="20"/>
      <c r="Y54" s="20"/>
      <c r="Z54" s="20"/>
    </row>
    <row r="55" ht="13.5" customHeight="1" spans="1:26">
      <c r="A55" s="20"/>
      <c r="B55" s="20"/>
      <c r="C55" s="20"/>
      <c r="D55" s="20"/>
      <c r="E55" s="20"/>
      <c r="F55" s="20"/>
      <c r="G55" s="20"/>
      <c r="H55" s="20"/>
      <c r="I55" s="20"/>
      <c r="J55" s="20"/>
      <c r="K55" s="20"/>
      <c r="L55" s="20"/>
      <c r="M55" s="20"/>
      <c r="N55" s="20"/>
      <c r="O55" s="20"/>
      <c r="P55" s="20"/>
      <c r="Q55" s="20"/>
      <c r="R55" s="20"/>
      <c r="S55" s="20"/>
      <c r="T55" s="20"/>
      <c r="U55" s="20"/>
      <c r="V55" s="20"/>
      <c r="W55" s="20"/>
      <c r="X55" s="20"/>
      <c r="Y55" s="20"/>
      <c r="Z55" s="20"/>
    </row>
    <row r="56" ht="13.5" customHeight="1" spans="1:26">
      <c r="A56" s="20"/>
      <c r="B56" s="20"/>
      <c r="C56" s="20"/>
      <c r="D56" s="20"/>
      <c r="E56" s="20"/>
      <c r="F56" s="20"/>
      <c r="G56" s="20"/>
      <c r="H56" s="20"/>
      <c r="I56" s="20"/>
      <c r="J56" s="20"/>
      <c r="K56" s="20"/>
      <c r="L56" s="20"/>
      <c r="M56" s="20"/>
      <c r="N56" s="20"/>
      <c r="O56" s="20"/>
      <c r="P56" s="20"/>
      <c r="Q56" s="20"/>
      <c r="R56" s="20"/>
      <c r="S56" s="20"/>
      <c r="T56" s="20"/>
      <c r="U56" s="20"/>
      <c r="V56" s="20"/>
      <c r="W56" s="20"/>
      <c r="X56" s="20"/>
      <c r="Y56" s="20"/>
      <c r="Z56" s="20"/>
    </row>
    <row r="57" ht="13.5" customHeight="1" spans="1:26">
      <c r="A57" s="20"/>
      <c r="B57" s="20"/>
      <c r="C57" s="20"/>
      <c r="D57" s="20"/>
      <c r="E57" s="20"/>
      <c r="F57" s="20"/>
      <c r="G57" s="20"/>
      <c r="H57" s="20"/>
      <c r="I57" s="20"/>
      <c r="J57" s="20"/>
      <c r="K57" s="20"/>
      <c r="L57" s="20"/>
      <c r="M57" s="20"/>
      <c r="N57" s="20"/>
      <c r="O57" s="20"/>
      <c r="P57" s="20"/>
      <c r="Q57" s="20"/>
      <c r="R57" s="20"/>
      <c r="S57" s="20"/>
      <c r="T57" s="20"/>
      <c r="U57" s="20"/>
      <c r="V57" s="20"/>
      <c r="W57" s="20"/>
      <c r="X57" s="20"/>
      <c r="Y57" s="20"/>
      <c r="Z57" s="20"/>
    </row>
    <row r="58" ht="13.5" customHeight="1" spans="1:26">
      <c r="A58" s="20"/>
      <c r="B58" s="20"/>
      <c r="C58" s="20"/>
      <c r="D58" s="20"/>
      <c r="E58" s="20"/>
      <c r="F58" s="20"/>
      <c r="G58" s="20"/>
      <c r="H58" s="20"/>
      <c r="I58" s="20"/>
      <c r="J58" s="20"/>
      <c r="K58" s="20"/>
      <c r="L58" s="20"/>
      <c r="M58" s="20"/>
      <c r="N58" s="20"/>
      <c r="O58" s="20"/>
      <c r="P58" s="20"/>
      <c r="Q58" s="20"/>
      <c r="R58" s="20"/>
      <c r="S58" s="20"/>
      <c r="T58" s="20"/>
      <c r="U58" s="20"/>
      <c r="V58" s="20"/>
      <c r="W58" s="20"/>
      <c r="X58" s="20"/>
      <c r="Y58" s="20"/>
      <c r="Z58" s="20"/>
    </row>
    <row r="59" ht="13.5" customHeight="1" spans="1:26">
      <c r="A59" s="20"/>
      <c r="B59" s="20"/>
      <c r="C59" s="20"/>
      <c r="D59" s="20"/>
      <c r="E59" s="20"/>
      <c r="F59" s="20"/>
      <c r="G59" s="20"/>
      <c r="H59" s="20"/>
      <c r="I59" s="20"/>
      <c r="J59" s="20"/>
      <c r="K59" s="20"/>
      <c r="L59" s="20"/>
      <c r="M59" s="20"/>
      <c r="N59" s="20"/>
      <c r="O59" s="20"/>
      <c r="P59" s="20"/>
      <c r="Q59" s="20"/>
      <c r="R59" s="20"/>
      <c r="S59" s="20"/>
      <c r="T59" s="20"/>
      <c r="U59" s="20"/>
      <c r="V59" s="20"/>
      <c r="W59" s="20"/>
      <c r="X59" s="20"/>
      <c r="Y59" s="20"/>
      <c r="Z59" s="20"/>
    </row>
    <row r="60" ht="13.5" customHeight="1" spans="1:26">
      <c r="A60" s="20"/>
      <c r="B60" s="20"/>
      <c r="C60" s="20"/>
      <c r="D60" s="20"/>
      <c r="E60" s="20"/>
      <c r="F60" s="20"/>
      <c r="G60" s="20"/>
      <c r="H60" s="20"/>
      <c r="I60" s="20"/>
      <c r="J60" s="20"/>
      <c r="K60" s="20"/>
      <c r="L60" s="20"/>
      <c r="M60" s="20"/>
      <c r="N60" s="20"/>
      <c r="O60" s="20"/>
      <c r="P60" s="20"/>
      <c r="Q60" s="20"/>
      <c r="R60" s="20"/>
      <c r="S60" s="20"/>
      <c r="T60" s="20"/>
      <c r="U60" s="20"/>
      <c r="V60" s="20"/>
      <c r="W60" s="20"/>
      <c r="X60" s="20"/>
      <c r="Y60" s="20"/>
      <c r="Z60" s="20"/>
    </row>
    <row r="61" ht="13.5" customHeight="1" spans="1:26">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row>
    <row r="62" ht="13.5" customHeight="1" spans="1:26">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row>
    <row r="63" ht="13.5" customHeight="1" spans="1:26">
      <c r="A63" s="20"/>
      <c r="B63" s="20"/>
      <c r="C63" s="20"/>
      <c r="D63" s="20"/>
      <c r="E63" s="20"/>
      <c r="F63" s="20"/>
      <c r="G63" s="20"/>
      <c r="H63" s="20"/>
      <c r="I63" s="20"/>
      <c r="J63" s="20"/>
      <c r="K63" s="20"/>
      <c r="L63" s="20"/>
      <c r="M63" s="20"/>
      <c r="N63" s="20"/>
      <c r="O63" s="20"/>
      <c r="P63" s="20"/>
      <c r="Q63" s="20"/>
      <c r="R63" s="20"/>
      <c r="S63" s="20"/>
      <c r="T63" s="20"/>
      <c r="U63" s="20"/>
      <c r="V63" s="20"/>
      <c r="W63" s="20"/>
      <c r="X63" s="20"/>
      <c r="Y63" s="20"/>
      <c r="Z63" s="20"/>
    </row>
    <row r="64" ht="13.5" customHeight="1" spans="1:26">
      <c r="A64" s="20"/>
      <c r="B64" s="20"/>
      <c r="C64" s="20"/>
      <c r="D64" s="20"/>
      <c r="E64" s="20"/>
      <c r="F64" s="20"/>
      <c r="G64" s="20"/>
      <c r="H64" s="20"/>
      <c r="I64" s="20"/>
      <c r="J64" s="20"/>
      <c r="K64" s="20"/>
      <c r="L64" s="20"/>
      <c r="M64" s="20"/>
      <c r="N64" s="20"/>
      <c r="O64" s="20"/>
      <c r="P64" s="20"/>
      <c r="Q64" s="20"/>
      <c r="R64" s="20"/>
      <c r="S64" s="20"/>
      <c r="T64" s="20"/>
      <c r="U64" s="20"/>
      <c r="V64" s="20"/>
      <c r="W64" s="20"/>
      <c r="X64" s="20"/>
      <c r="Y64" s="20"/>
      <c r="Z64" s="20"/>
    </row>
    <row r="65" ht="13.5" customHeight="1" spans="1:26">
      <c r="A65" s="20"/>
      <c r="B65" s="20"/>
      <c r="C65" s="20"/>
      <c r="D65" s="20"/>
      <c r="E65" s="20"/>
      <c r="F65" s="20"/>
      <c r="G65" s="20"/>
      <c r="H65" s="20"/>
      <c r="I65" s="20"/>
      <c r="J65" s="20"/>
      <c r="K65" s="20"/>
      <c r="L65" s="20"/>
      <c r="M65" s="20"/>
      <c r="N65" s="20"/>
      <c r="O65" s="20"/>
      <c r="P65" s="20"/>
      <c r="Q65" s="20"/>
      <c r="R65" s="20"/>
      <c r="S65" s="20"/>
      <c r="T65" s="20"/>
      <c r="U65" s="20"/>
      <c r="V65" s="20"/>
      <c r="W65" s="20"/>
      <c r="X65" s="20"/>
      <c r="Y65" s="20"/>
      <c r="Z65" s="20"/>
    </row>
    <row r="66" ht="13.5" customHeight="1" spans="1:26">
      <c r="A66" s="20"/>
      <c r="B66" s="20"/>
      <c r="C66" s="20"/>
      <c r="D66" s="20"/>
      <c r="E66" s="20"/>
      <c r="F66" s="20"/>
      <c r="G66" s="20"/>
      <c r="H66" s="20"/>
      <c r="I66" s="20"/>
      <c r="J66" s="20"/>
      <c r="K66" s="20"/>
      <c r="L66" s="20"/>
      <c r="M66" s="20"/>
      <c r="N66" s="20"/>
      <c r="O66" s="20"/>
      <c r="P66" s="20"/>
      <c r="Q66" s="20"/>
      <c r="R66" s="20"/>
      <c r="S66" s="20"/>
      <c r="T66" s="20"/>
      <c r="U66" s="20"/>
      <c r="V66" s="20"/>
      <c r="W66" s="20"/>
      <c r="X66" s="20"/>
      <c r="Y66" s="20"/>
      <c r="Z66" s="20"/>
    </row>
    <row r="67" ht="13.5" customHeight="1" spans="1:26">
      <c r="A67" s="20"/>
      <c r="B67" s="20"/>
      <c r="C67" s="20"/>
      <c r="D67" s="20"/>
      <c r="E67" s="20"/>
      <c r="F67" s="20"/>
      <c r="G67" s="20"/>
      <c r="H67" s="20"/>
      <c r="I67" s="20"/>
      <c r="J67" s="20"/>
      <c r="K67" s="20"/>
      <c r="L67" s="20"/>
      <c r="M67" s="20"/>
      <c r="N67" s="20"/>
      <c r="O67" s="20"/>
      <c r="P67" s="20"/>
      <c r="Q67" s="20"/>
      <c r="R67" s="20"/>
      <c r="S67" s="20"/>
      <c r="T67" s="20"/>
      <c r="U67" s="20"/>
      <c r="V67" s="20"/>
      <c r="W67" s="20"/>
      <c r="X67" s="20"/>
      <c r="Y67" s="20"/>
      <c r="Z67" s="20"/>
    </row>
    <row r="68" ht="13.5" customHeight="1" spans="1:26">
      <c r="A68" s="20"/>
      <c r="B68" s="20"/>
      <c r="C68" s="20"/>
      <c r="D68" s="20"/>
      <c r="E68" s="20"/>
      <c r="F68" s="20"/>
      <c r="G68" s="20"/>
      <c r="H68" s="20"/>
      <c r="I68" s="20"/>
      <c r="J68" s="20"/>
      <c r="K68" s="20"/>
      <c r="L68" s="20"/>
      <c r="M68" s="20"/>
      <c r="N68" s="20"/>
      <c r="O68" s="20"/>
      <c r="P68" s="20"/>
      <c r="Q68" s="20"/>
      <c r="R68" s="20"/>
      <c r="S68" s="20"/>
      <c r="T68" s="20"/>
      <c r="U68" s="20"/>
      <c r="V68" s="20"/>
      <c r="W68" s="20"/>
      <c r="X68" s="20"/>
      <c r="Y68" s="20"/>
      <c r="Z68" s="20"/>
    </row>
    <row r="69" ht="13.5" customHeight="1" spans="1:26">
      <c r="A69" s="20"/>
      <c r="B69" s="20"/>
      <c r="C69" s="20"/>
      <c r="D69" s="20"/>
      <c r="E69" s="20"/>
      <c r="F69" s="20"/>
      <c r="G69" s="20"/>
      <c r="H69" s="20"/>
      <c r="I69" s="20"/>
      <c r="J69" s="20"/>
      <c r="K69" s="20"/>
      <c r="L69" s="20"/>
      <c r="M69" s="20"/>
      <c r="N69" s="20"/>
      <c r="O69" s="20"/>
      <c r="P69" s="20"/>
      <c r="Q69" s="20"/>
      <c r="R69" s="20"/>
      <c r="S69" s="20"/>
      <c r="T69" s="20"/>
      <c r="U69" s="20"/>
      <c r="V69" s="20"/>
      <c r="W69" s="20"/>
      <c r="X69" s="20"/>
      <c r="Y69" s="20"/>
      <c r="Z69" s="20"/>
    </row>
    <row r="70" ht="13.5" customHeight="1" spans="1:26">
      <c r="A70" s="20"/>
      <c r="B70" s="20"/>
      <c r="C70" s="20"/>
      <c r="D70" s="20"/>
      <c r="E70" s="20"/>
      <c r="F70" s="20"/>
      <c r="G70" s="20"/>
      <c r="H70" s="20"/>
      <c r="I70" s="20"/>
      <c r="J70" s="20"/>
      <c r="K70" s="20"/>
      <c r="L70" s="20"/>
      <c r="M70" s="20"/>
      <c r="N70" s="20"/>
      <c r="O70" s="20"/>
      <c r="P70" s="20"/>
      <c r="Q70" s="20"/>
      <c r="R70" s="20"/>
      <c r="S70" s="20"/>
      <c r="T70" s="20"/>
      <c r="U70" s="20"/>
      <c r="V70" s="20"/>
      <c r="W70" s="20"/>
      <c r="X70" s="20"/>
      <c r="Y70" s="20"/>
      <c r="Z70" s="20"/>
    </row>
    <row r="71" ht="13.5" customHeight="1" spans="1:26">
      <c r="A71" s="20"/>
      <c r="B71" s="20"/>
      <c r="C71" s="20"/>
      <c r="D71" s="20"/>
      <c r="E71" s="20"/>
      <c r="F71" s="20"/>
      <c r="G71" s="20"/>
      <c r="H71" s="20"/>
      <c r="I71" s="20"/>
      <c r="J71" s="20"/>
      <c r="K71" s="20"/>
      <c r="L71" s="20"/>
      <c r="M71" s="20"/>
      <c r="N71" s="20"/>
      <c r="O71" s="20"/>
      <c r="P71" s="20"/>
      <c r="Q71" s="20"/>
      <c r="R71" s="20"/>
      <c r="S71" s="20"/>
      <c r="T71" s="20"/>
      <c r="U71" s="20"/>
      <c r="V71" s="20"/>
      <c r="W71" s="20"/>
      <c r="X71" s="20"/>
      <c r="Y71" s="20"/>
      <c r="Z71" s="20"/>
    </row>
    <row r="72" ht="13.5" customHeight="1" spans="1:26">
      <c r="A72" s="20"/>
      <c r="B72" s="20"/>
      <c r="C72" s="20"/>
      <c r="D72" s="20"/>
      <c r="E72" s="20"/>
      <c r="F72" s="20"/>
      <c r="G72" s="20"/>
      <c r="H72" s="20"/>
      <c r="I72" s="20"/>
      <c r="J72" s="20"/>
      <c r="K72" s="20"/>
      <c r="L72" s="20"/>
      <c r="M72" s="20"/>
      <c r="N72" s="20"/>
      <c r="O72" s="20"/>
      <c r="P72" s="20"/>
      <c r="Q72" s="20"/>
      <c r="R72" s="20"/>
      <c r="S72" s="20"/>
      <c r="T72" s="20"/>
      <c r="U72" s="20"/>
      <c r="V72" s="20"/>
      <c r="W72" s="20"/>
      <c r="X72" s="20"/>
      <c r="Y72" s="20"/>
      <c r="Z72" s="20"/>
    </row>
    <row r="73" ht="13.5" customHeight="1" spans="1:26">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ht="13.5" customHeight="1" spans="1:26">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ht="13.5" customHeight="1" spans="1:26">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row>
    <row r="76" ht="13.5" customHeight="1" spans="1:26">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row>
    <row r="77" ht="13.5" customHeight="1" spans="1:26">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row>
    <row r="78" ht="13.5" customHeight="1" spans="1:26">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row>
    <row r="79" ht="13.5" customHeight="1" spans="1:26">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row>
    <row r="80" ht="13.5" customHeight="1" spans="1:26">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row>
    <row r="81" ht="13.5" customHeight="1" spans="1:26">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row>
    <row r="82" ht="13.5" customHeight="1" spans="1:26">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row>
    <row r="83" ht="13.5" customHeight="1" spans="1:26">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row>
    <row r="84" ht="13.5" customHeight="1" spans="1:26">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row>
    <row r="85" ht="13.5" customHeight="1" spans="1:26">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row>
    <row r="86" ht="13.5" customHeight="1" spans="1:26">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row>
    <row r="87" ht="13.5" customHeight="1" spans="1:26">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row>
    <row r="88" ht="13.5" customHeight="1" spans="1:26">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row>
    <row r="89" ht="13.5" customHeight="1" spans="1:26">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row>
    <row r="90" ht="13.5" customHeight="1" spans="1:26">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row>
    <row r="91" ht="13.5" customHeight="1" spans="1:26">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row>
    <row r="92" ht="13.5" customHeight="1" spans="1:26">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row>
    <row r="93" ht="13.5" customHeight="1" spans="1:26">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row>
    <row r="94" ht="13.5" customHeight="1" spans="1:26">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row>
    <row r="95" ht="13.5" customHeight="1" spans="1:26">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row>
    <row r="96" ht="13.5" customHeight="1" spans="1:26">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row>
    <row r="97" ht="13.5" customHeight="1" spans="1:26">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row>
    <row r="98" ht="13.5" customHeight="1" spans="1:26">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row>
    <row r="99" ht="13.5" customHeight="1" spans="1:26">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row>
    <row r="100" ht="13.5" customHeight="1" spans="1:26">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row>
    <row r="101" ht="13.5" customHeight="1" spans="1:26">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row>
    <row r="102" ht="13.5" customHeight="1" spans="1:26">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row>
    <row r="103" ht="13.5" customHeight="1" spans="1:26">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row>
    <row r="104" ht="13.5" customHeight="1" spans="1:26">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row>
    <row r="105" ht="13.5" customHeight="1" spans="1:26">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row>
    <row r="106" ht="13.5" customHeight="1" spans="1:26">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row>
    <row r="107" ht="13.5" customHeight="1" spans="1:26">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row>
    <row r="108" ht="13.5" customHeight="1" spans="1:26">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row>
    <row r="109" ht="13.5" customHeight="1" spans="1:26">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row>
    <row r="110" ht="13.5" customHeight="1" spans="1:26">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row>
    <row r="111" ht="13.5" customHeight="1" spans="1:26">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row>
    <row r="112" ht="13.5" customHeight="1" spans="1:26">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row>
    <row r="113" ht="13.5" customHeight="1" spans="1:26">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row>
    <row r="114" ht="13.5" customHeight="1" spans="1:26">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row>
    <row r="115" ht="13.5" customHeight="1" spans="1:26">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row>
    <row r="116" ht="13.5" customHeight="1" spans="1:26">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row>
    <row r="117" ht="13.5" customHeight="1" spans="1:26">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row>
    <row r="118" ht="13.5" customHeight="1" spans="1:26">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row>
    <row r="119" ht="13.5" customHeight="1" spans="1:26">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row>
    <row r="120" ht="13.5" customHeight="1" spans="1:26">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row>
    <row r="121" ht="13.5" customHeight="1" spans="1:26">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row>
    <row r="122" ht="13.5" customHeight="1" spans="1:26">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row>
    <row r="123" ht="13.5" customHeight="1" spans="1:26">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row>
    <row r="124" ht="13.5" customHeight="1" spans="1:26">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row>
    <row r="125" ht="13.5" customHeight="1" spans="1:26">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row>
    <row r="126" ht="13.5" customHeight="1" spans="1:26">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row>
    <row r="127" ht="13.5" customHeight="1" spans="1:26">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row>
    <row r="128" ht="13.5" customHeight="1" spans="1:26">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row>
    <row r="129" ht="13.5" customHeight="1" spans="1:26">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row>
    <row r="130" ht="13.5" customHeight="1" spans="1:26">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row>
    <row r="131" ht="13.5" customHeight="1" spans="1:26">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row>
    <row r="132" ht="13.5" customHeight="1" spans="1:26">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row>
    <row r="133" ht="13.5" customHeight="1" spans="1:26">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row>
    <row r="134" ht="13.5" customHeight="1" spans="1:26">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row>
    <row r="135" ht="13.5" customHeight="1" spans="1:26">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row>
    <row r="136" ht="13.5" customHeight="1" spans="1:26">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row>
    <row r="137" ht="13.5" customHeight="1" spans="1:26">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row>
    <row r="138" ht="13.5" customHeight="1" spans="1:26">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row>
    <row r="139" ht="13.5" customHeight="1" spans="1:26">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row>
    <row r="140" ht="13.5" customHeight="1" spans="1:26">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row>
    <row r="141" ht="13.5" customHeight="1" spans="1:26">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row>
    <row r="142" ht="13.5" customHeight="1" spans="1:26">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row>
    <row r="143" ht="13.5" customHeight="1" spans="1:26">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row>
    <row r="144" ht="13.5" customHeight="1" spans="1:26">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row>
    <row r="145" ht="13.5" customHeight="1" spans="1:26">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row>
    <row r="146" ht="13.5" customHeight="1" spans="1:26">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row>
    <row r="147" ht="13.5" customHeight="1" spans="1:26">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row>
    <row r="148" ht="13.5" customHeight="1" spans="1:26">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row>
    <row r="149" ht="13.5" customHeight="1" spans="1:26">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row>
    <row r="150" ht="13.5" customHeight="1" spans="1:26">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row>
    <row r="151" ht="13.5" customHeight="1" spans="1:26">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row>
    <row r="152" ht="13.5" customHeight="1" spans="1:26">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row>
    <row r="153" ht="13.5" customHeight="1" spans="1:26">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row>
    <row r="154" ht="13.5" customHeight="1" spans="1:26">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row>
    <row r="155" ht="13.5" customHeight="1" spans="1:26">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row>
    <row r="156" ht="13.5" customHeight="1" spans="1:26">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row>
    <row r="157" ht="13.5" customHeight="1" spans="1:26">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row>
    <row r="158" ht="13.5" customHeight="1" spans="1:26">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row>
    <row r="159" ht="13.5" customHeight="1" spans="1:26">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row>
    <row r="160" ht="13.5" customHeight="1" spans="1:26">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row>
    <row r="161" ht="13.5" customHeight="1" spans="1:26">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row>
    <row r="162" ht="13.5" customHeight="1" spans="1:26">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row>
    <row r="163" ht="13.5" customHeight="1" spans="1:26">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row>
    <row r="164" ht="13.5" customHeight="1" spans="1:26">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row r="165" ht="13.5" customHeight="1" spans="1:26">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row>
    <row r="166" ht="13.5" customHeight="1" spans="1:26">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row>
    <row r="167" ht="13.5" customHeight="1" spans="1:26">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row>
    <row r="168" ht="13.5" customHeight="1" spans="1:26">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row>
    <row r="169" ht="13.5" customHeight="1" spans="1:26">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row>
    <row r="170" ht="13.5" customHeight="1" spans="1:26">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row>
    <row r="171" ht="13.5" customHeight="1" spans="1:26">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row>
    <row r="172" ht="13.5" customHeight="1" spans="1:26">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row>
    <row r="173" ht="13.5" customHeight="1" spans="1:26">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row>
    <row r="174" ht="13.5" customHeight="1" spans="1:26">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row>
    <row r="175" ht="13.5" customHeight="1" spans="1:26">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row>
    <row r="176" ht="13.5" customHeight="1" spans="1:26">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row>
    <row r="177" ht="13.5" customHeight="1" spans="1:26">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row>
    <row r="178" ht="13.5" customHeight="1" spans="1:26">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row>
    <row r="179" ht="13.5" customHeight="1" spans="1:26">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row>
    <row r="180" ht="13.5" customHeight="1" spans="1:26">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row>
    <row r="181" ht="13.5" customHeight="1" spans="1:26">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row>
    <row r="182" ht="13.5" customHeight="1" spans="1:26">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row>
    <row r="183" ht="13.5" customHeight="1" spans="1:26">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row>
    <row r="184" ht="13.5" customHeight="1" spans="1:26">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row>
    <row r="185" ht="13.5" customHeight="1" spans="1:26">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row>
    <row r="186" ht="13.5" customHeight="1" spans="1:26">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row>
    <row r="187" ht="13.5" customHeight="1" spans="1:26">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row>
    <row r="188" ht="13.5" customHeight="1" spans="1:26">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row>
    <row r="189" ht="13.5" customHeight="1" spans="1:26">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row>
    <row r="190" ht="13.5" customHeight="1" spans="1:26">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row>
    <row r="191" ht="13.5" customHeight="1" spans="1:26">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row>
    <row r="192" ht="13.5" customHeight="1" spans="1:26">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row>
    <row r="193" ht="13.5" customHeight="1" spans="1:26">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row>
    <row r="194" ht="13.5" customHeight="1" spans="1:26">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row>
    <row r="195" ht="13.5" customHeight="1" spans="1:26">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row>
    <row r="196" ht="13.5" customHeight="1" spans="1:26">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row>
    <row r="197" ht="13.5" customHeight="1" spans="1:26">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row>
    <row r="198" ht="13.5" customHeight="1" spans="1:26">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row>
    <row r="199" ht="13.5" customHeight="1" spans="1:26">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row>
    <row r="200" ht="13.5" customHeight="1" spans="1:26">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row>
    <row r="201" ht="13.5" customHeight="1" spans="1:26">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row>
    <row r="202" ht="13.5" customHeight="1" spans="1:26">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row>
    <row r="203" ht="13.5" customHeight="1" spans="1:26">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row>
    <row r="204" ht="13.5" customHeight="1" spans="1:26">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row>
    <row r="205" ht="13.5" customHeight="1" spans="1:26">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row>
    <row r="206" ht="13.5" customHeight="1" spans="1:26">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row>
    <row r="207" ht="13.5" customHeight="1" spans="1:26">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row>
    <row r="208" ht="13.5" customHeight="1" spans="1:26">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row>
    <row r="209" ht="13.5" customHeight="1" spans="1:26">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row>
    <row r="210" ht="13.5" customHeight="1" spans="1:26">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row>
    <row r="211" ht="13.5" customHeight="1" spans="1:26">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row>
    <row r="212" ht="13.5" customHeight="1" spans="1:26">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row>
    <row r="213" ht="13.5" customHeight="1" spans="1:26">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row>
    <row r="214" ht="13.5" customHeight="1" spans="1:26">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row>
    <row r="215" ht="13.5" customHeight="1" spans="1:26">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row>
    <row r="216" ht="13.5" customHeight="1" spans="1:26">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row>
    <row r="217" ht="13.5" customHeight="1" spans="1:26">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row>
    <row r="218" ht="13.5" customHeight="1" spans="1:26">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row>
    <row r="219" ht="13.5" customHeight="1" spans="1:26">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row>
    <row r="220" ht="13.5" customHeight="1" spans="1:26">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row>
    <row r="221" ht="13.5" customHeight="1" spans="1:26">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row>
    <row r="222" ht="13.5" customHeight="1" spans="1:26">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row>
    <row r="223" ht="13.5" customHeight="1" spans="1:26">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row>
    <row r="224" ht="13.5" customHeight="1" spans="1:26">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row>
    <row r="225" ht="13.5" customHeight="1" spans="1:26">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row>
    <row r="226" ht="13.5" customHeight="1" spans="1:26">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row>
    <row r="227" ht="13.5" customHeight="1" spans="1:26">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row>
    <row r="228" ht="13.5" customHeight="1" spans="1:26">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row>
    <row r="229" ht="13.5" customHeight="1" spans="1:26">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row>
    <row r="230" ht="13.5" customHeight="1" spans="1:26">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row>
    <row r="231" ht="13.5" customHeight="1" spans="1:26">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row>
    <row r="232" ht="13.5" customHeight="1" spans="1:26">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row>
    <row r="233" ht="13.5" customHeight="1" spans="1:26">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row>
    <row r="234" ht="13.5" customHeight="1" spans="1:26">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row>
    <row r="235" ht="13.5" customHeight="1" spans="1:26">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row>
    <row r="236" ht="13.5" customHeight="1" spans="1:26">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row>
    <row r="237" ht="13.5" customHeight="1" spans="1:26">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row>
    <row r="238" ht="13.5" customHeight="1" spans="1:26">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row>
    <row r="239" ht="13.5" customHeight="1" spans="1:26">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row>
    <row r="240" ht="13.5" customHeight="1" spans="1:26">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row>
    <row r="241" ht="13.5" customHeight="1" spans="1:26">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row>
    <row r="242" ht="13.5" customHeight="1" spans="1:26">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row>
    <row r="243" ht="13.5" customHeight="1" spans="1:26">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row>
    <row r="244" ht="13.5" customHeight="1" spans="1:26">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row>
    <row r="245" ht="13.5" customHeight="1" spans="1:26">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row>
    <row r="246" ht="13.5" customHeight="1" spans="1:26">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row>
    <row r="247" ht="13.5" customHeight="1" spans="1:26">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row>
    <row r="248" ht="13.5" customHeight="1" spans="1:26">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row>
    <row r="249" ht="13.5" customHeight="1" spans="1:26">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row>
    <row r="250" ht="13.5" customHeight="1" spans="1:26">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row>
    <row r="251" ht="13.5" customHeight="1" spans="1:26">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row>
    <row r="252" ht="13.5" customHeight="1" spans="1:26">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row>
    <row r="253" ht="13.5" customHeight="1" spans="1:26">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row>
    <row r="254" ht="13.5" customHeight="1" spans="1:26">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row>
    <row r="255" ht="13.5" customHeight="1" spans="1:26">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row>
    <row r="256" ht="13.5" customHeight="1" spans="1:26">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row>
    <row r="257" ht="13.5" customHeight="1" spans="1:26">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row>
    <row r="258" ht="13.5" customHeight="1" spans="1:26">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row>
    <row r="259" ht="13.5" customHeight="1" spans="1:26">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row>
    <row r="260" ht="13.5" customHeight="1" spans="1:26">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row>
    <row r="261" ht="13.5" customHeight="1" spans="1:26">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row>
    <row r="262" ht="13.5" customHeight="1" spans="1:26">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row>
    <row r="263" ht="13.5" customHeight="1" spans="1:26">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row>
    <row r="264" ht="13.5" customHeight="1" spans="1:26">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row>
    <row r="265" ht="13.5" customHeight="1" spans="1:26">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row>
    <row r="266" ht="13.5" customHeight="1" spans="1:26">
      <c r="A266" s="20"/>
      <c r="B266" s="20"/>
      <c r="C266" s="20"/>
      <c r="D266" s="20"/>
      <c r="E266" s="20"/>
      <c r="F266" s="20"/>
      <c r="G266" s="20"/>
      <c r="H266" s="20"/>
      <c r="I266" s="20"/>
      <c r="J266" s="20"/>
      <c r="K266" s="20"/>
      <c r="L266" s="20"/>
      <c r="M266" s="20"/>
      <c r="N266" s="20"/>
      <c r="O266" s="20"/>
      <c r="P266" s="20"/>
      <c r="Q266" s="20"/>
      <c r="R266" s="20"/>
      <c r="S266" s="20"/>
      <c r="T266" s="20"/>
      <c r="U266" s="20"/>
      <c r="V266" s="20"/>
      <c r="W266" s="20"/>
      <c r="X266" s="20"/>
      <c r="Y266" s="20"/>
      <c r="Z266" s="20"/>
    </row>
    <row r="267" ht="13.5" customHeight="1" spans="1:26">
      <c r="A267" s="20"/>
      <c r="B267" s="20"/>
      <c r="C267" s="20"/>
      <c r="D267" s="20"/>
      <c r="E267" s="20"/>
      <c r="F267" s="20"/>
      <c r="G267" s="20"/>
      <c r="H267" s="20"/>
      <c r="I267" s="20"/>
      <c r="J267" s="20"/>
      <c r="K267" s="20"/>
      <c r="L267" s="20"/>
      <c r="M267" s="20"/>
      <c r="N267" s="20"/>
      <c r="O267" s="20"/>
      <c r="P267" s="20"/>
      <c r="Q267" s="20"/>
      <c r="R267" s="20"/>
      <c r="S267" s="20"/>
      <c r="T267" s="20"/>
      <c r="U267" s="20"/>
      <c r="V267" s="20"/>
      <c r="W267" s="20"/>
      <c r="X267" s="20"/>
      <c r="Y267" s="20"/>
      <c r="Z267" s="20"/>
    </row>
    <row r="268" ht="13.5" customHeight="1" spans="1:26">
      <c r="A268" s="20"/>
      <c r="B268" s="20"/>
      <c r="C268" s="20"/>
      <c r="D268" s="20"/>
      <c r="E268" s="20"/>
      <c r="F268" s="20"/>
      <c r="G268" s="20"/>
      <c r="H268" s="20"/>
      <c r="I268" s="20"/>
      <c r="J268" s="20"/>
      <c r="K268" s="20"/>
      <c r="L268" s="20"/>
      <c r="M268" s="20"/>
      <c r="N268" s="20"/>
      <c r="O268" s="20"/>
      <c r="P268" s="20"/>
      <c r="Q268" s="20"/>
      <c r="R268" s="20"/>
      <c r="S268" s="20"/>
      <c r="T268" s="20"/>
      <c r="U268" s="20"/>
      <c r="V268" s="20"/>
      <c r="W268" s="20"/>
      <c r="X268" s="20"/>
      <c r="Y268" s="20"/>
      <c r="Z268" s="20"/>
    </row>
    <row r="269" ht="13.5" customHeight="1" spans="1:26">
      <c r="A269" s="20"/>
      <c r="B269" s="20"/>
      <c r="C269" s="20"/>
      <c r="D269" s="20"/>
      <c r="E269" s="20"/>
      <c r="F269" s="20"/>
      <c r="G269" s="20"/>
      <c r="H269" s="20"/>
      <c r="I269" s="20"/>
      <c r="J269" s="20"/>
      <c r="K269" s="20"/>
      <c r="L269" s="20"/>
      <c r="M269" s="20"/>
      <c r="N269" s="20"/>
      <c r="O269" s="20"/>
      <c r="P269" s="20"/>
      <c r="Q269" s="20"/>
      <c r="R269" s="20"/>
      <c r="S269" s="20"/>
      <c r="T269" s="20"/>
      <c r="U269" s="20"/>
      <c r="V269" s="20"/>
      <c r="W269" s="20"/>
      <c r="X269" s="20"/>
      <c r="Y269" s="20"/>
      <c r="Z269" s="20"/>
    </row>
    <row r="270" ht="13.5" customHeight="1" spans="1:26">
      <c r="A270" s="20"/>
      <c r="B270" s="20"/>
      <c r="C270" s="20"/>
      <c r="D270" s="20"/>
      <c r="E270" s="20"/>
      <c r="F270" s="20"/>
      <c r="G270" s="20"/>
      <c r="H270" s="20"/>
      <c r="I270" s="20"/>
      <c r="J270" s="20"/>
      <c r="K270" s="20"/>
      <c r="L270" s="20"/>
      <c r="M270" s="20"/>
      <c r="N270" s="20"/>
      <c r="O270" s="20"/>
      <c r="P270" s="20"/>
      <c r="Q270" s="20"/>
      <c r="R270" s="20"/>
      <c r="S270" s="20"/>
      <c r="T270" s="20"/>
      <c r="U270" s="20"/>
      <c r="V270" s="20"/>
      <c r="W270" s="20"/>
      <c r="X270" s="20"/>
      <c r="Y270" s="20"/>
      <c r="Z270" s="20"/>
    </row>
    <row r="271" ht="13.5" customHeight="1" spans="1:26">
      <c r="A271" s="20"/>
      <c r="B271" s="20"/>
      <c r="C271" s="20"/>
      <c r="D271" s="20"/>
      <c r="E271" s="20"/>
      <c r="F271" s="20"/>
      <c r="G271" s="20"/>
      <c r="H271" s="20"/>
      <c r="I271" s="20"/>
      <c r="J271" s="20"/>
      <c r="K271" s="20"/>
      <c r="L271" s="20"/>
      <c r="M271" s="20"/>
      <c r="N271" s="20"/>
      <c r="O271" s="20"/>
      <c r="P271" s="20"/>
      <c r="Q271" s="20"/>
      <c r="R271" s="20"/>
      <c r="S271" s="20"/>
      <c r="T271" s="20"/>
      <c r="U271" s="20"/>
      <c r="V271" s="20"/>
      <c r="W271" s="20"/>
      <c r="X271" s="20"/>
      <c r="Y271" s="20"/>
      <c r="Z271" s="20"/>
    </row>
    <row r="272" ht="13.5" customHeight="1" spans="1:26">
      <c r="A272" s="20"/>
      <c r="B272" s="20"/>
      <c r="C272" s="20"/>
      <c r="D272" s="20"/>
      <c r="E272" s="20"/>
      <c r="F272" s="20"/>
      <c r="G272" s="20"/>
      <c r="H272" s="20"/>
      <c r="I272" s="20"/>
      <c r="J272" s="20"/>
      <c r="K272" s="20"/>
      <c r="L272" s="20"/>
      <c r="M272" s="20"/>
      <c r="N272" s="20"/>
      <c r="O272" s="20"/>
      <c r="P272" s="20"/>
      <c r="Q272" s="20"/>
      <c r="R272" s="20"/>
      <c r="S272" s="20"/>
      <c r="T272" s="20"/>
      <c r="U272" s="20"/>
      <c r="V272" s="20"/>
      <c r="W272" s="20"/>
      <c r="X272" s="20"/>
      <c r="Y272" s="20"/>
      <c r="Z272" s="20"/>
    </row>
    <row r="273" ht="13.5" customHeight="1" spans="1:26">
      <c r="A273" s="20"/>
      <c r="B273" s="20"/>
      <c r="C273" s="20"/>
      <c r="D273" s="20"/>
      <c r="E273" s="20"/>
      <c r="F273" s="20"/>
      <c r="G273" s="20"/>
      <c r="H273" s="20"/>
      <c r="I273" s="20"/>
      <c r="J273" s="20"/>
      <c r="K273" s="20"/>
      <c r="L273" s="20"/>
      <c r="M273" s="20"/>
      <c r="N273" s="20"/>
      <c r="O273" s="20"/>
      <c r="P273" s="20"/>
      <c r="Q273" s="20"/>
      <c r="R273" s="20"/>
      <c r="S273" s="20"/>
      <c r="T273" s="20"/>
      <c r="U273" s="20"/>
      <c r="V273" s="20"/>
      <c r="W273" s="20"/>
      <c r="X273" s="20"/>
      <c r="Y273" s="20"/>
      <c r="Z273" s="20"/>
    </row>
    <row r="274" ht="13.5" customHeight="1" spans="1:26">
      <c r="A274" s="20"/>
      <c r="B274" s="20"/>
      <c r="C274" s="20"/>
      <c r="D274" s="20"/>
      <c r="E274" s="20"/>
      <c r="F274" s="20"/>
      <c r="G274" s="20"/>
      <c r="H274" s="20"/>
      <c r="I274" s="20"/>
      <c r="J274" s="20"/>
      <c r="K274" s="20"/>
      <c r="L274" s="20"/>
      <c r="M274" s="20"/>
      <c r="N274" s="20"/>
      <c r="O274" s="20"/>
      <c r="P274" s="20"/>
      <c r="Q274" s="20"/>
      <c r="R274" s="20"/>
      <c r="S274" s="20"/>
      <c r="T274" s="20"/>
      <c r="U274" s="20"/>
      <c r="V274" s="20"/>
      <c r="W274" s="20"/>
      <c r="X274" s="20"/>
      <c r="Y274" s="20"/>
      <c r="Z274" s="20"/>
    </row>
    <row r="275" ht="13.5" customHeight="1" spans="1:26">
      <c r="A275" s="20"/>
      <c r="B275" s="20"/>
      <c r="C275" s="20"/>
      <c r="D275" s="20"/>
      <c r="E275" s="20"/>
      <c r="F275" s="20"/>
      <c r="G275" s="20"/>
      <c r="H275" s="20"/>
      <c r="I275" s="20"/>
      <c r="J275" s="20"/>
      <c r="K275" s="20"/>
      <c r="L275" s="20"/>
      <c r="M275" s="20"/>
      <c r="N275" s="20"/>
      <c r="O275" s="20"/>
      <c r="P275" s="20"/>
      <c r="Q275" s="20"/>
      <c r="R275" s="20"/>
      <c r="S275" s="20"/>
      <c r="T275" s="20"/>
      <c r="U275" s="20"/>
      <c r="V275" s="20"/>
      <c r="W275" s="20"/>
      <c r="X275" s="20"/>
      <c r="Y275" s="20"/>
      <c r="Z275" s="20"/>
    </row>
    <row r="276" ht="13.5" customHeight="1" spans="1:26">
      <c r="A276" s="20"/>
      <c r="B276" s="20"/>
      <c r="C276" s="20"/>
      <c r="D276" s="20"/>
      <c r="E276" s="20"/>
      <c r="F276" s="20"/>
      <c r="G276" s="20"/>
      <c r="H276" s="20"/>
      <c r="I276" s="20"/>
      <c r="J276" s="20"/>
      <c r="K276" s="20"/>
      <c r="L276" s="20"/>
      <c r="M276" s="20"/>
      <c r="N276" s="20"/>
      <c r="O276" s="20"/>
      <c r="P276" s="20"/>
      <c r="Q276" s="20"/>
      <c r="R276" s="20"/>
      <c r="S276" s="20"/>
      <c r="T276" s="20"/>
      <c r="U276" s="20"/>
      <c r="V276" s="20"/>
      <c r="W276" s="20"/>
      <c r="X276" s="20"/>
      <c r="Y276" s="20"/>
      <c r="Z276" s="20"/>
    </row>
    <row r="277" ht="13.5" customHeight="1" spans="1:26">
      <c r="A277" s="20"/>
      <c r="B277" s="20"/>
      <c r="C277" s="20"/>
      <c r="D277" s="20"/>
      <c r="E277" s="20"/>
      <c r="F277" s="20"/>
      <c r="G277" s="20"/>
      <c r="H277" s="20"/>
      <c r="I277" s="20"/>
      <c r="J277" s="20"/>
      <c r="K277" s="20"/>
      <c r="L277" s="20"/>
      <c r="M277" s="20"/>
      <c r="N277" s="20"/>
      <c r="O277" s="20"/>
      <c r="P277" s="20"/>
      <c r="Q277" s="20"/>
      <c r="R277" s="20"/>
      <c r="S277" s="20"/>
      <c r="T277" s="20"/>
      <c r="U277" s="20"/>
      <c r="V277" s="20"/>
      <c r="W277" s="20"/>
      <c r="X277" s="20"/>
      <c r="Y277" s="20"/>
      <c r="Z277" s="20"/>
    </row>
    <row r="278" ht="13.5" customHeight="1" spans="1:26">
      <c r="A278" s="20"/>
      <c r="B278" s="20"/>
      <c r="C278" s="20"/>
      <c r="D278" s="20"/>
      <c r="E278" s="20"/>
      <c r="F278" s="20"/>
      <c r="G278" s="20"/>
      <c r="H278" s="20"/>
      <c r="I278" s="20"/>
      <c r="J278" s="20"/>
      <c r="K278" s="20"/>
      <c r="L278" s="20"/>
      <c r="M278" s="20"/>
      <c r="N278" s="20"/>
      <c r="O278" s="20"/>
      <c r="P278" s="20"/>
      <c r="Q278" s="20"/>
      <c r="R278" s="20"/>
      <c r="S278" s="20"/>
      <c r="T278" s="20"/>
      <c r="U278" s="20"/>
      <c r="V278" s="20"/>
      <c r="W278" s="20"/>
      <c r="X278" s="20"/>
      <c r="Y278" s="20"/>
      <c r="Z278" s="20"/>
    </row>
    <row r="279" ht="13.5" customHeight="1" spans="1:26">
      <c r="A279" s="20"/>
      <c r="B279" s="20"/>
      <c r="C279" s="20"/>
      <c r="D279" s="20"/>
      <c r="E279" s="20"/>
      <c r="F279" s="20"/>
      <c r="G279" s="20"/>
      <c r="H279" s="20"/>
      <c r="I279" s="20"/>
      <c r="J279" s="20"/>
      <c r="K279" s="20"/>
      <c r="L279" s="20"/>
      <c r="M279" s="20"/>
      <c r="N279" s="20"/>
      <c r="O279" s="20"/>
      <c r="P279" s="20"/>
      <c r="Q279" s="20"/>
      <c r="R279" s="20"/>
      <c r="S279" s="20"/>
      <c r="T279" s="20"/>
      <c r="U279" s="20"/>
      <c r="V279" s="20"/>
      <c r="W279" s="20"/>
      <c r="X279" s="20"/>
      <c r="Y279" s="20"/>
      <c r="Z279" s="20"/>
    </row>
    <row r="280" ht="13.5" customHeight="1" spans="1:26">
      <c r="A280" s="20"/>
      <c r="B280" s="20"/>
      <c r="C280" s="20"/>
      <c r="D280" s="20"/>
      <c r="E280" s="20"/>
      <c r="F280" s="20"/>
      <c r="G280" s="20"/>
      <c r="H280" s="20"/>
      <c r="I280" s="20"/>
      <c r="J280" s="20"/>
      <c r="K280" s="20"/>
      <c r="L280" s="20"/>
      <c r="M280" s="20"/>
      <c r="N280" s="20"/>
      <c r="O280" s="20"/>
      <c r="P280" s="20"/>
      <c r="Q280" s="20"/>
      <c r="R280" s="20"/>
      <c r="S280" s="20"/>
      <c r="T280" s="20"/>
      <c r="U280" s="20"/>
      <c r="V280" s="20"/>
      <c r="W280" s="20"/>
      <c r="X280" s="20"/>
      <c r="Y280" s="20"/>
      <c r="Z280" s="20"/>
    </row>
    <row r="281" ht="13.5" customHeight="1" spans="1:26">
      <c r="A281" s="20"/>
      <c r="B281" s="20"/>
      <c r="C281" s="20"/>
      <c r="D281" s="20"/>
      <c r="E281" s="20"/>
      <c r="F281" s="20"/>
      <c r="G281" s="20"/>
      <c r="H281" s="20"/>
      <c r="I281" s="20"/>
      <c r="J281" s="20"/>
      <c r="K281" s="20"/>
      <c r="L281" s="20"/>
      <c r="M281" s="20"/>
      <c r="N281" s="20"/>
      <c r="O281" s="20"/>
      <c r="P281" s="20"/>
      <c r="Q281" s="20"/>
      <c r="R281" s="20"/>
      <c r="S281" s="20"/>
      <c r="T281" s="20"/>
      <c r="U281" s="20"/>
      <c r="V281" s="20"/>
      <c r="W281" s="20"/>
      <c r="X281" s="20"/>
      <c r="Y281" s="20"/>
      <c r="Z281" s="20"/>
    </row>
    <row r="282" ht="13.5" customHeight="1" spans="1:26">
      <c r="A282" s="20"/>
      <c r="B282" s="20"/>
      <c r="C282" s="20"/>
      <c r="D282" s="20"/>
      <c r="E282" s="20"/>
      <c r="F282" s="20"/>
      <c r="G282" s="20"/>
      <c r="H282" s="20"/>
      <c r="I282" s="20"/>
      <c r="J282" s="20"/>
      <c r="K282" s="20"/>
      <c r="L282" s="20"/>
      <c r="M282" s="20"/>
      <c r="N282" s="20"/>
      <c r="O282" s="20"/>
      <c r="P282" s="20"/>
      <c r="Q282" s="20"/>
      <c r="R282" s="20"/>
      <c r="S282" s="20"/>
      <c r="T282" s="20"/>
      <c r="U282" s="20"/>
      <c r="V282" s="20"/>
      <c r="W282" s="20"/>
      <c r="X282" s="20"/>
      <c r="Y282" s="20"/>
      <c r="Z282" s="20"/>
    </row>
    <row r="283" ht="13.5" customHeight="1" spans="1:26">
      <c r="A283" s="20"/>
      <c r="B283" s="20"/>
      <c r="C283" s="20"/>
      <c r="D283" s="20"/>
      <c r="E283" s="20"/>
      <c r="F283" s="20"/>
      <c r="G283" s="20"/>
      <c r="H283" s="20"/>
      <c r="I283" s="20"/>
      <c r="J283" s="20"/>
      <c r="K283" s="20"/>
      <c r="L283" s="20"/>
      <c r="M283" s="20"/>
      <c r="N283" s="20"/>
      <c r="O283" s="20"/>
      <c r="P283" s="20"/>
      <c r="Q283" s="20"/>
      <c r="R283" s="20"/>
      <c r="S283" s="20"/>
      <c r="T283" s="20"/>
      <c r="U283" s="20"/>
      <c r="V283" s="20"/>
      <c r="W283" s="20"/>
      <c r="X283" s="20"/>
      <c r="Y283" s="20"/>
      <c r="Z283" s="20"/>
    </row>
    <row r="284" ht="13.5" customHeight="1" spans="1:26">
      <c r="A284" s="20"/>
      <c r="B284" s="20"/>
      <c r="C284" s="20"/>
      <c r="D284" s="20"/>
      <c r="E284" s="20"/>
      <c r="F284" s="20"/>
      <c r="G284" s="20"/>
      <c r="H284" s="20"/>
      <c r="I284" s="20"/>
      <c r="J284" s="20"/>
      <c r="K284" s="20"/>
      <c r="L284" s="20"/>
      <c r="M284" s="20"/>
      <c r="N284" s="20"/>
      <c r="O284" s="20"/>
      <c r="P284" s="20"/>
      <c r="Q284" s="20"/>
      <c r="R284" s="20"/>
      <c r="S284" s="20"/>
      <c r="T284" s="20"/>
      <c r="U284" s="20"/>
      <c r="V284" s="20"/>
      <c r="W284" s="20"/>
      <c r="X284" s="20"/>
      <c r="Y284" s="20"/>
      <c r="Z284" s="20"/>
    </row>
    <row r="285" ht="13.5" customHeight="1" spans="1:26">
      <c r="A285" s="20"/>
      <c r="B285" s="20"/>
      <c r="C285" s="20"/>
      <c r="D285" s="20"/>
      <c r="E285" s="20"/>
      <c r="F285" s="20"/>
      <c r="G285" s="20"/>
      <c r="H285" s="20"/>
      <c r="I285" s="20"/>
      <c r="J285" s="20"/>
      <c r="K285" s="20"/>
      <c r="L285" s="20"/>
      <c r="M285" s="20"/>
      <c r="N285" s="20"/>
      <c r="O285" s="20"/>
      <c r="P285" s="20"/>
      <c r="Q285" s="20"/>
      <c r="R285" s="20"/>
      <c r="S285" s="20"/>
      <c r="T285" s="20"/>
      <c r="U285" s="20"/>
      <c r="V285" s="20"/>
      <c r="W285" s="20"/>
      <c r="X285" s="20"/>
      <c r="Y285" s="20"/>
      <c r="Z285" s="20"/>
    </row>
    <row r="286" ht="13.5" customHeight="1" spans="1:26">
      <c r="A286" s="20"/>
      <c r="B286" s="20"/>
      <c r="C286" s="20"/>
      <c r="D286" s="20"/>
      <c r="E286" s="20"/>
      <c r="F286" s="20"/>
      <c r="G286" s="20"/>
      <c r="H286" s="20"/>
      <c r="I286" s="20"/>
      <c r="J286" s="20"/>
      <c r="K286" s="20"/>
      <c r="L286" s="20"/>
      <c r="M286" s="20"/>
      <c r="N286" s="20"/>
      <c r="O286" s="20"/>
      <c r="P286" s="20"/>
      <c r="Q286" s="20"/>
      <c r="R286" s="20"/>
      <c r="S286" s="20"/>
      <c r="T286" s="20"/>
      <c r="U286" s="20"/>
      <c r="V286" s="20"/>
      <c r="W286" s="20"/>
      <c r="X286" s="20"/>
      <c r="Y286" s="20"/>
      <c r="Z286" s="20"/>
    </row>
    <row r="287" ht="13.5" customHeight="1" spans="1:26">
      <c r="A287" s="20"/>
      <c r="B287" s="20"/>
      <c r="C287" s="20"/>
      <c r="D287" s="20"/>
      <c r="E287" s="20"/>
      <c r="F287" s="20"/>
      <c r="G287" s="20"/>
      <c r="H287" s="20"/>
      <c r="I287" s="20"/>
      <c r="J287" s="20"/>
      <c r="K287" s="20"/>
      <c r="L287" s="20"/>
      <c r="M287" s="20"/>
      <c r="N287" s="20"/>
      <c r="O287" s="20"/>
      <c r="P287" s="20"/>
      <c r="Q287" s="20"/>
      <c r="R287" s="20"/>
      <c r="S287" s="20"/>
      <c r="T287" s="20"/>
      <c r="U287" s="20"/>
      <c r="V287" s="20"/>
      <c r="W287" s="20"/>
      <c r="X287" s="20"/>
      <c r="Y287" s="20"/>
      <c r="Z287" s="20"/>
    </row>
    <row r="288" ht="13.5" customHeight="1" spans="1:26">
      <c r="A288" s="20"/>
      <c r="B288" s="20"/>
      <c r="C288" s="20"/>
      <c r="D288" s="20"/>
      <c r="E288" s="20"/>
      <c r="F288" s="20"/>
      <c r="G288" s="20"/>
      <c r="H288" s="20"/>
      <c r="I288" s="20"/>
      <c r="J288" s="20"/>
      <c r="K288" s="20"/>
      <c r="L288" s="20"/>
      <c r="M288" s="20"/>
      <c r="N288" s="20"/>
      <c r="O288" s="20"/>
      <c r="P288" s="20"/>
      <c r="Q288" s="20"/>
      <c r="R288" s="20"/>
      <c r="S288" s="20"/>
      <c r="T288" s="20"/>
      <c r="U288" s="20"/>
      <c r="V288" s="20"/>
      <c r="W288" s="20"/>
      <c r="X288" s="20"/>
      <c r="Y288" s="20"/>
      <c r="Z288" s="20"/>
    </row>
    <row r="289" ht="13.5" customHeight="1" spans="1:26">
      <c r="A289" s="20"/>
      <c r="B289" s="20"/>
      <c r="C289" s="20"/>
      <c r="D289" s="20"/>
      <c r="E289" s="20"/>
      <c r="F289" s="20"/>
      <c r="G289" s="20"/>
      <c r="H289" s="20"/>
      <c r="I289" s="20"/>
      <c r="J289" s="20"/>
      <c r="K289" s="20"/>
      <c r="L289" s="20"/>
      <c r="M289" s="20"/>
      <c r="N289" s="20"/>
      <c r="O289" s="20"/>
      <c r="P289" s="20"/>
      <c r="Q289" s="20"/>
      <c r="R289" s="20"/>
      <c r="S289" s="20"/>
      <c r="T289" s="20"/>
      <c r="U289" s="20"/>
      <c r="V289" s="20"/>
      <c r="W289" s="20"/>
      <c r="X289" s="20"/>
      <c r="Y289" s="20"/>
      <c r="Z289" s="20"/>
    </row>
    <row r="290" ht="13.5" customHeight="1" spans="1:26">
      <c r="A290" s="20"/>
      <c r="B290" s="20"/>
      <c r="C290" s="20"/>
      <c r="D290" s="20"/>
      <c r="E290" s="20"/>
      <c r="F290" s="20"/>
      <c r="G290" s="20"/>
      <c r="H290" s="20"/>
      <c r="I290" s="20"/>
      <c r="J290" s="20"/>
      <c r="K290" s="20"/>
      <c r="L290" s="20"/>
      <c r="M290" s="20"/>
      <c r="N290" s="20"/>
      <c r="O290" s="20"/>
      <c r="P290" s="20"/>
      <c r="Q290" s="20"/>
      <c r="R290" s="20"/>
      <c r="S290" s="20"/>
      <c r="T290" s="20"/>
      <c r="U290" s="20"/>
      <c r="V290" s="20"/>
      <c r="W290" s="20"/>
      <c r="X290" s="20"/>
      <c r="Y290" s="20"/>
      <c r="Z290" s="20"/>
    </row>
    <row r="291" ht="13.5" customHeight="1" spans="1:26">
      <c r="A291" s="20"/>
      <c r="B291" s="20"/>
      <c r="C291" s="20"/>
      <c r="D291" s="20"/>
      <c r="E291" s="20"/>
      <c r="F291" s="20"/>
      <c r="G291" s="20"/>
      <c r="H291" s="20"/>
      <c r="I291" s="20"/>
      <c r="J291" s="20"/>
      <c r="K291" s="20"/>
      <c r="L291" s="20"/>
      <c r="M291" s="20"/>
      <c r="N291" s="20"/>
      <c r="O291" s="20"/>
      <c r="P291" s="20"/>
      <c r="Q291" s="20"/>
      <c r="R291" s="20"/>
      <c r="S291" s="20"/>
      <c r="T291" s="20"/>
      <c r="U291" s="20"/>
      <c r="V291" s="20"/>
      <c r="W291" s="20"/>
      <c r="X291" s="20"/>
      <c r="Y291" s="20"/>
      <c r="Z291" s="20"/>
    </row>
    <row r="292" ht="13.5" customHeight="1" spans="1:26">
      <c r="A292" s="20"/>
      <c r="B292" s="20"/>
      <c r="C292" s="20"/>
      <c r="D292" s="20"/>
      <c r="E292" s="20"/>
      <c r="F292" s="20"/>
      <c r="G292" s="20"/>
      <c r="H292" s="20"/>
      <c r="I292" s="20"/>
      <c r="J292" s="20"/>
      <c r="K292" s="20"/>
      <c r="L292" s="20"/>
      <c r="M292" s="20"/>
      <c r="N292" s="20"/>
      <c r="O292" s="20"/>
      <c r="P292" s="20"/>
      <c r="Q292" s="20"/>
      <c r="R292" s="20"/>
      <c r="S292" s="20"/>
      <c r="T292" s="20"/>
      <c r="U292" s="20"/>
      <c r="V292" s="20"/>
      <c r="W292" s="20"/>
      <c r="X292" s="20"/>
      <c r="Y292" s="20"/>
      <c r="Z292" s="20"/>
    </row>
    <row r="293" ht="13.5" customHeight="1" spans="1:26">
      <c r="A293" s="20"/>
      <c r="B293" s="20"/>
      <c r="C293" s="20"/>
      <c r="D293" s="20"/>
      <c r="E293" s="20"/>
      <c r="F293" s="20"/>
      <c r="G293" s="20"/>
      <c r="H293" s="20"/>
      <c r="I293" s="20"/>
      <c r="J293" s="20"/>
      <c r="K293" s="20"/>
      <c r="L293" s="20"/>
      <c r="M293" s="20"/>
      <c r="N293" s="20"/>
      <c r="O293" s="20"/>
      <c r="P293" s="20"/>
      <c r="Q293" s="20"/>
      <c r="R293" s="20"/>
      <c r="S293" s="20"/>
      <c r="T293" s="20"/>
      <c r="U293" s="20"/>
      <c r="V293" s="20"/>
      <c r="W293" s="20"/>
      <c r="X293" s="20"/>
      <c r="Y293" s="20"/>
      <c r="Z293" s="20"/>
    </row>
    <row r="294" ht="13.5" customHeight="1" spans="1:26">
      <c r="A294" s="20"/>
      <c r="B294" s="20"/>
      <c r="C294" s="20"/>
      <c r="D294" s="20"/>
      <c r="E294" s="20"/>
      <c r="F294" s="20"/>
      <c r="G294" s="20"/>
      <c r="H294" s="20"/>
      <c r="I294" s="20"/>
      <c r="J294" s="20"/>
      <c r="K294" s="20"/>
      <c r="L294" s="20"/>
      <c r="M294" s="20"/>
      <c r="N294" s="20"/>
      <c r="O294" s="20"/>
      <c r="P294" s="20"/>
      <c r="Q294" s="20"/>
      <c r="R294" s="20"/>
      <c r="S294" s="20"/>
      <c r="T294" s="20"/>
      <c r="U294" s="20"/>
      <c r="V294" s="20"/>
      <c r="W294" s="20"/>
      <c r="X294" s="20"/>
      <c r="Y294" s="20"/>
      <c r="Z294" s="20"/>
    </row>
    <row r="295" ht="13.5" customHeight="1" spans="1:26">
      <c r="A295" s="20"/>
      <c r="B295" s="20"/>
      <c r="C295" s="20"/>
      <c r="D295" s="20"/>
      <c r="E295" s="20"/>
      <c r="F295" s="20"/>
      <c r="G295" s="20"/>
      <c r="H295" s="20"/>
      <c r="I295" s="20"/>
      <c r="J295" s="20"/>
      <c r="K295" s="20"/>
      <c r="L295" s="20"/>
      <c r="M295" s="20"/>
      <c r="N295" s="20"/>
      <c r="O295" s="20"/>
      <c r="P295" s="20"/>
      <c r="Q295" s="20"/>
      <c r="R295" s="20"/>
      <c r="S295" s="20"/>
      <c r="T295" s="20"/>
      <c r="U295" s="20"/>
      <c r="V295" s="20"/>
      <c r="W295" s="20"/>
      <c r="X295" s="20"/>
      <c r="Y295" s="20"/>
      <c r="Z295" s="20"/>
    </row>
    <row r="296" ht="13.5" customHeight="1" spans="1:26">
      <c r="A296" s="20"/>
      <c r="B296" s="20"/>
      <c r="C296" s="20"/>
      <c r="D296" s="20"/>
      <c r="E296" s="20"/>
      <c r="F296" s="20"/>
      <c r="G296" s="20"/>
      <c r="H296" s="20"/>
      <c r="I296" s="20"/>
      <c r="J296" s="20"/>
      <c r="K296" s="20"/>
      <c r="L296" s="20"/>
      <c r="M296" s="20"/>
      <c r="N296" s="20"/>
      <c r="O296" s="20"/>
      <c r="P296" s="20"/>
      <c r="Q296" s="20"/>
      <c r="R296" s="20"/>
      <c r="S296" s="20"/>
      <c r="T296" s="20"/>
      <c r="U296" s="20"/>
      <c r="V296" s="20"/>
      <c r="W296" s="20"/>
      <c r="X296" s="20"/>
      <c r="Y296" s="20"/>
      <c r="Z296" s="20"/>
    </row>
    <row r="297" ht="13.5" customHeight="1" spans="1:26">
      <c r="A297" s="20"/>
      <c r="B297" s="20"/>
      <c r="C297" s="20"/>
      <c r="D297" s="20"/>
      <c r="E297" s="20"/>
      <c r="F297" s="20"/>
      <c r="G297" s="20"/>
      <c r="H297" s="20"/>
      <c r="I297" s="20"/>
      <c r="J297" s="20"/>
      <c r="K297" s="20"/>
      <c r="L297" s="20"/>
      <c r="M297" s="20"/>
      <c r="N297" s="20"/>
      <c r="O297" s="20"/>
      <c r="P297" s="20"/>
      <c r="Q297" s="20"/>
      <c r="R297" s="20"/>
      <c r="S297" s="20"/>
      <c r="T297" s="20"/>
      <c r="U297" s="20"/>
      <c r="V297" s="20"/>
      <c r="W297" s="20"/>
      <c r="X297" s="20"/>
      <c r="Y297" s="20"/>
      <c r="Z297" s="20"/>
    </row>
    <row r="298" ht="13.5" customHeight="1" spans="1:26">
      <c r="A298" s="20"/>
      <c r="B298" s="20"/>
      <c r="C298" s="20"/>
      <c r="D298" s="20"/>
      <c r="E298" s="20"/>
      <c r="F298" s="20"/>
      <c r="G298" s="20"/>
      <c r="H298" s="20"/>
      <c r="I298" s="20"/>
      <c r="J298" s="20"/>
      <c r="K298" s="20"/>
      <c r="L298" s="20"/>
      <c r="M298" s="20"/>
      <c r="N298" s="20"/>
      <c r="O298" s="20"/>
      <c r="P298" s="20"/>
      <c r="Q298" s="20"/>
      <c r="R298" s="20"/>
      <c r="S298" s="20"/>
      <c r="T298" s="20"/>
      <c r="U298" s="20"/>
      <c r="V298" s="20"/>
      <c r="W298" s="20"/>
      <c r="X298" s="20"/>
      <c r="Y298" s="20"/>
      <c r="Z298" s="20"/>
    </row>
    <row r="299" ht="13.5" customHeight="1" spans="1:26">
      <c r="A299" s="20"/>
      <c r="B299" s="20"/>
      <c r="C299" s="20"/>
      <c r="D299" s="20"/>
      <c r="E299" s="20"/>
      <c r="F299" s="20"/>
      <c r="G299" s="20"/>
      <c r="H299" s="20"/>
      <c r="I299" s="20"/>
      <c r="J299" s="20"/>
      <c r="K299" s="20"/>
      <c r="L299" s="20"/>
      <c r="M299" s="20"/>
      <c r="N299" s="20"/>
      <c r="O299" s="20"/>
      <c r="P299" s="20"/>
      <c r="Q299" s="20"/>
      <c r="R299" s="20"/>
      <c r="S299" s="20"/>
      <c r="T299" s="20"/>
      <c r="U299" s="20"/>
      <c r="V299" s="20"/>
      <c r="W299" s="20"/>
      <c r="X299" s="20"/>
      <c r="Y299" s="20"/>
      <c r="Z299" s="20"/>
    </row>
    <row r="300" ht="13.5" customHeight="1" spans="1:26">
      <c r="A300" s="20"/>
      <c r="B300" s="20"/>
      <c r="C300" s="20"/>
      <c r="D300" s="20"/>
      <c r="E300" s="20"/>
      <c r="F300" s="20"/>
      <c r="G300" s="20"/>
      <c r="H300" s="20"/>
      <c r="I300" s="20"/>
      <c r="J300" s="20"/>
      <c r="K300" s="20"/>
      <c r="L300" s="20"/>
      <c r="M300" s="20"/>
      <c r="N300" s="20"/>
      <c r="O300" s="20"/>
      <c r="P300" s="20"/>
      <c r="Q300" s="20"/>
      <c r="R300" s="20"/>
      <c r="S300" s="20"/>
      <c r="T300" s="20"/>
      <c r="U300" s="20"/>
      <c r="V300" s="20"/>
      <c r="W300" s="20"/>
      <c r="X300" s="20"/>
      <c r="Y300" s="20"/>
      <c r="Z300" s="20"/>
    </row>
    <row r="301" ht="13.5" customHeight="1" spans="1:26">
      <c r="A301" s="20"/>
      <c r="B301" s="20"/>
      <c r="C301" s="20"/>
      <c r="D301" s="20"/>
      <c r="E301" s="20"/>
      <c r="F301" s="20"/>
      <c r="G301" s="20"/>
      <c r="H301" s="20"/>
      <c r="I301" s="20"/>
      <c r="J301" s="20"/>
      <c r="K301" s="20"/>
      <c r="L301" s="20"/>
      <c r="M301" s="20"/>
      <c r="N301" s="20"/>
      <c r="O301" s="20"/>
      <c r="P301" s="20"/>
      <c r="Q301" s="20"/>
      <c r="R301" s="20"/>
      <c r="S301" s="20"/>
      <c r="T301" s="20"/>
      <c r="U301" s="20"/>
      <c r="V301" s="20"/>
      <c r="W301" s="20"/>
      <c r="X301" s="20"/>
      <c r="Y301" s="20"/>
      <c r="Z301" s="20"/>
    </row>
    <row r="302" ht="13.5" customHeight="1" spans="1:26">
      <c r="A302" s="20"/>
      <c r="B302" s="20"/>
      <c r="C302" s="20"/>
      <c r="D302" s="20"/>
      <c r="E302" s="20"/>
      <c r="F302" s="20"/>
      <c r="G302" s="20"/>
      <c r="H302" s="20"/>
      <c r="I302" s="20"/>
      <c r="J302" s="20"/>
      <c r="K302" s="20"/>
      <c r="L302" s="20"/>
      <c r="M302" s="20"/>
      <c r="N302" s="20"/>
      <c r="O302" s="20"/>
      <c r="P302" s="20"/>
      <c r="Q302" s="20"/>
      <c r="R302" s="20"/>
      <c r="S302" s="20"/>
      <c r="T302" s="20"/>
      <c r="U302" s="20"/>
      <c r="V302" s="20"/>
      <c r="W302" s="20"/>
      <c r="X302" s="20"/>
      <c r="Y302" s="20"/>
      <c r="Z302" s="20"/>
    </row>
    <row r="303" ht="13.5" customHeight="1" spans="1:26">
      <c r="A303" s="20"/>
      <c r="B303" s="20"/>
      <c r="C303" s="20"/>
      <c r="D303" s="20"/>
      <c r="E303" s="20"/>
      <c r="F303" s="20"/>
      <c r="G303" s="20"/>
      <c r="H303" s="20"/>
      <c r="I303" s="20"/>
      <c r="J303" s="20"/>
      <c r="K303" s="20"/>
      <c r="L303" s="20"/>
      <c r="M303" s="20"/>
      <c r="N303" s="20"/>
      <c r="O303" s="20"/>
      <c r="P303" s="20"/>
      <c r="Q303" s="20"/>
      <c r="R303" s="20"/>
      <c r="S303" s="20"/>
      <c r="T303" s="20"/>
      <c r="U303" s="20"/>
      <c r="V303" s="20"/>
      <c r="W303" s="20"/>
      <c r="X303" s="20"/>
      <c r="Y303" s="20"/>
      <c r="Z303" s="20"/>
    </row>
    <row r="304" ht="13.5" customHeight="1" spans="1:26">
      <c r="A304" s="20"/>
      <c r="B304" s="20"/>
      <c r="C304" s="20"/>
      <c r="D304" s="20"/>
      <c r="E304" s="20"/>
      <c r="F304" s="20"/>
      <c r="G304" s="20"/>
      <c r="H304" s="20"/>
      <c r="I304" s="20"/>
      <c r="J304" s="20"/>
      <c r="K304" s="20"/>
      <c r="L304" s="20"/>
      <c r="M304" s="20"/>
      <c r="N304" s="20"/>
      <c r="O304" s="20"/>
      <c r="P304" s="20"/>
      <c r="Q304" s="20"/>
      <c r="R304" s="20"/>
      <c r="S304" s="20"/>
      <c r="T304" s="20"/>
      <c r="U304" s="20"/>
      <c r="V304" s="20"/>
      <c r="W304" s="20"/>
      <c r="X304" s="20"/>
      <c r="Y304" s="20"/>
      <c r="Z304" s="20"/>
    </row>
    <row r="305" ht="13.5" customHeight="1" spans="1:26">
      <c r="A305" s="20"/>
      <c r="B305" s="20"/>
      <c r="C305" s="20"/>
      <c r="D305" s="20"/>
      <c r="E305" s="20"/>
      <c r="F305" s="20"/>
      <c r="G305" s="20"/>
      <c r="H305" s="20"/>
      <c r="I305" s="20"/>
      <c r="J305" s="20"/>
      <c r="K305" s="20"/>
      <c r="L305" s="20"/>
      <c r="M305" s="20"/>
      <c r="N305" s="20"/>
      <c r="O305" s="20"/>
      <c r="P305" s="20"/>
      <c r="Q305" s="20"/>
      <c r="R305" s="20"/>
      <c r="S305" s="20"/>
      <c r="T305" s="20"/>
      <c r="U305" s="20"/>
      <c r="V305" s="20"/>
      <c r="W305" s="20"/>
      <c r="X305" s="20"/>
      <c r="Y305" s="20"/>
      <c r="Z305" s="20"/>
    </row>
    <row r="306" ht="13.5" customHeight="1" spans="1:26">
      <c r="A306" s="20"/>
      <c r="B306" s="20"/>
      <c r="C306" s="20"/>
      <c r="D306" s="20"/>
      <c r="E306" s="20"/>
      <c r="F306" s="20"/>
      <c r="G306" s="20"/>
      <c r="H306" s="20"/>
      <c r="I306" s="20"/>
      <c r="J306" s="20"/>
      <c r="K306" s="20"/>
      <c r="L306" s="20"/>
      <c r="M306" s="20"/>
      <c r="N306" s="20"/>
      <c r="O306" s="20"/>
      <c r="P306" s="20"/>
      <c r="Q306" s="20"/>
      <c r="R306" s="20"/>
      <c r="S306" s="20"/>
      <c r="T306" s="20"/>
      <c r="U306" s="20"/>
      <c r="V306" s="20"/>
      <c r="W306" s="20"/>
      <c r="X306" s="20"/>
      <c r="Y306" s="20"/>
      <c r="Z306" s="20"/>
    </row>
    <row r="307" ht="13.5" customHeight="1" spans="1:26">
      <c r="A307" s="20"/>
      <c r="B307" s="20"/>
      <c r="C307" s="20"/>
      <c r="D307" s="20"/>
      <c r="E307" s="20"/>
      <c r="F307" s="20"/>
      <c r="G307" s="20"/>
      <c r="H307" s="20"/>
      <c r="I307" s="20"/>
      <c r="J307" s="20"/>
      <c r="K307" s="20"/>
      <c r="L307" s="20"/>
      <c r="M307" s="20"/>
      <c r="N307" s="20"/>
      <c r="O307" s="20"/>
      <c r="P307" s="20"/>
      <c r="Q307" s="20"/>
      <c r="R307" s="20"/>
      <c r="S307" s="20"/>
      <c r="T307" s="20"/>
      <c r="U307" s="20"/>
      <c r="V307" s="20"/>
      <c r="W307" s="20"/>
      <c r="X307" s="20"/>
      <c r="Y307" s="20"/>
      <c r="Z307" s="20"/>
    </row>
    <row r="308" ht="13.5" customHeight="1" spans="1:26">
      <c r="A308" s="20"/>
      <c r="B308" s="20"/>
      <c r="C308" s="20"/>
      <c r="D308" s="20"/>
      <c r="E308" s="20"/>
      <c r="F308" s="20"/>
      <c r="G308" s="20"/>
      <c r="H308" s="20"/>
      <c r="I308" s="20"/>
      <c r="J308" s="20"/>
      <c r="K308" s="20"/>
      <c r="L308" s="20"/>
      <c r="M308" s="20"/>
      <c r="N308" s="20"/>
      <c r="O308" s="20"/>
      <c r="P308" s="20"/>
      <c r="Q308" s="20"/>
      <c r="R308" s="20"/>
      <c r="S308" s="20"/>
      <c r="T308" s="20"/>
      <c r="U308" s="20"/>
      <c r="V308" s="20"/>
      <c r="W308" s="20"/>
      <c r="X308" s="20"/>
      <c r="Y308" s="20"/>
      <c r="Z308" s="20"/>
    </row>
    <row r="309" ht="13.5" customHeight="1" spans="1:26">
      <c r="A309" s="20"/>
      <c r="B309" s="20"/>
      <c r="C309" s="20"/>
      <c r="D309" s="20"/>
      <c r="E309" s="20"/>
      <c r="F309" s="20"/>
      <c r="G309" s="20"/>
      <c r="H309" s="20"/>
      <c r="I309" s="20"/>
      <c r="J309" s="20"/>
      <c r="K309" s="20"/>
      <c r="L309" s="20"/>
      <c r="M309" s="20"/>
      <c r="N309" s="20"/>
      <c r="O309" s="20"/>
      <c r="P309" s="20"/>
      <c r="Q309" s="20"/>
      <c r="R309" s="20"/>
      <c r="S309" s="20"/>
      <c r="T309" s="20"/>
      <c r="U309" s="20"/>
      <c r="V309" s="20"/>
      <c r="W309" s="20"/>
      <c r="X309" s="20"/>
      <c r="Y309" s="20"/>
      <c r="Z309" s="20"/>
    </row>
    <row r="310" ht="13.5" customHeight="1" spans="1:26">
      <c r="A310" s="20"/>
      <c r="B310" s="20"/>
      <c r="C310" s="20"/>
      <c r="D310" s="20"/>
      <c r="E310" s="20"/>
      <c r="F310" s="20"/>
      <c r="G310" s="20"/>
      <c r="H310" s="20"/>
      <c r="I310" s="20"/>
      <c r="J310" s="20"/>
      <c r="K310" s="20"/>
      <c r="L310" s="20"/>
      <c r="M310" s="20"/>
      <c r="N310" s="20"/>
      <c r="O310" s="20"/>
      <c r="P310" s="20"/>
      <c r="Q310" s="20"/>
      <c r="R310" s="20"/>
      <c r="S310" s="20"/>
      <c r="T310" s="20"/>
      <c r="U310" s="20"/>
      <c r="V310" s="20"/>
      <c r="W310" s="20"/>
      <c r="X310" s="20"/>
      <c r="Y310" s="20"/>
      <c r="Z310" s="20"/>
    </row>
    <row r="311" ht="13.5" customHeight="1" spans="1:26">
      <c r="A311" s="20"/>
      <c r="B311" s="20"/>
      <c r="C311" s="20"/>
      <c r="D311" s="20"/>
      <c r="E311" s="20"/>
      <c r="F311" s="20"/>
      <c r="G311" s="20"/>
      <c r="H311" s="20"/>
      <c r="I311" s="20"/>
      <c r="J311" s="20"/>
      <c r="K311" s="20"/>
      <c r="L311" s="20"/>
      <c r="M311" s="20"/>
      <c r="N311" s="20"/>
      <c r="O311" s="20"/>
      <c r="P311" s="20"/>
      <c r="Q311" s="20"/>
      <c r="R311" s="20"/>
      <c r="S311" s="20"/>
      <c r="T311" s="20"/>
      <c r="U311" s="20"/>
      <c r="V311" s="20"/>
      <c r="W311" s="20"/>
      <c r="X311" s="20"/>
      <c r="Y311" s="20"/>
      <c r="Z311" s="20"/>
    </row>
    <row r="312" ht="13.5" customHeight="1" spans="1:26">
      <c r="A312" s="20"/>
      <c r="B312" s="20"/>
      <c r="C312" s="20"/>
      <c r="D312" s="20"/>
      <c r="E312" s="20"/>
      <c r="F312" s="20"/>
      <c r="G312" s="20"/>
      <c r="H312" s="20"/>
      <c r="I312" s="20"/>
      <c r="J312" s="20"/>
      <c r="K312" s="20"/>
      <c r="L312" s="20"/>
      <c r="M312" s="20"/>
      <c r="N312" s="20"/>
      <c r="O312" s="20"/>
      <c r="P312" s="20"/>
      <c r="Q312" s="20"/>
      <c r="R312" s="20"/>
      <c r="S312" s="20"/>
      <c r="T312" s="20"/>
      <c r="U312" s="20"/>
      <c r="V312" s="20"/>
      <c r="W312" s="20"/>
      <c r="X312" s="20"/>
      <c r="Y312" s="20"/>
      <c r="Z312" s="20"/>
    </row>
    <row r="313" ht="13.5" customHeight="1" spans="1:26">
      <c r="A313" s="20"/>
      <c r="B313" s="20"/>
      <c r="C313" s="20"/>
      <c r="D313" s="20"/>
      <c r="E313" s="20"/>
      <c r="F313" s="20"/>
      <c r="G313" s="20"/>
      <c r="H313" s="20"/>
      <c r="I313" s="20"/>
      <c r="J313" s="20"/>
      <c r="K313" s="20"/>
      <c r="L313" s="20"/>
      <c r="M313" s="20"/>
      <c r="N313" s="20"/>
      <c r="O313" s="20"/>
      <c r="P313" s="20"/>
      <c r="Q313" s="20"/>
      <c r="R313" s="20"/>
      <c r="S313" s="20"/>
      <c r="T313" s="20"/>
      <c r="U313" s="20"/>
      <c r="V313" s="20"/>
      <c r="W313" s="20"/>
      <c r="X313" s="20"/>
      <c r="Y313" s="20"/>
      <c r="Z313" s="20"/>
    </row>
    <row r="314" ht="13.5" customHeight="1" spans="1:26">
      <c r="A314" s="20"/>
      <c r="B314" s="20"/>
      <c r="C314" s="20"/>
      <c r="D314" s="20"/>
      <c r="E314" s="20"/>
      <c r="F314" s="20"/>
      <c r="G314" s="20"/>
      <c r="H314" s="20"/>
      <c r="I314" s="20"/>
      <c r="J314" s="20"/>
      <c r="K314" s="20"/>
      <c r="L314" s="20"/>
      <c r="M314" s="20"/>
      <c r="N314" s="20"/>
      <c r="O314" s="20"/>
      <c r="P314" s="20"/>
      <c r="Q314" s="20"/>
      <c r="R314" s="20"/>
      <c r="S314" s="20"/>
      <c r="T314" s="20"/>
      <c r="U314" s="20"/>
      <c r="V314" s="20"/>
      <c r="W314" s="20"/>
      <c r="X314" s="20"/>
      <c r="Y314" s="20"/>
      <c r="Z314" s="20"/>
    </row>
    <row r="315" ht="13.5" customHeight="1" spans="1:26">
      <c r="A315" s="20"/>
      <c r="B315" s="20"/>
      <c r="C315" s="20"/>
      <c r="D315" s="20"/>
      <c r="E315" s="20"/>
      <c r="F315" s="20"/>
      <c r="G315" s="20"/>
      <c r="H315" s="20"/>
      <c r="I315" s="20"/>
      <c r="J315" s="20"/>
      <c r="K315" s="20"/>
      <c r="L315" s="20"/>
      <c r="M315" s="20"/>
      <c r="N315" s="20"/>
      <c r="O315" s="20"/>
      <c r="P315" s="20"/>
      <c r="Q315" s="20"/>
      <c r="R315" s="20"/>
      <c r="S315" s="20"/>
      <c r="T315" s="20"/>
      <c r="U315" s="20"/>
      <c r="V315" s="20"/>
      <c r="W315" s="20"/>
      <c r="X315" s="20"/>
      <c r="Y315" s="20"/>
      <c r="Z315" s="20"/>
    </row>
    <row r="316" ht="13.5" customHeight="1" spans="1:26">
      <c r="A316" s="20"/>
      <c r="B316" s="20"/>
      <c r="C316" s="20"/>
      <c r="D316" s="20"/>
      <c r="E316" s="20"/>
      <c r="F316" s="20"/>
      <c r="G316" s="20"/>
      <c r="H316" s="20"/>
      <c r="I316" s="20"/>
      <c r="J316" s="20"/>
      <c r="K316" s="20"/>
      <c r="L316" s="20"/>
      <c r="M316" s="20"/>
      <c r="N316" s="20"/>
      <c r="O316" s="20"/>
      <c r="P316" s="20"/>
      <c r="Q316" s="20"/>
      <c r="R316" s="20"/>
      <c r="S316" s="20"/>
      <c r="T316" s="20"/>
      <c r="U316" s="20"/>
      <c r="V316" s="20"/>
      <c r="W316" s="20"/>
      <c r="X316" s="20"/>
      <c r="Y316" s="20"/>
      <c r="Z316" s="20"/>
    </row>
    <row r="317" ht="13.5" customHeight="1" spans="1:26">
      <c r="A317" s="20"/>
      <c r="B317" s="20"/>
      <c r="C317" s="20"/>
      <c r="D317" s="20"/>
      <c r="E317" s="20"/>
      <c r="F317" s="20"/>
      <c r="G317" s="20"/>
      <c r="H317" s="20"/>
      <c r="I317" s="20"/>
      <c r="J317" s="20"/>
      <c r="K317" s="20"/>
      <c r="L317" s="20"/>
      <c r="M317" s="20"/>
      <c r="N317" s="20"/>
      <c r="O317" s="20"/>
      <c r="P317" s="20"/>
      <c r="Q317" s="20"/>
      <c r="R317" s="20"/>
      <c r="S317" s="20"/>
      <c r="T317" s="20"/>
      <c r="U317" s="20"/>
      <c r="V317" s="20"/>
      <c r="W317" s="20"/>
      <c r="X317" s="20"/>
      <c r="Y317" s="20"/>
      <c r="Z317" s="20"/>
    </row>
    <row r="318" ht="13.5" customHeight="1" spans="1:26">
      <c r="A318" s="20"/>
      <c r="B318" s="20"/>
      <c r="C318" s="20"/>
      <c r="D318" s="20"/>
      <c r="E318" s="20"/>
      <c r="F318" s="20"/>
      <c r="G318" s="20"/>
      <c r="H318" s="20"/>
      <c r="I318" s="20"/>
      <c r="J318" s="20"/>
      <c r="K318" s="20"/>
      <c r="L318" s="20"/>
      <c r="M318" s="20"/>
      <c r="N318" s="20"/>
      <c r="O318" s="20"/>
      <c r="P318" s="20"/>
      <c r="Q318" s="20"/>
      <c r="R318" s="20"/>
      <c r="S318" s="20"/>
      <c r="T318" s="20"/>
      <c r="U318" s="20"/>
      <c r="V318" s="20"/>
      <c r="W318" s="20"/>
      <c r="X318" s="20"/>
      <c r="Y318" s="20"/>
      <c r="Z318" s="20"/>
    </row>
    <row r="319" ht="13.5" customHeight="1" spans="1:26">
      <c r="A319" s="20"/>
      <c r="B319" s="20"/>
      <c r="C319" s="20"/>
      <c r="D319" s="20"/>
      <c r="E319" s="20"/>
      <c r="F319" s="20"/>
      <c r="G319" s="20"/>
      <c r="H319" s="20"/>
      <c r="I319" s="20"/>
      <c r="J319" s="20"/>
      <c r="K319" s="20"/>
      <c r="L319" s="20"/>
      <c r="M319" s="20"/>
      <c r="N319" s="20"/>
      <c r="O319" s="20"/>
      <c r="P319" s="20"/>
      <c r="Q319" s="20"/>
      <c r="R319" s="20"/>
      <c r="S319" s="20"/>
      <c r="T319" s="20"/>
      <c r="U319" s="20"/>
      <c r="V319" s="20"/>
      <c r="W319" s="20"/>
      <c r="X319" s="20"/>
      <c r="Y319" s="20"/>
      <c r="Z319" s="20"/>
    </row>
    <row r="320" ht="13.5" customHeight="1" spans="1:26">
      <c r="A320" s="20"/>
      <c r="B320" s="20"/>
      <c r="C320" s="20"/>
      <c r="D320" s="20"/>
      <c r="E320" s="20"/>
      <c r="F320" s="20"/>
      <c r="G320" s="20"/>
      <c r="H320" s="20"/>
      <c r="I320" s="20"/>
      <c r="J320" s="20"/>
      <c r="K320" s="20"/>
      <c r="L320" s="20"/>
      <c r="M320" s="20"/>
      <c r="N320" s="20"/>
      <c r="O320" s="20"/>
      <c r="P320" s="20"/>
      <c r="Q320" s="20"/>
      <c r="R320" s="20"/>
      <c r="S320" s="20"/>
      <c r="T320" s="20"/>
      <c r="U320" s="20"/>
      <c r="V320" s="20"/>
      <c r="W320" s="20"/>
      <c r="X320" s="20"/>
      <c r="Y320" s="20"/>
      <c r="Z320" s="20"/>
    </row>
    <row r="321" ht="13.5" customHeight="1" spans="1:26">
      <c r="A321" s="20"/>
      <c r="B321" s="20"/>
      <c r="C321" s="20"/>
      <c r="D321" s="20"/>
      <c r="E321" s="20"/>
      <c r="F321" s="20"/>
      <c r="G321" s="20"/>
      <c r="H321" s="20"/>
      <c r="I321" s="20"/>
      <c r="J321" s="20"/>
      <c r="K321" s="20"/>
      <c r="L321" s="20"/>
      <c r="M321" s="20"/>
      <c r="N321" s="20"/>
      <c r="O321" s="20"/>
      <c r="P321" s="20"/>
      <c r="Q321" s="20"/>
      <c r="R321" s="20"/>
      <c r="S321" s="20"/>
      <c r="T321" s="20"/>
      <c r="U321" s="20"/>
      <c r="V321" s="20"/>
      <c r="W321" s="20"/>
      <c r="X321" s="20"/>
      <c r="Y321" s="20"/>
      <c r="Z321" s="20"/>
    </row>
    <row r="322" ht="13.5" customHeight="1" spans="1:26">
      <c r="A322" s="20"/>
      <c r="B322" s="20"/>
      <c r="C322" s="20"/>
      <c r="D322" s="20"/>
      <c r="E322" s="20"/>
      <c r="F322" s="20"/>
      <c r="G322" s="20"/>
      <c r="H322" s="20"/>
      <c r="I322" s="20"/>
      <c r="J322" s="20"/>
      <c r="K322" s="20"/>
      <c r="L322" s="20"/>
      <c r="M322" s="20"/>
      <c r="N322" s="20"/>
      <c r="O322" s="20"/>
      <c r="P322" s="20"/>
      <c r="Q322" s="20"/>
      <c r="R322" s="20"/>
      <c r="S322" s="20"/>
      <c r="T322" s="20"/>
      <c r="U322" s="20"/>
      <c r="V322" s="20"/>
      <c r="W322" s="20"/>
      <c r="X322" s="20"/>
      <c r="Y322" s="20"/>
      <c r="Z322" s="20"/>
    </row>
    <row r="323" ht="13.5" customHeight="1" spans="1:26">
      <c r="A323" s="20"/>
      <c r="B323" s="20"/>
      <c r="C323" s="20"/>
      <c r="D323" s="20"/>
      <c r="E323" s="20"/>
      <c r="F323" s="20"/>
      <c r="G323" s="20"/>
      <c r="H323" s="20"/>
      <c r="I323" s="20"/>
      <c r="J323" s="20"/>
      <c r="K323" s="20"/>
      <c r="L323" s="20"/>
      <c r="M323" s="20"/>
      <c r="N323" s="20"/>
      <c r="O323" s="20"/>
      <c r="P323" s="20"/>
      <c r="Q323" s="20"/>
      <c r="R323" s="20"/>
      <c r="S323" s="20"/>
      <c r="T323" s="20"/>
      <c r="U323" s="20"/>
      <c r="V323" s="20"/>
      <c r="W323" s="20"/>
      <c r="X323" s="20"/>
      <c r="Y323" s="20"/>
      <c r="Z323" s="20"/>
    </row>
    <row r="324" ht="13.5" customHeight="1" spans="1:26">
      <c r="A324" s="20"/>
      <c r="B324" s="20"/>
      <c r="C324" s="20"/>
      <c r="D324" s="20"/>
      <c r="E324" s="20"/>
      <c r="F324" s="20"/>
      <c r="G324" s="20"/>
      <c r="H324" s="20"/>
      <c r="I324" s="20"/>
      <c r="J324" s="20"/>
      <c r="K324" s="20"/>
      <c r="L324" s="20"/>
      <c r="M324" s="20"/>
      <c r="N324" s="20"/>
      <c r="O324" s="20"/>
      <c r="P324" s="20"/>
      <c r="Q324" s="20"/>
      <c r="R324" s="20"/>
      <c r="S324" s="20"/>
      <c r="T324" s="20"/>
      <c r="U324" s="20"/>
      <c r="V324" s="20"/>
      <c r="W324" s="20"/>
      <c r="X324" s="20"/>
      <c r="Y324" s="20"/>
      <c r="Z324" s="20"/>
    </row>
    <row r="325" ht="13.5" customHeight="1" spans="1:26">
      <c r="A325" s="20"/>
      <c r="B325" s="20"/>
      <c r="C325" s="20"/>
      <c r="D325" s="20"/>
      <c r="E325" s="20"/>
      <c r="F325" s="20"/>
      <c r="G325" s="20"/>
      <c r="H325" s="20"/>
      <c r="I325" s="20"/>
      <c r="J325" s="20"/>
      <c r="K325" s="20"/>
      <c r="L325" s="20"/>
      <c r="M325" s="20"/>
      <c r="N325" s="20"/>
      <c r="O325" s="20"/>
      <c r="P325" s="20"/>
      <c r="Q325" s="20"/>
      <c r="R325" s="20"/>
      <c r="S325" s="20"/>
      <c r="T325" s="20"/>
      <c r="U325" s="20"/>
      <c r="V325" s="20"/>
      <c r="W325" s="20"/>
      <c r="X325" s="20"/>
      <c r="Y325" s="20"/>
      <c r="Z325" s="20"/>
    </row>
    <row r="326" ht="13.5" customHeight="1" spans="1:26">
      <c r="A326" s="20"/>
      <c r="B326" s="20"/>
      <c r="C326" s="20"/>
      <c r="D326" s="20"/>
      <c r="E326" s="20"/>
      <c r="F326" s="20"/>
      <c r="G326" s="20"/>
      <c r="H326" s="20"/>
      <c r="I326" s="20"/>
      <c r="J326" s="20"/>
      <c r="K326" s="20"/>
      <c r="L326" s="20"/>
      <c r="M326" s="20"/>
      <c r="N326" s="20"/>
      <c r="O326" s="20"/>
      <c r="P326" s="20"/>
      <c r="Q326" s="20"/>
      <c r="R326" s="20"/>
      <c r="S326" s="20"/>
      <c r="T326" s="20"/>
      <c r="U326" s="20"/>
      <c r="V326" s="20"/>
      <c r="W326" s="20"/>
      <c r="X326" s="20"/>
      <c r="Y326" s="20"/>
      <c r="Z326" s="20"/>
    </row>
    <row r="327" ht="13.5" customHeight="1" spans="1:26">
      <c r="A327" s="20"/>
      <c r="B327" s="20"/>
      <c r="C327" s="20"/>
      <c r="D327" s="20"/>
      <c r="E327" s="20"/>
      <c r="F327" s="20"/>
      <c r="G327" s="20"/>
      <c r="H327" s="20"/>
      <c r="I327" s="20"/>
      <c r="J327" s="20"/>
      <c r="K327" s="20"/>
      <c r="L327" s="20"/>
      <c r="M327" s="20"/>
      <c r="N327" s="20"/>
      <c r="O327" s="20"/>
      <c r="P327" s="20"/>
      <c r="Q327" s="20"/>
      <c r="R327" s="20"/>
      <c r="S327" s="20"/>
      <c r="T327" s="20"/>
      <c r="U327" s="20"/>
      <c r="V327" s="20"/>
      <c r="W327" s="20"/>
      <c r="X327" s="20"/>
      <c r="Y327" s="20"/>
      <c r="Z327" s="20"/>
    </row>
    <row r="328" ht="13.5" customHeight="1" spans="1:26">
      <c r="A328" s="2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row>
    <row r="329" ht="13.5" customHeight="1" spans="1:26">
      <c r="A329" s="2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row>
    <row r="330" ht="13.5" customHeight="1" spans="1:26">
      <c r="A330" s="20"/>
      <c r="B330" s="20"/>
      <c r="C330" s="20"/>
      <c r="D330" s="20"/>
      <c r="E330" s="20"/>
      <c r="F330" s="20"/>
      <c r="G330" s="20"/>
      <c r="H330" s="20"/>
      <c r="I330" s="20"/>
      <c r="J330" s="20"/>
      <c r="K330" s="20"/>
      <c r="L330" s="20"/>
      <c r="M330" s="20"/>
      <c r="N330" s="20"/>
      <c r="O330" s="20"/>
      <c r="P330" s="20"/>
      <c r="Q330" s="20"/>
      <c r="R330" s="20"/>
      <c r="S330" s="20"/>
      <c r="T330" s="20"/>
      <c r="U330" s="20"/>
      <c r="V330" s="20"/>
      <c r="W330" s="20"/>
      <c r="X330" s="20"/>
      <c r="Y330" s="20"/>
      <c r="Z330" s="20"/>
    </row>
    <row r="331" ht="13.5" customHeight="1" spans="1:26">
      <c r="A331" s="20"/>
      <c r="B331" s="20"/>
      <c r="C331" s="20"/>
      <c r="D331" s="20"/>
      <c r="E331" s="20"/>
      <c r="F331" s="20"/>
      <c r="G331" s="20"/>
      <c r="H331" s="20"/>
      <c r="I331" s="20"/>
      <c r="J331" s="20"/>
      <c r="K331" s="20"/>
      <c r="L331" s="20"/>
      <c r="M331" s="20"/>
      <c r="N331" s="20"/>
      <c r="O331" s="20"/>
      <c r="P331" s="20"/>
      <c r="Q331" s="20"/>
      <c r="R331" s="20"/>
      <c r="S331" s="20"/>
      <c r="T331" s="20"/>
      <c r="U331" s="20"/>
      <c r="V331" s="20"/>
      <c r="W331" s="20"/>
      <c r="X331" s="20"/>
      <c r="Y331" s="20"/>
      <c r="Z331" s="20"/>
    </row>
    <row r="332" ht="13.5" customHeight="1" spans="1:26">
      <c r="A332" s="20"/>
      <c r="B332" s="20"/>
      <c r="C332" s="20"/>
      <c r="D332" s="20"/>
      <c r="E332" s="20"/>
      <c r="F332" s="20"/>
      <c r="G332" s="20"/>
      <c r="H332" s="20"/>
      <c r="I332" s="20"/>
      <c r="J332" s="20"/>
      <c r="K332" s="20"/>
      <c r="L332" s="20"/>
      <c r="M332" s="20"/>
      <c r="N332" s="20"/>
      <c r="O332" s="20"/>
      <c r="P332" s="20"/>
      <c r="Q332" s="20"/>
      <c r="R332" s="20"/>
      <c r="S332" s="20"/>
      <c r="T332" s="20"/>
      <c r="U332" s="20"/>
      <c r="V332" s="20"/>
      <c r="W332" s="20"/>
      <c r="X332" s="20"/>
      <c r="Y332" s="20"/>
      <c r="Z332" s="20"/>
    </row>
    <row r="333" ht="13.5" customHeight="1" spans="1:26">
      <c r="A333" s="20"/>
      <c r="B333" s="20"/>
      <c r="C333" s="20"/>
      <c r="D333" s="20"/>
      <c r="E333" s="20"/>
      <c r="F333" s="20"/>
      <c r="G333" s="20"/>
      <c r="H333" s="20"/>
      <c r="I333" s="20"/>
      <c r="J333" s="20"/>
      <c r="K333" s="20"/>
      <c r="L333" s="20"/>
      <c r="M333" s="20"/>
      <c r="N333" s="20"/>
      <c r="O333" s="20"/>
      <c r="P333" s="20"/>
      <c r="Q333" s="20"/>
      <c r="R333" s="20"/>
      <c r="S333" s="20"/>
      <c r="T333" s="20"/>
      <c r="U333" s="20"/>
      <c r="V333" s="20"/>
      <c r="W333" s="20"/>
      <c r="X333" s="20"/>
      <c r="Y333" s="20"/>
      <c r="Z333" s="20"/>
    </row>
    <row r="334" ht="13.5" customHeight="1" spans="1:26">
      <c r="A334" s="20"/>
      <c r="B334" s="20"/>
      <c r="C334" s="20"/>
      <c r="D334" s="20"/>
      <c r="E334" s="20"/>
      <c r="F334" s="20"/>
      <c r="G334" s="20"/>
      <c r="H334" s="20"/>
      <c r="I334" s="20"/>
      <c r="J334" s="20"/>
      <c r="K334" s="20"/>
      <c r="L334" s="20"/>
      <c r="M334" s="20"/>
      <c r="N334" s="20"/>
      <c r="O334" s="20"/>
      <c r="P334" s="20"/>
      <c r="Q334" s="20"/>
      <c r="R334" s="20"/>
      <c r="S334" s="20"/>
      <c r="T334" s="20"/>
      <c r="U334" s="20"/>
      <c r="V334" s="20"/>
      <c r="W334" s="20"/>
      <c r="X334" s="20"/>
      <c r="Y334" s="20"/>
      <c r="Z334" s="20"/>
    </row>
    <row r="335" ht="13.5" customHeight="1" spans="1:26">
      <c r="A335" s="20"/>
      <c r="B335" s="20"/>
      <c r="C335" s="20"/>
      <c r="D335" s="20"/>
      <c r="E335" s="20"/>
      <c r="F335" s="20"/>
      <c r="G335" s="20"/>
      <c r="H335" s="20"/>
      <c r="I335" s="20"/>
      <c r="J335" s="20"/>
      <c r="K335" s="20"/>
      <c r="L335" s="20"/>
      <c r="M335" s="20"/>
      <c r="N335" s="20"/>
      <c r="O335" s="20"/>
      <c r="P335" s="20"/>
      <c r="Q335" s="20"/>
      <c r="R335" s="20"/>
      <c r="S335" s="20"/>
      <c r="T335" s="20"/>
      <c r="U335" s="20"/>
      <c r="V335" s="20"/>
      <c r="W335" s="20"/>
      <c r="X335" s="20"/>
      <c r="Y335" s="20"/>
      <c r="Z335" s="20"/>
    </row>
    <row r="336" ht="13.5" customHeight="1" spans="1:26">
      <c r="A336" s="20"/>
      <c r="B336" s="20"/>
      <c r="C336" s="20"/>
      <c r="D336" s="20"/>
      <c r="E336" s="20"/>
      <c r="F336" s="20"/>
      <c r="G336" s="20"/>
      <c r="H336" s="20"/>
      <c r="I336" s="20"/>
      <c r="J336" s="20"/>
      <c r="K336" s="20"/>
      <c r="L336" s="20"/>
      <c r="M336" s="20"/>
      <c r="N336" s="20"/>
      <c r="O336" s="20"/>
      <c r="P336" s="20"/>
      <c r="Q336" s="20"/>
      <c r="R336" s="20"/>
      <c r="S336" s="20"/>
      <c r="T336" s="20"/>
      <c r="U336" s="20"/>
      <c r="V336" s="20"/>
      <c r="W336" s="20"/>
      <c r="X336" s="20"/>
      <c r="Y336" s="20"/>
      <c r="Z336" s="20"/>
    </row>
    <row r="337" ht="13.5" customHeight="1" spans="1:26">
      <c r="A337" s="20"/>
      <c r="B337" s="20"/>
      <c r="C337" s="20"/>
      <c r="D337" s="20"/>
      <c r="E337" s="20"/>
      <c r="F337" s="20"/>
      <c r="G337" s="20"/>
      <c r="H337" s="20"/>
      <c r="I337" s="20"/>
      <c r="J337" s="20"/>
      <c r="K337" s="20"/>
      <c r="L337" s="20"/>
      <c r="M337" s="20"/>
      <c r="N337" s="20"/>
      <c r="O337" s="20"/>
      <c r="P337" s="20"/>
      <c r="Q337" s="20"/>
      <c r="R337" s="20"/>
      <c r="S337" s="20"/>
      <c r="T337" s="20"/>
      <c r="U337" s="20"/>
      <c r="V337" s="20"/>
      <c r="W337" s="20"/>
      <c r="X337" s="20"/>
      <c r="Y337" s="20"/>
      <c r="Z337" s="20"/>
    </row>
    <row r="338" ht="13.5" customHeight="1" spans="1:26">
      <c r="A338" s="20"/>
      <c r="B338" s="20"/>
      <c r="C338" s="20"/>
      <c r="D338" s="20"/>
      <c r="E338" s="20"/>
      <c r="F338" s="20"/>
      <c r="G338" s="20"/>
      <c r="H338" s="20"/>
      <c r="I338" s="20"/>
      <c r="J338" s="20"/>
      <c r="K338" s="20"/>
      <c r="L338" s="20"/>
      <c r="M338" s="20"/>
      <c r="N338" s="20"/>
      <c r="O338" s="20"/>
      <c r="P338" s="20"/>
      <c r="Q338" s="20"/>
      <c r="R338" s="20"/>
      <c r="S338" s="20"/>
      <c r="T338" s="20"/>
      <c r="U338" s="20"/>
      <c r="V338" s="20"/>
      <c r="W338" s="20"/>
      <c r="X338" s="20"/>
      <c r="Y338" s="20"/>
      <c r="Z338" s="20"/>
    </row>
    <row r="339" ht="13.5" customHeight="1" spans="1:26">
      <c r="A339" s="20"/>
      <c r="B339" s="20"/>
      <c r="C339" s="20"/>
      <c r="D339" s="20"/>
      <c r="E339" s="20"/>
      <c r="F339" s="20"/>
      <c r="G339" s="20"/>
      <c r="H339" s="20"/>
      <c r="I339" s="20"/>
      <c r="J339" s="20"/>
      <c r="K339" s="20"/>
      <c r="L339" s="20"/>
      <c r="M339" s="20"/>
      <c r="N339" s="20"/>
      <c r="O339" s="20"/>
      <c r="P339" s="20"/>
      <c r="Q339" s="20"/>
      <c r="R339" s="20"/>
      <c r="S339" s="20"/>
      <c r="T339" s="20"/>
      <c r="U339" s="20"/>
      <c r="V339" s="20"/>
      <c r="W339" s="20"/>
      <c r="X339" s="20"/>
      <c r="Y339" s="20"/>
      <c r="Z339" s="20"/>
    </row>
    <row r="340" ht="13.5" customHeight="1" spans="1:26">
      <c r="A340" s="20"/>
      <c r="B340" s="20"/>
      <c r="C340" s="20"/>
      <c r="D340" s="20"/>
      <c r="E340" s="20"/>
      <c r="F340" s="20"/>
      <c r="G340" s="20"/>
      <c r="H340" s="20"/>
      <c r="I340" s="20"/>
      <c r="J340" s="20"/>
      <c r="K340" s="20"/>
      <c r="L340" s="20"/>
      <c r="M340" s="20"/>
      <c r="N340" s="20"/>
      <c r="O340" s="20"/>
      <c r="P340" s="20"/>
      <c r="Q340" s="20"/>
      <c r="R340" s="20"/>
      <c r="S340" s="20"/>
      <c r="T340" s="20"/>
      <c r="U340" s="20"/>
      <c r="V340" s="20"/>
      <c r="W340" s="20"/>
      <c r="X340" s="20"/>
      <c r="Y340" s="20"/>
      <c r="Z340" s="20"/>
    </row>
    <row r="341" ht="13.5" customHeight="1" spans="1:26">
      <c r="A341" s="20"/>
      <c r="B341" s="20"/>
      <c r="C341" s="20"/>
      <c r="D341" s="20"/>
      <c r="E341" s="20"/>
      <c r="F341" s="20"/>
      <c r="G341" s="20"/>
      <c r="H341" s="20"/>
      <c r="I341" s="20"/>
      <c r="J341" s="20"/>
      <c r="K341" s="20"/>
      <c r="L341" s="20"/>
      <c r="M341" s="20"/>
      <c r="N341" s="20"/>
      <c r="O341" s="20"/>
      <c r="P341" s="20"/>
      <c r="Q341" s="20"/>
      <c r="R341" s="20"/>
      <c r="S341" s="20"/>
      <c r="T341" s="20"/>
      <c r="U341" s="20"/>
      <c r="V341" s="20"/>
      <c r="W341" s="20"/>
      <c r="X341" s="20"/>
      <c r="Y341" s="20"/>
      <c r="Z341" s="20"/>
    </row>
    <row r="342" ht="13.5" customHeight="1" spans="1:26">
      <c r="A342" s="20"/>
      <c r="B342" s="20"/>
      <c r="C342" s="20"/>
      <c r="D342" s="20"/>
      <c r="E342" s="20"/>
      <c r="F342" s="20"/>
      <c r="G342" s="20"/>
      <c r="H342" s="20"/>
      <c r="I342" s="20"/>
      <c r="J342" s="20"/>
      <c r="K342" s="20"/>
      <c r="L342" s="20"/>
      <c r="M342" s="20"/>
      <c r="N342" s="20"/>
      <c r="O342" s="20"/>
      <c r="P342" s="20"/>
      <c r="Q342" s="20"/>
      <c r="R342" s="20"/>
      <c r="S342" s="20"/>
      <c r="T342" s="20"/>
      <c r="U342" s="20"/>
      <c r="V342" s="20"/>
      <c r="W342" s="20"/>
      <c r="X342" s="20"/>
      <c r="Y342" s="20"/>
      <c r="Z342" s="20"/>
    </row>
    <row r="343" ht="13.5" customHeight="1" spans="1:26">
      <c r="A343" s="20"/>
      <c r="B343" s="20"/>
      <c r="C343" s="20"/>
      <c r="D343" s="20"/>
      <c r="E343" s="20"/>
      <c r="F343" s="20"/>
      <c r="G343" s="20"/>
      <c r="H343" s="20"/>
      <c r="I343" s="20"/>
      <c r="J343" s="20"/>
      <c r="K343" s="20"/>
      <c r="L343" s="20"/>
      <c r="M343" s="20"/>
      <c r="N343" s="20"/>
      <c r="O343" s="20"/>
      <c r="P343" s="20"/>
      <c r="Q343" s="20"/>
      <c r="R343" s="20"/>
      <c r="S343" s="20"/>
      <c r="T343" s="20"/>
      <c r="U343" s="20"/>
      <c r="V343" s="20"/>
      <c r="W343" s="20"/>
      <c r="X343" s="20"/>
      <c r="Y343" s="20"/>
      <c r="Z343" s="20"/>
    </row>
    <row r="344" ht="13.5" customHeight="1" spans="1:26">
      <c r="A344" s="20"/>
      <c r="B344" s="20"/>
      <c r="C344" s="20"/>
      <c r="D344" s="20"/>
      <c r="E344" s="20"/>
      <c r="F344" s="20"/>
      <c r="G344" s="20"/>
      <c r="H344" s="20"/>
      <c r="I344" s="20"/>
      <c r="J344" s="20"/>
      <c r="K344" s="20"/>
      <c r="L344" s="20"/>
      <c r="M344" s="20"/>
      <c r="N344" s="20"/>
      <c r="O344" s="20"/>
      <c r="P344" s="20"/>
      <c r="Q344" s="20"/>
      <c r="R344" s="20"/>
      <c r="S344" s="20"/>
      <c r="T344" s="20"/>
      <c r="U344" s="20"/>
      <c r="V344" s="20"/>
      <c r="W344" s="20"/>
      <c r="X344" s="20"/>
      <c r="Y344" s="20"/>
      <c r="Z344" s="20"/>
    </row>
    <row r="345" ht="13.5" customHeight="1" spans="1:26">
      <c r="A345" s="20"/>
      <c r="B345" s="20"/>
      <c r="C345" s="20"/>
      <c r="D345" s="20"/>
      <c r="E345" s="20"/>
      <c r="F345" s="20"/>
      <c r="G345" s="20"/>
      <c r="H345" s="20"/>
      <c r="I345" s="20"/>
      <c r="J345" s="20"/>
      <c r="K345" s="20"/>
      <c r="L345" s="20"/>
      <c r="M345" s="20"/>
      <c r="N345" s="20"/>
      <c r="O345" s="20"/>
      <c r="P345" s="20"/>
      <c r="Q345" s="20"/>
      <c r="R345" s="20"/>
      <c r="S345" s="20"/>
      <c r="T345" s="20"/>
      <c r="U345" s="20"/>
      <c r="V345" s="20"/>
      <c r="W345" s="20"/>
      <c r="X345" s="20"/>
      <c r="Y345" s="20"/>
      <c r="Z345" s="20"/>
    </row>
    <row r="346" ht="13.5" customHeight="1" spans="1:26">
      <c r="A346" s="20"/>
      <c r="B346" s="20"/>
      <c r="C346" s="20"/>
      <c r="D346" s="20"/>
      <c r="E346" s="20"/>
      <c r="F346" s="20"/>
      <c r="G346" s="20"/>
      <c r="H346" s="20"/>
      <c r="I346" s="20"/>
      <c r="J346" s="20"/>
      <c r="K346" s="20"/>
      <c r="L346" s="20"/>
      <c r="M346" s="20"/>
      <c r="N346" s="20"/>
      <c r="O346" s="20"/>
      <c r="P346" s="20"/>
      <c r="Q346" s="20"/>
      <c r="R346" s="20"/>
      <c r="S346" s="20"/>
      <c r="T346" s="20"/>
      <c r="U346" s="20"/>
      <c r="V346" s="20"/>
      <c r="W346" s="20"/>
      <c r="X346" s="20"/>
      <c r="Y346" s="20"/>
      <c r="Z346" s="20"/>
    </row>
    <row r="347" ht="13.5" customHeight="1" spans="1:26">
      <c r="A347" s="20"/>
      <c r="B347" s="20"/>
      <c r="C347" s="20"/>
      <c r="D347" s="20"/>
      <c r="E347" s="20"/>
      <c r="F347" s="20"/>
      <c r="G347" s="20"/>
      <c r="H347" s="20"/>
      <c r="I347" s="20"/>
      <c r="J347" s="20"/>
      <c r="K347" s="20"/>
      <c r="L347" s="20"/>
      <c r="M347" s="20"/>
      <c r="N347" s="20"/>
      <c r="O347" s="20"/>
      <c r="P347" s="20"/>
      <c r="Q347" s="20"/>
      <c r="R347" s="20"/>
      <c r="S347" s="20"/>
      <c r="T347" s="20"/>
      <c r="U347" s="20"/>
      <c r="V347" s="20"/>
      <c r="W347" s="20"/>
      <c r="X347" s="20"/>
      <c r="Y347" s="20"/>
      <c r="Z347" s="20"/>
    </row>
    <row r="348" ht="13.5" customHeight="1" spans="1:26">
      <c r="A348" s="20"/>
      <c r="B348" s="20"/>
      <c r="C348" s="20"/>
      <c r="D348" s="20"/>
      <c r="E348" s="20"/>
      <c r="F348" s="20"/>
      <c r="G348" s="20"/>
      <c r="H348" s="20"/>
      <c r="I348" s="20"/>
      <c r="J348" s="20"/>
      <c r="K348" s="20"/>
      <c r="L348" s="20"/>
      <c r="M348" s="20"/>
      <c r="N348" s="20"/>
      <c r="O348" s="20"/>
      <c r="P348" s="20"/>
      <c r="Q348" s="20"/>
      <c r="R348" s="20"/>
      <c r="S348" s="20"/>
      <c r="T348" s="20"/>
      <c r="U348" s="20"/>
      <c r="V348" s="20"/>
      <c r="W348" s="20"/>
      <c r="X348" s="20"/>
      <c r="Y348" s="20"/>
      <c r="Z348" s="20"/>
    </row>
    <row r="349" ht="13.5" customHeight="1" spans="1:26">
      <c r="A349" s="20"/>
      <c r="B349" s="20"/>
      <c r="C349" s="20"/>
      <c r="D349" s="20"/>
      <c r="E349" s="20"/>
      <c r="F349" s="20"/>
      <c r="G349" s="20"/>
      <c r="H349" s="20"/>
      <c r="I349" s="20"/>
      <c r="J349" s="20"/>
      <c r="K349" s="20"/>
      <c r="L349" s="20"/>
      <c r="M349" s="20"/>
      <c r="N349" s="20"/>
      <c r="O349" s="20"/>
      <c r="P349" s="20"/>
      <c r="Q349" s="20"/>
      <c r="R349" s="20"/>
      <c r="S349" s="20"/>
      <c r="T349" s="20"/>
      <c r="U349" s="20"/>
      <c r="V349" s="20"/>
      <c r="W349" s="20"/>
      <c r="X349" s="20"/>
      <c r="Y349" s="20"/>
      <c r="Z349" s="20"/>
    </row>
    <row r="350" ht="13.5" customHeight="1" spans="1:26">
      <c r="A350" s="20"/>
      <c r="B350" s="20"/>
      <c r="C350" s="20"/>
      <c r="D350" s="20"/>
      <c r="E350" s="20"/>
      <c r="F350" s="20"/>
      <c r="G350" s="20"/>
      <c r="H350" s="20"/>
      <c r="I350" s="20"/>
      <c r="J350" s="20"/>
      <c r="K350" s="20"/>
      <c r="L350" s="20"/>
      <c r="M350" s="20"/>
      <c r="N350" s="20"/>
      <c r="O350" s="20"/>
      <c r="P350" s="20"/>
      <c r="Q350" s="20"/>
      <c r="R350" s="20"/>
      <c r="S350" s="20"/>
      <c r="T350" s="20"/>
      <c r="U350" s="20"/>
      <c r="V350" s="20"/>
      <c r="W350" s="20"/>
      <c r="X350" s="20"/>
      <c r="Y350" s="20"/>
      <c r="Z350" s="20"/>
    </row>
    <row r="351" ht="13.5" customHeight="1" spans="1:26">
      <c r="A351" s="20"/>
      <c r="B351" s="20"/>
      <c r="C351" s="20"/>
      <c r="D351" s="20"/>
      <c r="E351" s="20"/>
      <c r="F351" s="20"/>
      <c r="G351" s="20"/>
      <c r="H351" s="20"/>
      <c r="I351" s="20"/>
      <c r="J351" s="20"/>
      <c r="K351" s="20"/>
      <c r="L351" s="20"/>
      <c r="M351" s="20"/>
      <c r="N351" s="20"/>
      <c r="O351" s="20"/>
      <c r="P351" s="20"/>
      <c r="Q351" s="20"/>
      <c r="R351" s="20"/>
      <c r="S351" s="20"/>
      <c r="T351" s="20"/>
      <c r="U351" s="20"/>
      <c r="V351" s="20"/>
      <c r="W351" s="20"/>
      <c r="X351" s="20"/>
      <c r="Y351" s="20"/>
      <c r="Z351" s="20"/>
    </row>
    <row r="352" ht="13.5" customHeight="1" spans="1:26">
      <c r="A352" s="20"/>
      <c r="B352" s="20"/>
      <c r="C352" s="20"/>
      <c r="D352" s="20"/>
      <c r="E352" s="20"/>
      <c r="F352" s="20"/>
      <c r="G352" s="20"/>
      <c r="H352" s="20"/>
      <c r="I352" s="20"/>
      <c r="J352" s="20"/>
      <c r="K352" s="20"/>
      <c r="L352" s="20"/>
      <c r="M352" s="20"/>
      <c r="N352" s="20"/>
      <c r="O352" s="20"/>
      <c r="P352" s="20"/>
      <c r="Q352" s="20"/>
      <c r="R352" s="20"/>
      <c r="S352" s="20"/>
      <c r="T352" s="20"/>
      <c r="U352" s="20"/>
      <c r="V352" s="20"/>
      <c r="W352" s="20"/>
      <c r="X352" s="20"/>
      <c r="Y352" s="20"/>
      <c r="Z352" s="20"/>
    </row>
    <row r="353" ht="13.5" customHeight="1" spans="1:26">
      <c r="A353" s="20"/>
      <c r="B353" s="20"/>
      <c r="C353" s="20"/>
      <c r="D353" s="20"/>
      <c r="E353" s="20"/>
      <c r="F353" s="20"/>
      <c r="G353" s="20"/>
      <c r="H353" s="20"/>
      <c r="I353" s="20"/>
      <c r="J353" s="20"/>
      <c r="K353" s="20"/>
      <c r="L353" s="20"/>
      <c r="M353" s="20"/>
      <c r="N353" s="20"/>
      <c r="O353" s="20"/>
      <c r="P353" s="20"/>
      <c r="Q353" s="20"/>
      <c r="R353" s="20"/>
      <c r="S353" s="20"/>
      <c r="T353" s="20"/>
      <c r="U353" s="20"/>
      <c r="V353" s="20"/>
      <c r="W353" s="20"/>
      <c r="X353" s="20"/>
      <c r="Y353" s="20"/>
      <c r="Z353" s="20"/>
    </row>
    <row r="354" ht="13.5" customHeight="1" spans="1:26">
      <c r="A354" s="20"/>
      <c r="B354" s="20"/>
      <c r="C354" s="20"/>
      <c r="D354" s="20"/>
      <c r="E354" s="20"/>
      <c r="F354" s="20"/>
      <c r="G354" s="20"/>
      <c r="H354" s="20"/>
      <c r="I354" s="20"/>
      <c r="J354" s="20"/>
      <c r="K354" s="20"/>
      <c r="L354" s="20"/>
      <c r="M354" s="20"/>
      <c r="N354" s="20"/>
      <c r="O354" s="20"/>
      <c r="P354" s="20"/>
      <c r="Q354" s="20"/>
      <c r="R354" s="20"/>
      <c r="S354" s="20"/>
      <c r="T354" s="20"/>
      <c r="U354" s="20"/>
      <c r="V354" s="20"/>
      <c r="W354" s="20"/>
      <c r="X354" s="20"/>
      <c r="Y354" s="20"/>
      <c r="Z354" s="20"/>
    </row>
    <row r="355" ht="13.5" customHeight="1" spans="1:26">
      <c r="A355" s="20"/>
      <c r="B355" s="20"/>
      <c r="C355" s="20"/>
      <c r="D355" s="20"/>
      <c r="E355" s="20"/>
      <c r="F355" s="20"/>
      <c r="G355" s="20"/>
      <c r="H355" s="20"/>
      <c r="I355" s="20"/>
      <c r="J355" s="20"/>
      <c r="K355" s="20"/>
      <c r="L355" s="20"/>
      <c r="M355" s="20"/>
      <c r="N355" s="20"/>
      <c r="O355" s="20"/>
      <c r="P355" s="20"/>
      <c r="Q355" s="20"/>
      <c r="R355" s="20"/>
      <c r="S355" s="20"/>
      <c r="T355" s="20"/>
      <c r="U355" s="20"/>
      <c r="V355" s="20"/>
      <c r="W355" s="20"/>
      <c r="X355" s="20"/>
      <c r="Y355" s="20"/>
      <c r="Z355" s="20"/>
    </row>
    <row r="356" ht="13.5" customHeight="1" spans="1:26">
      <c r="A356" s="20"/>
      <c r="B356" s="20"/>
      <c r="C356" s="20"/>
      <c r="D356" s="20"/>
      <c r="E356" s="20"/>
      <c r="F356" s="20"/>
      <c r="G356" s="20"/>
      <c r="H356" s="20"/>
      <c r="I356" s="20"/>
      <c r="J356" s="20"/>
      <c r="K356" s="20"/>
      <c r="L356" s="20"/>
      <c r="M356" s="20"/>
      <c r="N356" s="20"/>
      <c r="O356" s="20"/>
      <c r="P356" s="20"/>
      <c r="Q356" s="20"/>
      <c r="R356" s="20"/>
      <c r="S356" s="20"/>
      <c r="T356" s="20"/>
      <c r="U356" s="20"/>
      <c r="V356" s="20"/>
      <c r="W356" s="20"/>
      <c r="X356" s="20"/>
      <c r="Y356" s="20"/>
      <c r="Z356" s="20"/>
    </row>
    <row r="357" ht="13.5" customHeight="1" spans="1:26">
      <c r="A357" s="20"/>
      <c r="B357" s="20"/>
      <c r="C357" s="20"/>
      <c r="D357" s="20"/>
      <c r="E357" s="20"/>
      <c r="F357" s="20"/>
      <c r="G357" s="20"/>
      <c r="H357" s="20"/>
      <c r="I357" s="20"/>
      <c r="J357" s="20"/>
      <c r="K357" s="20"/>
      <c r="L357" s="20"/>
      <c r="M357" s="20"/>
      <c r="N357" s="20"/>
      <c r="O357" s="20"/>
      <c r="P357" s="20"/>
      <c r="Q357" s="20"/>
      <c r="R357" s="20"/>
      <c r="S357" s="20"/>
      <c r="T357" s="20"/>
      <c r="U357" s="20"/>
      <c r="V357" s="20"/>
      <c r="W357" s="20"/>
      <c r="X357" s="20"/>
      <c r="Y357" s="20"/>
      <c r="Z357" s="20"/>
    </row>
    <row r="358" ht="13.5" customHeight="1" spans="1:26">
      <c r="A358" s="20"/>
      <c r="B358" s="20"/>
      <c r="C358" s="20"/>
      <c r="D358" s="20"/>
      <c r="E358" s="20"/>
      <c r="F358" s="20"/>
      <c r="G358" s="20"/>
      <c r="H358" s="20"/>
      <c r="I358" s="20"/>
      <c r="J358" s="20"/>
      <c r="K358" s="20"/>
      <c r="L358" s="20"/>
      <c r="M358" s="20"/>
      <c r="N358" s="20"/>
      <c r="O358" s="20"/>
      <c r="P358" s="20"/>
      <c r="Q358" s="20"/>
      <c r="R358" s="20"/>
      <c r="S358" s="20"/>
      <c r="T358" s="20"/>
      <c r="U358" s="20"/>
      <c r="V358" s="20"/>
      <c r="W358" s="20"/>
      <c r="X358" s="20"/>
      <c r="Y358" s="20"/>
      <c r="Z358" s="20"/>
    </row>
    <row r="359" ht="13.5" customHeight="1" spans="1:26">
      <c r="A359" s="20"/>
      <c r="B359" s="20"/>
      <c r="C359" s="20"/>
      <c r="D359" s="20"/>
      <c r="E359" s="20"/>
      <c r="F359" s="20"/>
      <c r="G359" s="20"/>
      <c r="H359" s="20"/>
      <c r="I359" s="20"/>
      <c r="J359" s="20"/>
      <c r="K359" s="20"/>
      <c r="L359" s="20"/>
      <c r="M359" s="20"/>
      <c r="N359" s="20"/>
      <c r="O359" s="20"/>
      <c r="P359" s="20"/>
      <c r="Q359" s="20"/>
      <c r="R359" s="20"/>
      <c r="S359" s="20"/>
      <c r="T359" s="20"/>
      <c r="U359" s="20"/>
      <c r="V359" s="20"/>
      <c r="W359" s="20"/>
      <c r="X359" s="20"/>
      <c r="Y359" s="20"/>
      <c r="Z359" s="20"/>
    </row>
    <row r="360" ht="13.5" customHeight="1" spans="1:26">
      <c r="A360" s="20"/>
      <c r="B360" s="20"/>
      <c r="C360" s="20"/>
      <c r="D360" s="20"/>
      <c r="E360" s="20"/>
      <c r="F360" s="20"/>
      <c r="G360" s="20"/>
      <c r="H360" s="20"/>
      <c r="I360" s="20"/>
      <c r="J360" s="20"/>
      <c r="K360" s="20"/>
      <c r="L360" s="20"/>
      <c r="M360" s="20"/>
      <c r="N360" s="20"/>
      <c r="O360" s="20"/>
      <c r="P360" s="20"/>
      <c r="Q360" s="20"/>
      <c r="R360" s="20"/>
      <c r="S360" s="20"/>
      <c r="T360" s="20"/>
      <c r="U360" s="20"/>
      <c r="V360" s="20"/>
      <c r="W360" s="20"/>
      <c r="X360" s="20"/>
      <c r="Y360" s="20"/>
      <c r="Z360" s="20"/>
    </row>
    <row r="361" ht="13.5" customHeight="1" spans="1:26">
      <c r="A361" s="20"/>
      <c r="B361" s="20"/>
      <c r="C361" s="20"/>
      <c r="D361" s="20"/>
      <c r="E361" s="20"/>
      <c r="F361" s="20"/>
      <c r="G361" s="20"/>
      <c r="H361" s="20"/>
      <c r="I361" s="20"/>
      <c r="J361" s="20"/>
      <c r="K361" s="20"/>
      <c r="L361" s="20"/>
      <c r="M361" s="20"/>
      <c r="N361" s="20"/>
      <c r="O361" s="20"/>
      <c r="P361" s="20"/>
      <c r="Q361" s="20"/>
      <c r="R361" s="20"/>
      <c r="S361" s="20"/>
      <c r="T361" s="20"/>
      <c r="U361" s="20"/>
      <c r="V361" s="20"/>
      <c r="W361" s="20"/>
      <c r="X361" s="20"/>
      <c r="Y361" s="20"/>
      <c r="Z361" s="20"/>
    </row>
    <row r="362" ht="13.5" customHeight="1" spans="1:26">
      <c r="A362" s="20"/>
      <c r="B362" s="20"/>
      <c r="C362" s="20"/>
      <c r="D362" s="20"/>
      <c r="E362" s="20"/>
      <c r="F362" s="20"/>
      <c r="G362" s="20"/>
      <c r="H362" s="20"/>
      <c r="I362" s="20"/>
      <c r="J362" s="20"/>
      <c r="K362" s="20"/>
      <c r="L362" s="20"/>
      <c r="M362" s="20"/>
      <c r="N362" s="20"/>
      <c r="O362" s="20"/>
      <c r="P362" s="20"/>
      <c r="Q362" s="20"/>
      <c r="R362" s="20"/>
      <c r="S362" s="20"/>
      <c r="T362" s="20"/>
      <c r="U362" s="20"/>
      <c r="V362" s="20"/>
      <c r="W362" s="20"/>
      <c r="X362" s="20"/>
      <c r="Y362" s="20"/>
      <c r="Z362" s="20"/>
    </row>
    <row r="363" ht="13.5" customHeight="1" spans="1:26">
      <c r="A363" s="20"/>
      <c r="B363" s="20"/>
      <c r="C363" s="20"/>
      <c r="D363" s="20"/>
      <c r="E363" s="20"/>
      <c r="F363" s="20"/>
      <c r="G363" s="20"/>
      <c r="H363" s="20"/>
      <c r="I363" s="20"/>
      <c r="J363" s="20"/>
      <c r="K363" s="20"/>
      <c r="L363" s="20"/>
      <c r="M363" s="20"/>
      <c r="N363" s="20"/>
      <c r="O363" s="20"/>
      <c r="P363" s="20"/>
      <c r="Q363" s="20"/>
      <c r="R363" s="20"/>
      <c r="S363" s="20"/>
      <c r="T363" s="20"/>
      <c r="U363" s="20"/>
      <c r="V363" s="20"/>
      <c r="W363" s="20"/>
      <c r="X363" s="20"/>
      <c r="Y363" s="20"/>
      <c r="Z363" s="20"/>
    </row>
    <row r="364" ht="13.5" customHeight="1" spans="1:26">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row>
    <row r="365" ht="13.5" customHeight="1" spans="1:26">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row>
    <row r="366" ht="13.5" customHeight="1" spans="1:26">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row>
    <row r="367" ht="13.5" customHeight="1" spans="1:26">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row>
    <row r="368" ht="13.5" customHeight="1" spans="1:26">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row>
    <row r="369" ht="13.5" customHeight="1" spans="1:26">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row>
    <row r="370" ht="13.5" customHeight="1" spans="1:26">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row>
    <row r="371" ht="13.5" customHeight="1" spans="1:26">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row>
    <row r="372" ht="13.5" customHeight="1" spans="1:26">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row>
    <row r="373" ht="13.5" customHeight="1" spans="1:26">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row>
    <row r="374" ht="13.5" customHeight="1" spans="1:26">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row>
    <row r="375" ht="13.5" customHeight="1" spans="1:26">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row>
    <row r="376" ht="13.5" customHeight="1" spans="1:26">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row>
    <row r="377" ht="13.5" customHeight="1" spans="1:26">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row>
    <row r="378" ht="13.5" customHeight="1" spans="1:26">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row>
    <row r="379" ht="13.5" customHeight="1" spans="1:26">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row>
    <row r="380" ht="13.5" customHeight="1" spans="1:26">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row>
    <row r="381" ht="13.5" customHeight="1" spans="1:26">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row>
    <row r="382" ht="13.5" customHeight="1" spans="1:26">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row>
    <row r="383" ht="13.5" customHeight="1" spans="1:26">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row>
    <row r="384" ht="13.5" customHeight="1" spans="1:26">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row>
    <row r="385" ht="13.5" customHeight="1" spans="1:26">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row>
    <row r="386" ht="13.5" customHeight="1" spans="1:26">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row>
    <row r="387" ht="13.5" customHeight="1" spans="1:26">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row>
    <row r="388" ht="13.5" customHeight="1" spans="1:26">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row>
    <row r="389" ht="13.5" customHeight="1" spans="1:26">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row>
    <row r="390" ht="13.5" customHeight="1" spans="1:26">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row>
    <row r="391" ht="13.5" customHeight="1" spans="1:26">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row>
    <row r="392" ht="13.5" customHeight="1" spans="1:26">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row>
    <row r="393" ht="13.5" customHeight="1" spans="1:26">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row>
    <row r="394" ht="13.5" customHeight="1" spans="1:26">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row>
    <row r="395" ht="13.5" customHeight="1" spans="1:26">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row>
    <row r="396" ht="13.5" customHeight="1" spans="1:26">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row>
    <row r="397" ht="13.5" customHeight="1" spans="1:26">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row>
    <row r="398" ht="13.5" customHeight="1" spans="1:26">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row>
    <row r="399" ht="13.5" customHeight="1" spans="1:26">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row>
    <row r="400" ht="13.5" customHeight="1" spans="1:26">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row>
    <row r="401" ht="13.5" customHeight="1" spans="1:26">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row>
    <row r="402" ht="13.5" customHeight="1" spans="1:26">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row>
    <row r="403" ht="13.5" customHeight="1" spans="1:26">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row>
    <row r="404" ht="13.5" customHeight="1" spans="1:26">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row>
    <row r="405" ht="13.5" customHeight="1" spans="1:26">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row>
    <row r="406" ht="13.5" customHeight="1" spans="1:26">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row>
    <row r="407" ht="13.5" customHeight="1" spans="1:26">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row>
    <row r="408" ht="13.5" customHeight="1" spans="1:26">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row>
    <row r="409" ht="13.5" customHeight="1" spans="1:26">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row>
    <row r="410" ht="13.5" customHeight="1" spans="1:26">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row>
    <row r="411" ht="13.5" customHeight="1" spans="1:26">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row>
    <row r="412" ht="13.5" customHeight="1" spans="1:26">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row>
    <row r="413" ht="13.5" customHeight="1" spans="1:26">
      <c r="A413" s="20"/>
      <c r="B413" s="20"/>
      <c r="C413" s="20"/>
      <c r="D413" s="20"/>
      <c r="E413" s="20"/>
      <c r="F413" s="20"/>
      <c r="G413" s="20"/>
      <c r="H413" s="20"/>
      <c r="I413" s="20"/>
      <c r="J413" s="20"/>
      <c r="K413" s="20"/>
      <c r="L413" s="20"/>
      <c r="M413" s="20"/>
      <c r="N413" s="20"/>
      <c r="O413" s="20"/>
      <c r="P413" s="20"/>
      <c r="Q413" s="20"/>
      <c r="R413" s="20"/>
      <c r="S413" s="20"/>
      <c r="T413" s="20"/>
      <c r="U413" s="20"/>
      <c r="V413" s="20"/>
      <c r="W413" s="20"/>
      <c r="X413" s="20"/>
      <c r="Y413" s="20"/>
      <c r="Z413" s="20"/>
    </row>
    <row r="414" ht="13.5" customHeight="1" spans="1:26">
      <c r="A414" s="20"/>
      <c r="B414" s="20"/>
      <c r="C414" s="20"/>
      <c r="D414" s="20"/>
      <c r="E414" s="20"/>
      <c r="F414" s="20"/>
      <c r="G414" s="20"/>
      <c r="H414" s="20"/>
      <c r="I414" s="20"/>
      <c r="J414" s="20"/>
      <c r="K414" s="20"/>
      <c r="L414" s="20"/>
      <c r="M414" s="20"/>
      <c r="N414" s="20"/>
      <c r="O414" s="20"/>
      <c r="P414" s="20"/>
      <c r="Q414" s="20"/>
      <c r="R414" s="20"/>
      <c r="S414" s="20"/>
      <c r="T414" s="20"/>
      <c r="U414" s="20"/>
      <c r="V414" s="20"/>
      <c r="W414" s="20"/>
      <c r="X414" s="20"/>
      <c r="Y414" s="20"/>
      <c r="Z414" s="20"/>
    </row>
    <row r="415" ht="13.5" customHeight="1" spans="1:26">
      <c r="A415" s="20"/>
      <c r="B415" s="20"/>
      <c r="C415" s="20"/>
      <c r="D415" s="20"/>
      <c r="E415" s="20"/>
      <c r="F415" s="20"/>
      <c r="G415" s="20"/>
      <c r="H415" s="20"/>
      <c r="I415" s="20"/>
      <c r="J415" s="20"/>
      <c r="K415" s="20"/>
      <c r="L415" s="20"/>
      <c r="M415" s="20"/>
      <c r="N415" s="20"/>
      <c r="O415" s="20"/>
      <c r="P415" s="20"/>
      <c r="Q415" s="20"/>
      <c r="R415" s="20"/>
      <c r="S415" s="20"/>
      <c r="T415" s="20"/>
      <c r="U415" s="20"/>
      <c r="V415" s="20"/>
      <c r="W415" s="20"/>
      <c r="X415" s="20"/>
      <c r="Y415" s="20"/>
      <c r="Z415" s="20"/>
    </row>
    <row r="416" ht="13.5" customHeight="1" spans="1:26">
      <c r="A416" s="20"/>
      <c r="B416" s="20"/>
      <c r="C416" s="20"/>
      <c r="D416" s="20"/>
      <c r="E416" s="20"/>
      <c r="F416" s="20"/>
      <c r="G416" s="20"/>
      <c r="H416" s="20"/>
      <c r="I416" s="20"/>
      <c r="J416" s="20"/>
      <c r="K416" s="20"/>
      <c r="L416" s="20"/>
      <c r="M416" s="20"/>
      <c r="N416" s="20"/>
      <c r="O416" s="20"/>
      <c r="P416" s="20"/>
      <c r="Q416" s="20"/>
      <c r="R416" s="20"/>
      <c r="S416" s="20"/>
      <c r="T416" s="20"/>
      <c r="U416" s="20"/>
      <c r="V416" s="20"/>
      <c r="W416" s="20"/>
      <c r="X416" s="20"/>
      <c r="Y416" s="20"/>
      <c r="Z416" s="20"/>
    </row>
    <row r="417" ht="13.5" customHeight="1" spans="1:26">
      <c r="A417" s="20"/>
      <c r="B417" s="20"/>
      <c r="C417" s="20"/>
      <c r="D417" s="20"/>
      <c r="E417" s="20"/>
      <c r="F417" s="20"/>
      <c r="G417" s="20"/>
      <c r="H417" s="20"/>
      <c r="I417" s="20"/>
      <c r="J417" s="20"/>
      <c r="K417" s="20"/>
      <c r="L417" s="20"/>
      <c r="M417" s="20"/>
      <c r="N417" s="20"/>
      <c r="O417" s="20"/>
      <c r="P417" s="20"/>
      <c r="Q417" s="20"/>
      <c r="R417" s="20"/>
      <c r="S417" s="20"/>
      <c r="T417" s="20"/>
      <c r="U417" s="20"/>
      <c r="V417" s="20"/>
      <c r="W417" s="20"/>
      <c r="X417" s="20"/>
      <c r="Y417" s="20"/>
      <c r="Z417" s="20"/>
    </row>
    <row r="418" ht="13.5" customHeight="1" spans="1:26">
      <c r="A418" s="20"/>
      <c r="B418" s="20"/>
      <c r="C418" s="20"/>
      <c r="D418" s="20"/>
      <c r="E418" s="20"/>
      <c r="F418" s="20"/>
      <c r="G418" s="20"/>
      <c r="H418" s="20"/>
      <c r="I418" s="20"/>
      <c r="J418" s="20"/>
      <c r="K418" s="20"/>
      <c r="L418" s="20"/>
      <c r="M418" s="20"/>
      <c r="N418" s="20"/>
      <c r="O418" s="20"/>
      <c r="P418" s="20"/>
      <c r="Q418" s="20"/>
      <c r="R418" s="20"/>
      <c r="S418" s="20"/>
      <c r="T418" s="20"/>
      <c r="U418" s="20"/>
      <c r="V418" s="20"/>
      <c r="W418" s="20"/>
      <c r="X418" s="20"/>
      <c r="Y418" s="20"/>
      <c r="Z418" s="20"/>
    </row>
    <row r="419" ht="13.5" customHeight="1" spans="1:26">
      <c r="A419" s="20"/>
      <c r="B419" s="20"/>
      <c r="C419" s="20"/>
      <c r="D419" s="20"/>
      <c r="E419" s="20"/>
      <c r="F419" s="20"/>
      <c r="G419" s="20"/>
      <c r="H419" s="20"/>
      <c r="I419" s="20"/>
      <c r="J419" s="20"/>
      <c r="K419" s="20"/>
      <c r="L419" s="20"/>
      <c r="M419" s="20"/>
      <c r="N419" s="20"/>
      <c r="O419" s="20"/>
      <c r="P419" s="20"/>
      <c r="Q419" s="20"/>
      <c r="R419" s="20"/>
      <c r="S419" s="20"/>
      <c r="T419" s="20"/>
      <c r="U419" s="20"/>
      <c r="V419" s="20"/>
      <c r="W419" s="20"/>
      <c r="X419" s="20"/>
      <c r="Y419" s="20"/>
      <c r="Z419" s="20"/>
    </row>
    <row r="420" ht="13.5" customHeight="1" spans="1:26">
      <c r="A420" s="20"/>
      <c r="B420" s="20"/>
      <c r="C420" s="20"/>
      <c r="D420" s="20"/>
      <c r="E420" s="20"/>
      <c r="F420" s="20"/>
      <c r="G420" s="20"/>
      <c r="H420" s="20"/>
      <c r="I420" s="20"/>
      <c r="J420" s="20"/>
      <c r="K420" s="20"/>
      <c r="L420" s="20"/>
      <c r="M420" s="20"/>
      <c r="N420" s="20"/>
      <c r="O420" s="20"/>
      <c r="P420" s="20"/>
      <c r="Q420" s="20"/>
      <c r="R420" s="20"/>
      <c r="S420" s="20"/>
      <c r="T420" s="20"/>
      <c r="U420" s="20"/>
      <c r="V420" s="20"/>
      <c r="W420" s="20"/>
      <c r="X420" s="20"/>
      <c r="Y420" s="20"/>
      <c r="Z420" s="20"/>
    </row>
    <row r="421" ht="13.5" customHeight="1" spans="1:26">
      <c r="A421" s="20"/>
      <c r="B421" s="20"/>
      <c r="C421" s="20"/>
      <c r="D421" s="20"/>
      <c r="E421" s="20"/>
      <c r="F421" s="20"/>
      <c r="G421" s="20"/>
      <c r="H421" s="20"/>
      <c r="I421" s="20"/>
      <c r="J421" s="20"/>
      <c r="K421" s="20"/>
      <c r="L421" s="20"/>
      <c r="M421" s="20"/>
      <c r="N421" s="20"/>
      <c r="O421" s="20"/>
      <c r="P421" s="20"/>
      <c r="Q421" s="20"/>
      <c r="R421" s="20"/>
      <c r="S421" s="20"/>
      <c r="T421" s="20"/>
      <c r="U421" s="20"/>
      <c r="V421" s="20"/>
      <c r="W421" s="20"/>
      <c r="X421" s="20"/>
      <c r="Y421" s="20"/>
      <c r="Z421" s="20"/>
    </row>
    <row r="422" ht="13.5" customHeight="1" spans="1:26">
      <c r="A422" s="20"/>
      <c r="B422" s="20"/>
      <c r="C422" s="20"/>
      <c r="D422" s="20"/>
      <c r="E422" s="20"/>
      <c r="F422" s="20"/>
      <c r="G422" s="20"/>
      <c r="H422" s="20"/>
      <c r="I422" s="20"/>
      <c r="J422" s="20"/>
      <c r="K422" s="20"/>
      <c r="L422" s="20"/>
      <c r="M422" s="20"/>
      <c r="N422" s="20"/>
      <c r="O422" s="20"/>
      <c r="P422" s="20"/>
      <c r="Q422" s="20"/>
      <c r="R422" s="20"/>
      <c r="S422" s="20"/>
      <c r="T422" s="20"/>
      <c r="U422" s="20"/>
      <c r="V422" s="20"/>
      <c r="W422" s="20"/>
      <c r="X422" s="20"/>
      <c r="Y422" s="20"/>
      <c r="Z422" s="20"/>
    </row>
    <row r="423" ht="13.5" customHeight="1" spans="1:26">
      <c r="A423" s="20"/>
      <c r="B423" s="20"/>
      <c r="C423" s="20"/>
      <c r="D423" s="20"/>
      <c r="E423" s="20"/>
      <c r="F423" s="20"/>
      <c r="G423" s="20"/>
      <c r="H423" s="20"/>
      <c r="I423" s="20"/>
      <c r="J423" s="20"/>
      <c r="K423" s="20"/>
      <c r="L423" s="20"/>
      <c r="M423" s="20"/>
      <c r="N423" s="20"/>
      <c r="O423" s="20"/>
      <c r="P423" s="20"/>
      <c r="Q423" s="20"/>
      <c r="R423" s="20"/>
      <c r="S423" s="20"/>
      <c r="T423" s="20"/>
      <c r="U423" s="20"/>
      <c r="V423" s="20"/>
      <c r="W423" s="20"/>
      <c r="X423" s="20"/>
      <c r="Y423" s="20"/>
      <c r="Z423" s="20"/>
    </row>
    <row r="424" ht="13.5" customHeight="1" spans="1:26">
      <c r="A424" s="20"/>
      <c r="B424" s="20"/>
      <c r="C424" s="20"/>
      <c r="D424" s="20"/>
      <c r="E424" s="20"/>
      <c r="F424" s="20"/>
      <c r="G424" s="20"/>
      <c r="H424" s="20"/>
      <c r="I424" s="20"/>
      <c r="J424" s="20"/>
      <c r="K424" s="20"/>
      <c r="L424" s="20"/>
      <c r="M424" s="20"/>
      <c r="N424" s="20"/>
      <c r="O424" s="20"/>
      <c r="P424" s="20"/>
      <c r="Q424" s="20"/>
      <c r="R424" s="20"/>
      <c r="S424" s="20"/>
      <c r="T424" s="20"/>
      <c r="U424" s="20"/>
      <c r="V424" s="20"/>
      <c r="W424" s="20"/>
      <c r="X424" s="20"/>
      <c r="Y424" s="20"/>
      <c r="Z424" s="20"/>
    </row>
    <row r="425" ht="13.5" customHeight="1" spans="1:26">
      <c r="A425" s="20"/>
      <c r="B425" s="20"/>
      <c r="C425" s="20"/>
      <c r="D425" s="20"/>
      <c r="E425" s="20"/>
      <c r="F425" s="20"/>
      <c r="G425" s="20"/>
      <c r="H425" s="20"/>
      <c r="I425" s="20"/>
      <c r="J425" s="20"/>
      <c r="K425" s="20"/>
      <c r="L425" s="20"/>
      <c r="M425" s="20"/>
      <c r="N425" s="20"/>
      <c r="O425" s="20"/>
      <c r="P425" s="20"/>
      <c r="Q425" s="20"/>
      <c r="R425" s="20"/>
      <c r="S425" s="20"/>
      <c r="T425" s="20"/>
      <c r="U425" s="20"/>
      <c r="V425" s="20"/>
      <c r="W425" s="20"/>
      <c r="X425" s="20"/>
      <c r="Y425" s="20"/>
      <c r="Z425" s="20"/>
    </row>
    <row r="426" ht="13.5" customHeight="1" spans="1:26">
      <c r="A426" s="20"/>
      <c r="B426" s="20"/>
      <c r="C426" s="20"/>
      <c r="D426" s="20"/>
      <c r="E426" s="20"/>
      <c r="F426" s="20"/>
      <c r="G426" s="20"/>
      <c r="H426" s="20"/>
      <c r="I426" s="20"/>
      <c r="J426" s="20"/>
      <c r="K426" s="20"/>
      <c r="L426" s="20"/>
      <c r="M426" s="20"/>
      <c r="N426" s="20"/>
      <c r="O426" s="20"/>
      <c r="P426" s="20"/>
      <c r="Q426" s="20"/>
      <c r="R426" s="20"/>
      <c r="S426" s="20"/>
      <c r="T426" s="20"/>
      <c r="U426" s="20"/>
      <c r="V426" s="20"/>
      <c r="W426" s="20"/>
      <c r="X426" s="20"/>
      <c r="Y426" s="20"/>
      <c r="Z426" s="20"/>
    </row>
    <row r="427" ht="13.5" customHeight="1" spans="1:26">
      <c r="A427" s="20"/>
      <c r="B427" s="20"/>
      <c r="C427" s="20"/>
      <c r="D427" s="20"/>
      <c r="E427" s="20"/>
      <c r="F427" s="20"/>
      <c r="G427" s="20"/>
      <c r="H427" s="20"/>
      <c r="I427" s="20"/>
      <c r="J427" s="20"/>
      <c r="K427" s="20"/>
      <c r="L427" s="20"/>
      <c r="M427" s="20"/>
      <c r="N427" s="20"/>
      <c r="O427" s="20"/>
      <c r="P427" s="20"/>
      <c r="Q427" s="20"/>
      <c r="R427" s="20"/>
      <c r="S427" s="20"/>
      <c r="T427" s="20"/>
      <c r="U427" s="20"/>
      <c r="V427" s="20"/>
      <c r="W427" s="20"/>
      <c r="X427" s="20"/>
      <c r="Y427" s="20"/>
      <c r="Z427" s="20"/>
    </row>
    <row r="428" ht="13.5" customHeight="1" spans="1:26">
      <c r="A428" s="20"/>
      <c r="B428" s="20"/>
      <c r="C428" s="20"/>
      <c r="D428" s="20"/>
      <c r="E428" s="20"/>
      <c r="F428" s="20"/>
      <c r="G428" s="20"/>
      <c r="H428" s="20"/>
      <c r="I428" s="20"/>
      <c r="J428" s="20"/>
      <c r="K428" s="20"/>
      <c r="L428" s="20"/>
      <c r="M428" s="20"/>
      <c r="N428" s="20"/>
      <c r="O428" s="20"/>
      <c r="P428" s="20"/>
      <c r="Q428" s="20"/>
      <c r="R428" s="20"/>
      <c r="S428" s="20"/>
      <c r="T428" s="20"/>
      <c r="U428" s="20"/>
      <c r="V428" s="20"/>
      <c r="W428" s="20"/>
      <c r="X428" s="20"/>
      <c r="Y428" s="20"/>
      <c r="Z428" s="20"/>
    </row>
    <row r="429" ht="13.5" customHeight="1" spans="1:26">
      <c r="A429" s="20"/>
      <c r="B429" s="20"/>
      <c r="C429" s="20"/>
      <c r="D429" s="20"/>
      <c r="E429" s="20"/>
      <c r="F429" s="20"/>
      <c r="G429" s="20"/>
      <c r="H429" s="20"/>
      <c r="I429" s="20"/>
      <c r="J429" s="20"/>
      <c r="K429" s="20"/>
      <c r="L429" s="20"/>
      <c r="M429" s="20"/>
      <c r="N429" s="20"/>
      <c r="O429" s="20"/>
      <c r="P429" s="20"/>
      <c r="Q429" s="20"/>
      <c r="R429" s="20"/>
      <c r="S429" s="20"/>
      <c r="T429" s="20"/>
      <c r="U429" s="20"/>
      <c r="V429" s="20"/>
      <c r="W429" s="20"/>
      <c r="X429" s="20"/>
      <c r="Y429" s="20"/>
      <c r="Z429" s="20"/>
    </row>
    <row r="430" ht="13.5" customHeight="1" spans="1:26">
      <c r="A430" s="20"/>
      <c r="B430" s="20"/>
      <c r="C430" s="20"/>
      <c r="D430" s="20"/>
      <c r="E430" s="20"/>
      <c r="F430" s="20"/>
      <c r="G430" s="20"/>
      <c r="H430" s="20"/>
      <c r="I430" s="20"/>
      <c r="J430" s="20"/>
      <c r="K430" s="20"/>
      <c r="L430" s="20"/>
      <c r="M430" s="20"/>
      <c r="N430" s="20"/>
      <c r="O430" s="20"/>
      <c r="P430" s="20"/>
      <c r="Q430" s="20"/>
      <c r="R430" s="20"/>
      <c r="S430" s="20"/>
      <c r="T430" s="20"/>
      <c r="U430" s="20"/>
      <c r="V430" s="20"/>
      <c r="W430" s="20"/>
      <c r="X430" s="20"/>
      <c r="Y430" s="20"/>
      <c r="Z430" s="20"/>
    </row>
    <row r="431" ht="13.5" customHeight="1" spans="1:26">
      <c r="A431" s="20"/>
      <c r="B431" s="20"/>
      <c r="C431" s="20"/>
      <c r="D431" s="20"/>
      <c r="E431" s="20"/>
      <c r="F431" s="20"/>
      <c r="G431" s="20"/>
      <c r="H431" s="20"/>
      <c r="I431" s="20"/>
      <c r="J431" s="20"/>
      <c r="K431" s="20"/>
      <c r="L431" s="20"/>
      <c r="M431" s="20"/>
      <c r="N431" s="20"/>
      <c r="O431" s="20"/>
      <c r="P431" s="20"/>
      <c r="Q431" s="20"/>
      <c r="R431" s="20"/>
      <c r="S431" s="20"/>
      <c r="T431" s="20"/>
      <c r="U431" s="20"/>
      <c r="V431" s="20"/>
      <c r="W431" s="20"/>
      <c r="X431" s="20"/>
      <c r="Y431" s="20"/>
      <c r="Z431" s="20"/>
    </row>
    <row r="432" ht="13.5" customHeight="1" spans="1:26">
      <c r="A432" s="20"/>
      <c r="B432" s="20"/>
      <c r="C432" s="20"/>
      <c r="D432" s="20"/>
      <c r="E432" s="20"/>
      <c r="F432" s="20"/>
      <c r="G432" s="20"/>
      <c r="H432" s="20"/>
      <c r="I432" s="20"/>
      <c r="J432" s="20"/>
      <c r="K432" s="20"/>
      <c r="L432" s="20"/>
      <c r="M432" s="20"/>
      <c r="N432" s="20"/>
      <c r="O432" s="20"/>
      <c r="P432" s="20"/>
      <c r="Q432" s="20"/>
      <c r="R432" s="20"/>
      <c r="S432" s="20"/>
      <c r="T432" s="20"/>
      <c r="U432" s="20"/>
      <c r="V432" s="20"/>
      <c r="W432" s="20"/>
      <c r="X432" s="20"/>
      <c r="Y432" s="20"/>
      <c r="Z432" s="20"/>
    </row>
    <row r="433" ht="13.5" customHeight="1" spans="1:26">
      <c r="A433" s="20"/>
      <c r="B433" s="20"/>
      <c r="C433" s="20"/>
      <c r="D433" s="20"/>
      <c r="E433" s="20"/>
      <c r="F433" s="20"/>
      <c r="G433" s="20"/>
      <c r="H433" s="20"/>
      <c r="I433" s="20"/>
      <c r="J433" s="20"/>
      <c r="K433" s="20"/>
      <c r="L433" s="20"/>
      <c r="M433" s="20"/>
      <c r="N433" s="20"/>
      <c r="O433" s="20"/>
      <c r="P433" s="20"/>
      <c r="Q433" s="20"/>
      <c r="R433" s="20"/>
      <c r="S433" s="20"/>
      <c r="T433" s="20"/>
      <c r="U433" s="20"/>
      <c r="V433" s="20"/>
      <c r="W433" s="20"/>
      <c r="X433" s="20"/>
      <c r="Y433" s="20"/>
      <c r="Z433" s="20"/>
    </row>
    <row r="434" ht="13.5" customHeight="1" spans="1:26">
      <c r="A434" s="20"/>
      <c r="B434" s="20"/>
      <c r="C434" s="20"/>
      <c r="D434" s="20"/>
      <c r="E434" s="20"/>
      <c r="F434" s="20"/>
      <c r="G434" s="20"/>
      <c r="H434" s="20"/>
      <c r="I434" s="20"/>
      <c r="J434" s="20"/>
      <c r="K434" s="20"/>
      <c r="L434" s="20"/>
      <c r="M434" s="20"/>
      <c r="N434" s="20"/>
      <c r="O434" s="20"/>
      <c r="P434" s="20"/>
      <c r="Q434" s="20"/>
      <c r="R434" s="20"/>
      <c r="S434" s="20"/>
      <c r="T434" s="20"/>
      <c r="U434" s="20"/>
      <c r="V434" s="20"/>
      <c r="W434" s="20"/>
      <c r="X434" s="20"/>
      <c r="Y434" s="20"/>
      <c r="Z434" s="20"/>
    </row>
    <row r="435" ht="13.5" customHeight="1" spans="1:26">
      <c r="A435" s="20"/>
      <c r="B435" s="20"/>
      <c r="C435" s="20"/>
      <c r="D435" s="20"/>
      <c r="E435" s="20"/>
      <c r="F435" s="20"/>
      <c r="G435" s="20"/>
      <c r="H435" s="20"/>
      <c r="I435" s="20"/>
      <c r="J435" s="20"/>
      <c r="K435" s="20"/>
      <c r="L435" s="20"/>
      <c r="M435" s="20"/>
      <c r="N435" s="20"/>
      <c r="O435" s="20"/>
      <c r="P435" s="20"/>
      <c r="Q435" s="20"/>
      <c r="R435" s="20"/>
      <c r="S435" s="20"/>
      <c r="T435" s="20"/>
      <c r="U435" s="20"/>
      <c r="V435" s="20"/>
      <c r="W435" s="20"/>
      <c r="X435" s="20"/>
      <c r="Y435" s="20"/>
      <c r="Z435" s="20"/>
    </row>
    <row r="436" ht="13.5" customHeight="1" spans="1:26">
      <c r="A436" s="20"/>
      <c r="B436" s="20"/>
      <c r="C436" s="20"/>
      <c r="D436" s="20"/>
      <c r="E436" s="20"/>
      <c r="F436" s="20"/>
      <c r="G436" s="20"/>
      <c r="H436" s="20"/>
      <c r="I436" s="20"/>
      <c r="J436" s="20"/>
      <c r="K436" s="20"/>
      <c r="L436" s="20"/>
      <c r="M436" s="20"/>
      <c r="N436" s="20"/>
      <c r="O436" s="20"/>
      <c r="P436" s="20"/>
      <c r="Q436" s="20"/>
      <c r="R436" s="20"/>
      <c r="S436" s="20"/>
      <c r="T436" s="20"/>
      <c r="U436" s="20"/>
      <c r="V436" s="20"/>
      <c r="W436" s="20"/>
      <c r="X436" s="20"/>
      <c r="Y436" s="20"/>
      <c r="Z436" s="20"/>
    </row>
    <row r="437" ht="13.5" customHeight="1" spans="1:26">
      <c r="A437" s="20"/>
      <c r="B437" s="20"/>
      <c r="C437" s="20"/>
      <c r="D437" s="20"/>
      <c r="E437" s="20"/>
      <c r="F437" s="20"/>
      <c r="G437" s="20"/>
      <c r="H437" s="20"/>
      <c r="I437" s="20"/>
      <c r="J437" s="20"/>
      <c r="K437" s="20"/>
      <c r="L437" s="20"/>
      <c r="M437" s="20"/>
      <c r="N437" s="20"/>
      <c r="O437" s="20"/>
      <c r="P437" s="20"/>
      <c r="Q437" s="20"/>
      <c r="R437" s="20"/>
      <c r="S437" s="20"/>
      <c r="T437" s="20"/>
      <c r="U437" s="20"/>
      <c r="V437" s="20"/>
      <c r="W437" s="20"/>
      <c r="X437" s="20"/>
      <c r="Y437" s="20"/>
      <c r="Z437" s="20"/>
    </row>
    <row r="438" ht="13.5" customHeight="1" spans="1:26">
      <c r="A438" s="20"/>
      <c r="B438" s="20"/>
      <c r="C438" s="20"/>
      <c r="D438" s="20"/>
      <c r="E438" s="20"/>
      <c r="F438" s="20"/>
      <c r="G438" s="20"/>
      <c r="H438" s="20"/>
      <c r="I438" s="20"/>
      <c r="J438" s="20"/>
      <c r="K438" s="20"/>
      <c r="L438" s="20"/>
      <c r="M438" s="20"/>
      <c r="N438" s="20"/>
      <c r="O438" s="20"/>
      <c r="P438" s="20"/>
      <c r="Q438" s="20"/>
      <c r="R438" s="20"/>
      <c r="S438" s="20"/>
      <c r="T438" s="20"/>
      <c r="U438" s="20"/>
      <c r="V438" s="20"/>
      <c r="W438" s="20"/>
      <c r="X438" s="20"/>
      <c r="Y438" s="20"/>
      <c r="Z438" s="20"/>
    </row>
    <row r="439" ht="13.5" customHeight="1" spans="1:26">
      <c r="A439" s="20"/>
      <c r="B439" s="20"/>
      <c r="C439" s="20"/>
      <c r="D439" s="20"/>
      <c r="E439" s="20"/>
      <c r="F439" s="20"/>
      <c r="G439" s="20"/>
      <c r="H439" s="20"/>
      <c r="I439" s="20"/>
      <c r="J439" s="20"/>
      <c r="K439" s="20"/>
      <c r="L439" s="20"/>
      <c r="M439" s="20"/>
      <c r="N439" s="20"/>
      <c r="O439" s="20"/>
      <c r="P439" s="20"/>
      <c r="Q439" s="20"/>
      <c r="R439" s="20"/>
      <c r="S439" s="20"/>
      <c r="T439" s="20"/>
      <c r="U439" s="20"/>
      <c r="V439" s="20"/>
      <c r="W439" s="20"/>
      <c r="X439" s="20"/>
      <c r="Y439" s="20"/>
      <c r="Z439" s="20"/>
    </row>
    <row r="440" ht="13.5" customHeight="1" spans="1:26">
      <c r="A440" s="20"/>
      <c r="B440" s="20"/>
      <c r="C440" s="20"/>
      <c r="D440" s="20"/>
      <c r="E440" s="20"/>
      <c r="F440" s="20"/>
      <c r="G440" s="20"/>
      <c r="H440" s="20"/>
      <c r="I440" s="20"/>
      <c r="J440" s="20"/>
      <c r="K440" s="20"/>
      <c r="L440" s="20"/>
      <c r="M440" s="20"/>
      <c r="N440" s="20"/>
      <c r="O440" s="20"/>
      <c r="P440" s="20"/>
      <c r="Q440" s="20"/>
      <c r="R440" s="20"/>
      <c r="S440" s="20"/>
      <c r="T440" s="20"/>
      <c r="U440" s="20"/>
      <c r="V440" s="20"/>
      <c r="W440" s="20"/>
      <c r="X440" s="20"/>
      <c r="Y440" s="20"/>
      <c r="Z440" s="20"/>
    </row>
    <row r="441" ht="13.5" customHeight="1" spans="1:26">
      <c r="A441" s="20"/>
      <c r="B441" s="20"/>
      <c r="C441" s="20"/>
      <c r="D441" s="20"/>
      <c r="E441" s="20"/>
      <c r="F441" s="20"/>
      <c r="G441" s="20"/>
      <c r="H441" s="20"/>
      <c r="I441" s="20"/>
      <c r="J441" s="20"/>
      <c r="K441" s="20"/>
      <c r="L441" s="20"/>
      <c r="M441" s="20"/>
      <c r="N441" s="20"/>
      <c r="O441" s="20"/>
      <c r="P441" s="20"/>
      <c r="Q441" s="20"/>
      <c r="R441" s="20"/>
      <c r="S441" s="20"/>
      <c r="T441" s="20"/>
      <c r="U441" s="20"/>
      <c r="V441" s="20"/>
      <c r="W441" s="20"/>
      <c r="X441" s="20"/>
      <c r="Y441" s="20"/>
      <c r="Z441" s="20"/>
    </row>
    <row r="442" ht="13.5" customHeight="1" spans="1:26">
      <c r="A442" s="20"/>
      <c r="B442" s="20"/>
      <c r="C442" s="20"/>
      <c r="D442" s="20"/>
      <c r="E442" s="20"/>
      <c r="F442" s="20"/>
      <c r="G442" s="20"/>
      <c r="H442" s="20"/>
      <c r="I442" s="20"/>
      <c r="J442" s="20"/>
      <c r="K442" s="20"/>
      <c r="L442" s="20"/>
      <c r="M442" s="20"/>
      <c r="N442" s="20"/>
      <c r="O442" s="20"/>
      <c r="P442" s="20"/>
      <c r="Q442" s="20"/>
      <c r="R442" s="20"/>
      <c r="S442" s="20"/>
      <c r="T442" s="20"/>
      <c r="U442" s="20"/>
      <c r="V442" s="20"/>
      <c r="W442" s="20"/>
      <c r="X442" s="20"/>
      <c r="Y442" s="20"/>
      <c r="Z442" s="20"/>
    </row>
    <row r="443" ht="13.5" customHeight="1" spans="1:26">
      <c r="A443" s="20"/>
      <c r="B443" s="20"/>
      <c r="C443" s="20"/>
      <c r="D443" s="20"/>
      <c r="E443" s="20"/>
      <c r="F443" s="20"/>
      <c r="G443" s="20"/>
      <c r="H443" s="20"/>
      <c r="I443" s="20"/>
      <c r="J443" s="20"/>
      <c r="K443" s="20"/>
      <c r="L443" s="20"/>
      <c r="M443" s="20"/>
      <c r="N443" s="20"/>
      <c r="O443" s="20"/>
      <c r="P443" s="20"/>
      <c r="Q443" s="20"/>
      <c r="R443" s="20"/>
      <c r="S443" s="20"/>
      <c r="T443" s="20"/>
      <c r="U443" s="20"/>
      <c r="V443" s="20"/>
      <c r="W443" s="20"/>
      <c r="X443" s="20"/>
      <c r="Y443" s="20"/>
      <c r="Z443" s="20"/>
    </row>
    <row r="444" ht="13.5" customHeight="1" spans="1:26">
      <c r="A444" s="20"/>
      <c r="B444" s="20"/>
      <c r="C444" s="20"/>
      <c r="D444" s="20"/>
      <c r="E444" s="20"/>
      <c r="F444" s="20"/>
      <c r="G444" s="20"/>
      <c r="H444" s="20"/>
      <c r="I444" s="20"/>
      <c r="J444" s="20"/>
      <c r="K444" s="20"/>
      <c r="L444" s="20"/>
      <c r="M444" s="20"/>
      <c r="N444" s="20"/>
      <c r="O444" s="20"/>
      <c r="P444" s="20"/>
      <c r="Q444" s="20"/>
      <c r="R444" s="20"/>
      <c r="S444" s="20"/>
      <c r="T444" s="20"/>
      <c r="U444" s="20"/>
      <c r="V444" s="20"/>
      <c r="W444" s="20"/>
      <c r="X444" s="20"/>
      <c r="Y444" s="20"/>
      <c r="Z444" s="20"/>
    </row>
    <row r="445" ht="13.5" customHeight="1" spans="1:26">
      <c r="A445" s="20"/>
      <c r="B445" s="20"/>
      <c r="C445" s="20"/>
      <c r="D445" s="20"/>
      <c r="E445" s="20"/>
      <c r="F445" s="20"/>
      <c r="G445" s="20"/>
      <c r="H445" s="20"/>
      <c r="I445" s="20"/>
      <c r="J445" s="20"/>
      <c r="K445" s="20"/>
      <c r="L445" s="20"/>
      <c r="M445" s="20"/>
      <c r="N445" s="20"/>
      <c r="O445" s="20"/>
      <c r="P445" s="20"/>
      <c r="Q445" s="20"/>
      <c r="R445" s="20"/>
      <c r="S445" s="20"/>
      <c r="T445" s="20"/>
      <c r="U445" s="20"/>
      <c r="V445" s="20"/>
      <c r="W445" s="20"/>
      <c r="X445" s="20"/>
      <c r="Y445" s="20"/>
      <c r="Z445" s="20"/>
    </row>
    <row r="446" ht="13.5" customHeight="1" spans="1:26">
      <c r="A446" s="20"/>
      <c r="B446" s="20"/>
      <c r="C446" s="20"/>
      <c r="D446" s="20"/>
      <c r="E446" s="20"/>
      <c r="F446" s="20"/>
      <c r="G446" s="20"/>
      <c r="H446" s="20"/>
      <c r="I446" s="20"/>
      <c r="J446" s="20"/>
      <c r="K446" s="20"/>
      <c r="L446" s="20"/>
      <c r="M446" s="20"/>
      <c r="N446" s="20"/>
      <c r="O446" s="20"/>
      <c r="P446" s="20"/>
      <c r="Q446" s="20"/>
      <c r="R446" s="20"/>
      <c r="S446" s="20"/>
      <c r="T446" s="20"/>
      <c r="U446" s="20"/>
      <c r="V446" s="20"/>
      <c r="W446" s="20"/>
      <c r="X446" s="20"/>
      <c r="Y446" s="20"/>
      <c r="Z446" s="20"/>
    </row>
    <row r="447" ht="13.5" customHeight="1" spans="1:26">
      <c r="A447" s="20"/>
      <c r="B447" s="20"/>
      <c r="C447" s="20"/>
      <c r="D447" s="20"/>
      <c r="E447" s="20"/>
      <c r="F447" s="20"/>
      <c r="G447" s="20"/>
      <c r="H447" s="20"/>
      <c r="I447" s="20"/>
      <c r="J447" s="20"/>
      <c r="K447" s="20"/>
      <c r="L447" s="20"/>
      <c r="M447" s="20"/>
      <c r="N447" s="20"/>
      <c r="O447" s="20"/>
      <c r="P447" s="20"/>
      <c r="Q447" s="20"/>
      <c r="R447" s="20"/>
      <c r="S447" s="20"/>
      <c r="T447" s="20"/>
      <c r="U447" s="20"/>
      <c r="V447" s="20"/>
      <c r="W447" s="20"/>
      <c r="X447" s="20"/>
      <c r="Y447" s="20"/>
      <c r="Z447" s="20"/>
    </row>
    <row r="448" ht="13.5" customHeight="1" spans="1:26">
      <c r="A448" s="20"/>
      <c r="B448" s="20"/>
      <c r="C448" s="20"/>
      <c r="D448" s="20"/>
      <c r="E448" s="20"/>
      <c r="F448" s="20"/>
      <c r="G448" s="20"/>
      <c r="H448" s="20"/>
      <c r="I448" s="20"/>
      <c r="J448" s="20"/>
      <c r="K448" s="20"/>
      <c r="L448" s="20"/>
      <c r="M448" s="20"/>
      <c r="N448" s="20"/>
      <c r="O448" s="20"/>
      <c r="P448" s="20"/>
      <c r="Q448" s="20"/>
      <c r="R448" s="20"/>
      <c r="S448" s="20"/>
      <c r="T448" s="20"/>
      <c r="U448" s="20"/>
      <c r="V448" s="20"/>
      <c r="W448" s="20"/>
      <c r="X448" s="20"/>
      <c r="Y448" s="20"/>
      <c r="Z448" s="20"/>
    </row>
    <row r="449" ht="13.5" customHeight="1" spans="1:26">
      <c r="A449" s="20"/>
      <c r="B449" s="20"/>
      <c r="C449" s="20"/>
      <c r="D449" s="20"/>
      <c r="E449" s="20"/>
      <c r="F449" s="20"/>
      <c r="G449" s="20"/>
      <c r="H449" s="20"/>
      <c r="I449" s="20"/>
      <c r="J449" s="20"/>
      <c r="K449" s="20"/>
      <c r="L449" s="20"/>
      <c r="M449" s="20"/>
      <c r="N449" s="20"/>
      <c r="O449" s="20"/>
      <c r="P449" s="20"/>
      <c r="Q449" s="20"/>
      <c r="R449" s="20"/>
      <c r="S449" s="20"/>
      <c r="T449" s="20"/>
      <c r="U449" s="20"/>
      <c r="V449" s="20"/>
      <c r="W449" s="20"/>
      <c r="X449" s="20"/>
      <c r="Y449" s="20"/>
      <c r="Z449" s="20"/>
    </row>
    <row r="450" ht="13.5" customHeight="1" spans="1:26">
      <c r="A450" s="20"/>
      <c r="B450" s="20"/>
      <c r="C450" s="20"/>
      <c r="D450" s="20"/>
      <c r="E450" s="20"/>
      <c r="F450" s="20"/>
      <c r="G450" s="20"/>
      <c r="H450" s="20"/>
      <c r="I450" s="20"/>
      <c r="J450" s="20"/>
      <c r="K450" s="20"/>
      <c r="L450" s="20"/>
      <c r="M450" s="20"/>
      <c r="N450" s="20"/>
      <c r="O450" s="20"/>
      <c r="P450" s="20"/>
      <c r="Q450" s="20"/>
      <c r="R450" s="20"/>
      <c r="S450" s="20"/>
      <c r="T450" s="20"/>
      <c r="U450" s="20"/>
      <c r="V450" s="20"/>
      <c r="W450" s="20"/>
      <c r="X450" s="20"/>
      <c r="Y450" s="20"/>
      <c r="Z450" s="20"/>
    </row>
    <row r="451" ht="13.5" customHeight="1" spans="1:26">
      <c r="A451" s="20"/>
      <c r="B451" s="20"/>
      <c r="C451" s="20"/>
      <c r="D451" s="20"/>
      <c r="E451" s="20"/>
      <c r="F451" s="20"/>
      <c r="G451" s="20"/>
      <c r="H451" s="20"/>
      <c r="I451" s="20"/>
      <c r="J451" s="20"/>
      <c r="K451" s="20"/>
      <c r="L451" s="20"/>
      <c r="M451" s="20"/>
      <c r="N451" s="20"/>
      <c r="O451" s="20"/>
      <c r="P451" s="20"/>
      <c r="Q451" s="20"/>
      <c r="R451" s="20"/>
      <c r="S451" s="20"/>
      <c r="T451" s="20"/>
      <c r="U451" s="20"/>
      <c r="V451" s="20"/>
      <c r="W451" s="20"/>
      <c r="X451" s="20"/>
      <c r="Y451" s="20"/>
      <c r="Z451" s="20"/>
    </row>
    <row r="452" ht="13.5" customHeight="1" spans="1:26">
      <c r="A452" s="20"/>
      <c r="B452" s="20"/>
      <c r="C452" s="20"/>
      <c r="D452" s="20"/>
      <c r="E452" s="20"/>
      <c r="F452" s="20"/>
      <c r="G452" s="20"/>
      <c r="H452" s="20"/>
      <c r="I452" s="20"/>
      <c r="J452" s="20"/>
      <c r="K452" s="20"/>
      <c r="L452" s="20"/>
      <c r="M452" s="20"/>
      <c r="N452" s="20"/>
      <c r="O452" s="20"/>
      <c r="P452" s="20"/>
      <c r="Q452" s="20"/>
      <c r="R452" s="20"/>
      <c r="S452" s="20"/>
      <c r="T452" s="20"/>
      <c r="U452" s="20"/>
      <c r="V452" s="20"/>
      <c r="W452" s="20"/>
      <c r="X452" s="20"/>
      <c r="Y452" s="20"/>
      <c r="Z452" s="20"/>
    </row>
    <row r="453" ht="13.5" customHeight="1" spans="1:26">
      <c r="A453" s="20"/>
      <c r="B453" s="20"/>
      <c r="C453" s="20"/>
      <c r="D453" s="20"/>
      <c r="E453" s="20"/>
      <c r="F453" s="20"/>
      <c r="G453" s="20"/>
      <c r="H453" s="20"/>
      <c r="I453" s="20"/>
      <c r="J453" s="20"/>
      <c r="K453" s="20"/>
      <c r="L453" s="20"/>
      <c r="M453" s="20"/>
      <c r="N453" s="20"/>
      <c r="O453" s="20"/>
      <c r="P453" s="20"/>
      <c r="Q453" s="20"/>
      <c r="R453" s="20"/>
      <c r="S453" s="20"/>
      <c r="T453" s="20"/>
      <c r="U453" s="20"/>
      <c r="V453" s="20"/>
      <c r="W453" s="20"/>
      <c r="X453" s="20"/>
      <c r="Y453" s="20"/>
      <c r="Z453" s="20"/>
    </row>
    <row r="454" ht="13.5" customHeight="1" spans="1:26">
      <c r="A454" s="20"/>
      <c r="B454" s="20"/>
      <c r="C454" s="20"/>
      <c r="D454" s="20"/>
      <c r="E454" s="20"/>
      <c r="F454" s="20"/>
      <c r="G454" s="20"/>
      <c r="H454" s="20"/>
      <c r="I454" s="20"/>
      <c r="J454" s="20"/>
      <c r="K454" s="20"/>
      <c r="L454" s="20"/>
      <c r="M454" s="20"/>
      <c r="N454" s="20"/>
      <c r="O454" s="20"/>
      <c r="P454" s="20"/>
      <c r="Q454" s="20"/>
      <c r="R454" s="20"/>
      <c r="S454" s="20"/>
      <c r="T454" s="20"/>
      <c r="U454" s="20"/>
      <c r="V454" s="20"/>
      <c r="W454" s="20"/>
      <c r="X454" s="20"/>
      <c r="Y454" s="20"/>
      <c r="Z454" s="20"/>
    </row>
    <row r="455" ht="13.5" customHeight="1" spans="1:26">
      <c r="A455" s="20"/>
      <c r="B455" s="20"/>
      <c r="C455" s="20"/>
      <c r="D455" s="20"/>
      <c r="E455" s="20"/>
      <c r="F455" s="20"/>
      <c r="G455" s="20"/>
      <c r="H455" s="20"/>
      <c r="I455" s="20"/>
      <c r="J455" s="20"/>
      <c r="K455" s="20"/>
      <c r="L455" s="20"/>
      <c r="M455" s="20"/>
      <c r="N455" s="20"/>
      <c r="O455" s="20"/>
      <c r="P455" s="20"/>
      <c r="Q455" s="20"/>
      <c r="R455" s="20"/>
      <c r="S455" s="20"/>
      <c r="T455" s="20"/>
      <c r="U455" s="20"/>
      <c r="V455" s="20"/>
      <c r="W455" s="20"/>
      <c r="X455" s="20"/>
      <c r="Y455" s="20"/>
      <c r="Z455" s="20"/>
    </row>
    <row r="456" ht="13.5" customHeight="1" spans="1:26">
      <c r="A456" s="20"/>
      <c r="B456" s="20"/>
      <c r="C456" s="20"/>
      <c r="D456" s="20"/>
      <c r="E456" s="20"/>
      <c r="F456" s="20"/>
      <c r="G456" s="20"/>
      <c r="H456" s="20"/>
      <c r="I456" s="20"/>
      <c r="J456" s="20"/>
      <c r="K456" s="20"/>
      <c r="L456" s="20"/>
      <c r="M456" s="20"/>
      <c r="N456" s="20"/>
      <c r="O456" s="20"/>
      <c r="P456" s="20"/>
      <c r="Q456" s="20"/>
      <c r="R456" s="20"/>
      <c r="S456" s="20"/>
      <c r="T456" s="20"/>
      <c r="U456" s="20"/>
      <c r="V456" s="20"/>
      <c r="W456" s="20"/>
      <c r="X456" s="20"/>
      <c r="Y456" s="20"/>
      <c r="Z456" s="20"/>
    </row>
    <row r="457" ht="13.5" customHeight="1" spans="1:26">
      <c r="A457" s="20"/>
      <c r="B457" s="20"/>
      <c r="C457" s="20"/>
      <c r="D457" s="20"/>
      <c r="E457" s="20"/>
      <c r="F457" s="20"/>
      <c r="G457" s="20"/>
      <c r="H457" s="20"/>
      <c r="I457" s="20"/>
      <c r="J457" s="20"/>
      <c r="K457" s="20"/>
      <c r="L457" s="20"/>
      <c r="M457" s="20"/>
      <c r="N457" s="20"/>
      <c r="O457" s="20"/>
      <c r="P457" s="20"/>
      <c r="Q457" s="20"/>
      <c r="R457" s="20"/>
      <c r="S457" s="20"/>
      <c r="T457" s="20"/>
      <c r="U457" s="20"/>
      <c r="V457" s="20"/>
      <c r="W457" s="20"/>
      <c r="X457" s="20"/>
      <c r="Y457" s="20"/>
      <c r="Z457" s="20"/>
    </row>
    <row r="458" ht="13.5" customHeight="1" spans="1:26">
      <c r="A458" s="20"/>
      <c r="B458" s="20"/>
      <c r="C458" s="20"/>
      <c r="D458" s="20"/>
      <c r="E458" s="20"/>
      <c r="F458" s="20"/>
      <c r="G458" s="20"/>
      <c r="H458" s="20"/>
      <c r="I458" s="20"/>
      <c r="J458" s="20"/>
      <c r="K458" s="20"/>
      <c r="L458" s="20"/>
      <c r="M458" s="20"/>
      <c r="N458" s="20"/>
      <c r="O458" s="20"/>
      <c r="P458" s="20"/>
      <c r="Q458" s="20"/>
      <c r="R458" s="20"/>
      <c r="S458" s="20"/>
      <c r="T458" s="20"/>
      <c r="U458" s="20"/>
      <c r="V458" s="20"/>
      <c r="W458" s="20"/>
      <c r="X458" s="20"/>
      <c r="Y458" s="20"/>
      <c r="Z458" s="20"/>
    </row>
    <row r="459" ht="13.5" customHeight="1" spans="1:26">
      <c r="A459" s="20"/>
      <c r="B459" s="20"/>
      <c r="C459" s="20"/>
      <c r="D459" s="20"/>
      <c r="E459" s="20"/>
      <c r="F459" s="20"/>
      <c r="G459" s="20"/>
      <c r="H459" s="20"/>
      <c r="I459" s="20"/>
      <c r="J459" s="20"/>
      <c r="K459" s="20"/>
      <c r="L459" s="20"/>
      <c r="M459" s="20"/>
      <c r="N459" s="20"/>
      <c r="O459" s="20"/>
      <c r="P459" s="20"/>
      <c r="Q459" s="20"/>
      <c r="R459" s="20"/>
      <c r="S459" s="20"/>
      <c r="T459" s="20"/>
      <c r="U459" s="20"/>
      <c r="V459" s="20"/>
      <c r="W459" s="20"/>
      <c r="X459" s="20"/>
      <c r="Y459" s="20"/>
      <c r="Z459" s="20"/>
    </row>
    <row r="460" ht="13.5" customHeight="1" spans="1:26">
      <c r="A460" s="20"/>
      <c r="B460" s="20"/>
      <c r="C460" s="20"/>
      <c r="D460" s="20"/>
      <c r="E460" s="20"/>
      <c r="F460" s="20"/>
      <c r="G460" s="20"/>
      <c r="H460" s="20"/>
      <c r="I460" s="20"/>
      <c r="J460" s="20"/>
      <c r="K460" s="20"/>
      <c r="L460" s="20"/>
      <c r="M460" s="20"/>
      <c r="N460" s="20"/>
      <c r="O460" s="20"/>
      <c r="P460" s="20"/>
      <c r="Q460" s="20"/>
      <c r="R460" s="20"/>
      <c r="S460" s="20"/>
      <c r="T460" s="20"/>
      <c r="U460" s="20"/>
      <c r="V460" s="20"/>
      <c r="W460" s="20"/>
      <c r="X460" s="20"/>
      <c r="Y460" s="20"/>
      <c r="Z460" s="20"/>
    </row>
    <row r="461" ht="13.5" customHeight="1" spans="1:26">
      <c r="A461" s="20"/>
      <c r="B461" s="20"/>
      <c r="C461" s="20"/>
      <c r="D461" s="20"/>
      <c r="E461" s="20"/>
      <c r="F461" s="20"/>
      <c r="G461" s="20"/>
      <c r="H461" s="20"/>
      <c r="I461" s="20"/>
      <c r="J461" s="20"/>
      <c r="K461" s="20"/>
      <c r="L461" s="20"/>
      <c r="M461" s="20"/>
      <c r="N461" s="20"/>
      <c r="O461" s="20"/>
      <c r="P461" s="20"/>
      <c r="Q461" s="20"/>
      <c r="R461" s="20"/>
      <c r="S461" s="20"/>
      <c r="T461" s="20"/>
      <c r="U461" s="20"/>
      <c r="V461" s="20"/>
      <c r="W461" s="20"/>
      <c r="X461" s="20"/>
      <c r="Y461" s="20"/>
      <c r="Z461" s="20"/>
    </row>
    <row r="462" ht="13.5" customHeight="1" spans="1:26">
      <c r="A462" s="20"/>
      <c r="B462" s="20"/>
      <c r="C462" s="20"/>
      <c r="D462" s="20"/>
      <c r="E462" s="20"/>
      <c r="F462" s="20"/>
      <c r="G462" s="20"/>
      <c r="H462" s="20"/>
      <c r="I462" s="20"/>
      <c r="J462" s="20"/>
      <c r="K462" s="20"/>
      <c r="L462" s="20"/>
      <c r="M462" s="20"/>
      <c r="N462" s="20"/>
      <c r="O462" s="20"/>
      <c r="P462" s="20"/>
      <c r="Q462" s="20"/>
      <c r="R462" s="20"/>
      <c r="S462" s="20"/>
      <c r="T462" s="20"/>
      <c r="U462" s="20"/>
      <c r="V462" s="20"/>
      <c r="W462" s="20"/>
      <c r="X462" s="20"/>
      <c r="Y462" s="20"/>
      <c r="Z462" s="20"/>
    </row>
    <row r="463" ht="13.5" customHeight="1" spans="1:26">
      <c r="A463" s="20"/>
      <c r="B463" s="20"/>
      <c r="C463" s="20"/>
      <c r="D463" s="20"/>
      <c r="E463" s="20"/>
      <c r="F463" s="20"/>
      <c r="G463" s="20"/>
      <c r="H463" s="20"/>
      <c r="I463" s="20"/>
      <c r="J463" s="20"/>
      <c r="K463" s="20"/>
      <c r="L463" s="20"/>
      <c r="M463" s="20"/>
      <c r="N463" s="20"/>
      <c r="O463" s="20"/>
      <c r="P463" s="20"/>
      <c r="Q463" s="20"/>
      <c r="R463" s="20"/>
      <c r="S463" s="20"/>
      <c r="T463" s="20"/>
      <c r="U463" s="20"/>
      <c r="V463" s="20"/>
      <c r="W463" s="20"/>
      <c r="X463" s="20"/>
      <c r="Y463" s="20"/>
      <c r="Z463" s="20"/>
    </row>
    <row r="464" ht="13.5" customHeight="1" spans="1:26">
      <c r="A464" s="20"/>
      <c r="B464" s="20"/>
      <c r="C464" s="20"/>
      <c r="D464" s="20"/>
      <c r="E464" s="20"/>
      <c r="F464" s="20"/>
      <c r="G464" s="20"/>
      <c r="H464" s="20"/>
      <c r="I464" s="20"/>
      <c r="J464" s="20"/>
      <c r="K464" s="20"/>
      <c r="L464" s="20"/>
      <c r="M464" s="20"/>
      <c r="N464" s="20"/>
      <c r="O464" s="20"/>
      <c r="P464" s="20"/>
      <c r="Q464" s="20"/>
      <c r="R464" s="20"/>
      <c r="S464" s="20"/>
      <c r="T464" s="20"/>
      <c r="U464" s="20"/>
      <c r="V464" s="20"/>
      <c r="W464" s="20"/>
      <c r="X464" s="20"/>
      <c r="Y464" s="20"/>
      <c r="Z464" s="20"/>
    </row>
    <row r="465" ht="13.5" customHeight="1" spans="1:26">
      <c r="A465" s="20"/>
      <c r="B465" s="20"/>
      <c r="C465" s="20"/>
      <c r="D465" s="20"/>
      <c r="E465" s="20"/>
      <c r="F465" s="20"/>
      <c r="G465" s="20"/>
      <c r="H465" s="20"/>
      <c r="I465" s="20"/>
      <c r="J465" s="20"/>
      <c r="K465" s="20"/>
      <c r="L465" s="20"/>
      <c r="M465" s="20"/>
      <c r="N465" s="20"/>
      <c r="O465" s="20"/>
      <c r="P465" s="20"/>
      <c r="Q465" s="20"/>
      <c r="R465" s="20"/>
      <c r="S465" s="20"/>
      <c r="T465" s="20"/>
      <c r="U465" s="20"/>
      <c r="V465" s="20"/>
      <c r="W465" s="20"/>
      <c r="X465" s="20"/>
      <c r="Y465" s="20"/>
      <c r="Z465" s="20"/>
    </row>
    <row r="466" ht="13.5" customHeight="1" spans="1:26">
      <c r="A466" s="20"/>
      <c r="B466" s="20"/>
      <c r="C466" s="20"/>
      <c r="D466" s="20"/>
      <c r="E466" s="20"/>
      <c r="F466" s="20"/>
      <c r="G466" s="20"/>
      <c r="H466" s="20"/>
      <c r="I466" s="20"/>
      <c r="J466" s="20"/>
      <c r="K466" s="20"/>
      <c r="L466" s="20"/>
      <c r="M466" s="20"/>
      <c r="N466" s="20"/>
      <c r="O466" s="20"/>
      <c r="P466" s="20"/>
      <c r="Q466" s="20"/>
      <c r="R466" s="20"/>
      <c r="S466" s="20"/>
      <c r="T466" s="20"/>
      <c r="U466" s="20"/>
      <c r="V466" s="20"/>
      <c r="W466" s="20"/>
      <c r="X466" s="20"/>
      <c r="Y466" s="20"/>
      <c r="Z466" s="20"/>
    </row>
    <row r="467" ht="13.5" customHeight="1" spans="1:26">
      <c r="A467" s="20"/>
      <c r="B467" s="20"/>
      <c r="C467" s="20"/>
      <c r="D467" s="20"/>
      <c r="E467" s="20"/>
      <c r="F467" s="20"/>
      <c r="G467" s="20"/>
      <c r="H467" s="20"/>
      <c r="I467" s="20"/>
      <c r="J467" s="20"/>
      <c r="K467" s="20"/>
      <c r="L467" s="20"/>
      <c r="M467" s="20"/>
      <c r="N467" s="20"/>
      <c r="O467" s="20"/>
      <c r="P467" s="20"/>
      <c r="Q467" s="20"/>
      <c r="R467" s="20"/>
      <c r="S467" s="20"/>
      <c r="T467" s="20"/>
      <c r="U467" s="20"/>
      <c r="V467" s="20"/>
      <c r="W467" s="20"/>
      <c r="X467" s="20"/>
      <c r="Y467" s="20"/>
      <c r="Z467" s="20"/>
    </row>
    <row r="468" ht="13.5" customHeight="1" spans="1:26">
      <c r="A468" s="20"/>
      <c r="B468" s="20"/>
      <c r="C468" s="20"/>
      <c r="D468" s="20"/>
      <c r="E468" s="20"/>
      <c r="F468" s="20"/>
      <c r="G468" s="20"/>
      <c r="H468" s="20"/>
      <c r="I468" s="20"/>
      <c r="J468" s="20"/>
      <c r="K468" s="20"/>
      <c r="L468" s="20"/>
      <c r="M468" s="20"/>
      <c r="N468" s="20"/>
      <c r="O468" s="20"/>
      <c r="P468" s="20"/>
      <c r="Q468" s="20"/>
      <c r="R468" s="20"/>
      <c r="S468" s="20"/>
      <c r="T468" s="20"/>
      <c r="U468" s="20"/>
      <c r="V468" s="20"/>
      <c r="W468" s="20"/>
      <c r="X468" s="20"/>
      <c r="Y468" s="20"/>
      <c r="Z468" s="20"/>
    </row>
    <row r="469" ht="13.5" customHeight="1" spans="1:26">
      <c r="A469" s="20"/>
      <c r="B469" s="20"/>
      <c r="C469" s="20"/>
      <c r="D469" s="20"/>
      <c r="E469" s="20"/>
      <c r="F469" s="20"/>
      <c r="G469" s="20"/>
      <c r="H469" s="20"/>
      <c r="I469" s="20"/>
      <c r="J469" s="20"/>
      <c r="K469" s="20"/>
      <c r="L469" s="20"/>
      <c r="M469" s="20"/>
      <c r="N469" s="20"/>
      <c r="O469" s="20"/>
      <c r="P469" s="20"/>
      <c r="Q469" s="20"/>
      <c r="R469" s="20"/>
      <c r="S469" s="20"/>
      <c r="T469" s="20"/>
      <c r="U469" s="20"/>
      <c r="V469" s="20"/>
      <c r="W469" s="20"/>
      <c r="X469" s="20"/>
      <c r="Y469" s="20"/>
      <c r="Z469" s="20"/>
    </row>
    <row r="470" ht="13.5" customHeight="1" spans="1:26">
      <c r="A470" s="20"/>
      <c r="B470" s="20"/>
      <c r="C470" s="20"/>
      <c r="D470" s="20"/>
      <c r="E470" s="20"/>
      <c r="F470" s="20"/>
      <c r="G470" s="20"/>
      <c r="H470" s="20"/>
      <c r="I470" s="20"/>
      <c r="J470" s="20"/>
      <c r="K470" s="20"/>
      <c r="L470" s="20"/>
      <c r="M470" s="20"/>
      <c r="N470" s="20"/>
      <c r="O470" s="20"/>
      <c r="P470" s="20"/>
      <c r="Q470" s="20"/>
      <c r="R470" s="20"/>
      <c r="S470" s="20"/>
      <c r="T470" s="20"/>
      <c r="U470" s="20"/>
      <c r="V470" s="20"/>
      <c r="W470" s="20"/>
      <c r="X470" s="20"/>
      <c r="Y470" s="20"/>
      <c r="Z470" s="20"/>
    </row>
    <row r="471" ht="13.5" customHeight="1" spans="1:26">
      <c r="A471" s="20"/>
      <c r="B471" s="20"/>
      <c r="C471" s="20"/>
      <c r="D471" s="20"/>
      <c r="E471" s="20"/>
      <c r="F471" s="20"/>
      <c r="G471" s="20"/>
      <c r="H471" s="20"/>
      <c r="I471" s="20"/>
      <c r="J471" s="20"/>
      <c r="K471" s="20"/>
      <c r="L471" s="20"/>
      <c r="M471" s="20"/>
      <c r="N471" s="20"/>
      <c r="O471" s="20"/>
      <c r="P471" s="20"/>
      <c r="Q471" s="20"/>
      <c r="R471" s="20"/>
      <c r="S471" s="20"/>
      <c r="T471" s="20"/>
      <c r="U471" s="20"/>
      <c r="V471" s="20"/>
      <c r="W471" s="20"/>
      <c r="X471" s="20"/>
      <c r="Y471" s="20"/>
      <c r="Z471" s="20"/>
    </row>
    <row r="472" ht="13.5" customHeight="1" spans="1:26">
      <c r="A472" s="20"/>
      <c r="B472" s="20"/>
      <c r="C472" s="20"/>
      <c r="D472" s="20"/>
      <c r="E472" s="20"/>
      <c r="F472" s="20"/>
      <c r="G472" s="20"/>
      <c r="H472" s="20"/>
      <c r="I472" s="20"/>
      <c r="J472" s="20"/>
      <c r="K472" s="20"/>
      <c r="L472" s="20"/>
      <c r="M472" s="20"/>
      <c r="N472" s="20"/>
      <c r="O472" s="20"/>
      <c r="P472" s="20"/>
      <c r="Q472" s="20"/>
      <c r="R472" s="20"/>
      <c r="S472" s="20"/>
      <c r="T472" s="20"/>
      <c r="U472" s="20"/>
      <c r="V472" s="20"/>
      <c r="W472" s="20"/>
      <c r="X472" s="20"/>
      <c r="Y472" s="20"/>
      <c r="Z472" s="20"/>
    </row>
    <row r="473" ht="13.5" customHeight="1" spans="1:26">
      <c r="A473" s="20"/>
      <c r="B473" s="20"/>
      <c r="C473" s="20"/>
      <c r="D473" s="20"/>
      <c r="E473" s="20"/>
      <c r="F473" s="20"/>
      <c r="G473" s="20"/>
      <c r="H473" s="20"/>
      <c r="I473" s="20"/>
      <c r="J473" s="20"/>
      <c r="K473" s="20"/>
      <c r="L473" s="20"/>
      <c r="M473" s="20"/>
      <c r="N473" s="20"/>
      <c r="O473" s="20"/>
      <c r="P473" s="20"/>
      <c r="Q473" s="20"/>
      <c r="R473" s="20"/>
      <c r="S473" s="20"/>
      <c r="T473" s="20"/>
      <c r="U473" s="20"/>
      <c r="V473" s="20"/>
      <c r="W473" s="20"/>
      <c r="X473" s="20"/>
      <c r="Y473" s="20"/>
      <c r="Z473" s="20"/>
    </row>
    <row r="474" ht="13.5" customHeight="1" spans="1:26">
      <c r="A474" s="20"/>
      <c r="B474" s="20"/>
      <c r="C474" s="20"/>
      <c r="D474" s="20"/>
      <c r="E474" s="20"/>
      <c r="F474" s="20"/>
      <c r="G474" s="20"/>
      <c r="H474" s="20"/>
      <c r="I474" s="20"/>
      <c r="J474" s="20"/>
      <c r="K474" s="20"/>
      <c r="L474" s="20"/>
      <c r="M474" s="20"/>
      <c r="N474" s="20"/>
      <c r="O474" s="20"/>
      <c r="P474" s="20"/>
      <c r="Q474" s="20"/>
      <c r="R474" s="20"/>
      <c r="S474" s="20"/>
      <c r="T474" s="20"/>
      <c r="U474" s="20"/>
      <c r="V474" s="20"/>
      <c r="W474" s="20"/>
      <c r="X474" s="20"/>
      <c r="Y474" s="20"/>
      <c r="Z474" s="20"/>
    </row>
    <row r="475" ht="13.5" customHeight="1" spans="1:26">
      <c r="A475" s="20"/>
      <c r="B475" s="20"/>
      <c r="C475" s="20"/>
      <c r="D475" s="20"/>
      <c r="E475" s="20"/>
      <c r="F475" s="20"/>
      <c r="G475" s="20"/>
      <c r="H475" s="20"/>
      <c r="I475" s="20"/>
      <c r="J475" s="20"/>
      <c r="K475" s="20"/>
      <c r="L475" s="20"/>
      <c r="M475" s="20"/>
      <c r="N475" s="20"/>
      <c r="O475" s="20"/>
      <c r="P475" s="20"/>
      <c r="Q475" s="20"/>
      <c r="R475" s="20"/>
      <c r="S475" s="20"/>
      <c r="T475" s="20"/>
      <c r="U475" s="20"/>
      <c r="V475" s="20"/>
      <c r="W475" s="20"/>
      <c r="X475" s="20"/>
      <c r="Y475" s="20"/>
      <c r="Z475" s="20"/>
    </row>
    <row r="476" ht="13.5" customHeight="1" spans="1:26">
      <c r="A476" s="20"/>
      <c r="B476" s="20"/>
      <c r="C476" s="20"/>
      <c r="D476" s="20"/>
      <c r="E476" s="20"/>
      <c r="F476" s="20"/>
      <c r="G476" s="20"/>
      <c r="H476" s="20"/>
      <c r="I476" s="20"/>
      <c r="J476" s="20"/>
      <c r="K476" s="20"/>
      <c r="L476" s="20"/>
      <c r="M476" s="20"/>
      <c r="N476" s="20"/>
      <c r="O476" s="20"/>
      <c r="P476" s="20"/>
      <c r="Q476" s="20"/>
      <c r="R476" s="20"/>
      <c r="S476" s="20"/>
      <c r="T476" s="20"/>
      <c r="U476" s="20"/>
      <c r="V476" s="20"/>
      <c r="W476" s="20"/>
      <c r="X476" s="20"/>
      <c r="Y476" s="20"/>
      <c r="Z476" s="20"/>
    </row>
    <row r="477" ht="13.5" customHeight="1" spans="1:26">
      <c r="A477" s="20"/>
      <c r="B477" s="20"/>
      <c r="C477" s="20"/>
      <c r="D477" s="20"/>
      <c r="E477" s="20"/>
      <c r="F477" s="20"/>
      <c r="G477" s="20"/>
      <c r="H477" s="20"/>
      <c r="I477" s="20"/>
      <c r="J477" s="20"/>
      <c r="K477" s="20"/>
      <c r="L477" s="20"/>
      <c r="M477" s="20"/>
      <c r="N477" s="20"/>
      <c r="O477" s="20"/>
      <c r="P477" s="20"/>
      <c r="Q477" s="20"/>
      <c r="R477" s="20"/>
      <c r="S477" s="20"/>
      <c r="T477" s="20"/>
      <c r="U477" s="20"/>
      <c r="V477" s="20"/>
      <c r="W477" s="20"/>
      <c r="X477" s="20"/>
      <c r="Y477" s="20"/>
      <c r="Z477" s="20"/>
    </row>
    <row r="478" ht="13.5" customHeight="1" spans="1:26">
      <c r="A478" s="20"/>
      <c r="B478" s="20"/>
      <c r="C478" s="20"/>
      <c r="D478" s="20"/>
      <c r="E478" s="20"/>
      <c r="F478" s="20"/>
      <c r="G478" s="20"/>
      <c r="H478" s="20"/>
      <c r="I478" s="20"/>
      <c r="J478" s="20"/>
      <c r="K478" s="20"/>
      <c r="L478" s="20"/>
      <c r="M478" s="20"/>
      <c r="N478" s="20"/>
      <c r="O478" s="20"/>
      <c r="P478" s="20"/>
      <c r="Q478" s="20"/>
      <c r="R478" s="20"/>
      <c r="S478" s="20"/>
      <c r="T478" s="20"/>
      <c r="U478" s="20"/>
      <c r="V478" s="20"/>
      <c r="W478" s="20"/>
      <c r="X478" s="20"/>
      <c r="Y478" s="20"/>
      <c r="Z478" s="20"/>
    </row>
    <row r="479" ht="13.5" customHeight="1" spans="1:26">
      <c r="A479" s="20"/>
      <c r="B479" s="20"/>
      <c r="C479" s="20"/>
      <c r="D479" s="20"/>
      <c r="E479" s="20"/>
      <c r="F479" s="20"/>
      <c r="G479" s="20"/>
      <c r="H479" s="20"/>
      <c r="I479" s="20"/>
      <c r="J479" s="20"/>
      <c r="K479" s="20"/>
      <c r="L479" s="20"/>
      <c r="M479" s="20"/>
      <c r="N479" s="20"/>
      <c r="O479" s="20"/>
      <c r="P479" s="20"/>
      <c r="Q479" s="20"/>
      <c r="R479" s="20"/>
      <c r="S479" s="20"/>
      <c r="T479" s="20"/>
      <c r="U479" s="20"/>
      <c r="V479" s="20"/>
      <c r="W479" s="20"/>
      <c r="X479" s="20"/>
      <c r="Y479" s="20"/>
      <c r="Z479" s="20"/>
    </row>
    <row r="480" ht="13.5" customHeight="1" spans="1:26">
      <c r="A480" s="20"/>
      <c r="B480" s="20"/>
      <c r="C480" s="20"/>
      <c r="D480" s="20"/>
      <c r="E480" s="20"/>
      <c r="F480" s="20"/>
      <c r="G480" s="20"/>
      <c r="H480" s="20"/>
      <c r="I480" s="20"/>
      <c r="J480" s="20"/>
      <c r="K480" s="20"/>
      <c r="L480" s="20"/>
      <c r="M480" s="20"/>
      <c r="N480" s="20"/>
      <c r="O480" s="20"/>
      <c r="P480" s="20"/>
      <c r="Q480" s="20"/>
      <c r="R480" s="20"/>
      <c r="S480" s="20"/>
      <c r="T480" s="20"/>
      <c r="U480" s="20"/>
      <c r="V480" s="20"/>
      <c r="W480" s="20"/>
      <c r="X480" s="20"/>
      <c r="Y480" s="20"/>
      <c r="Z480" s="20"/>
    </row>
    <row r="481" ht="13.5" customHeight="1" spans="1:26">
      <c r="A481" s="20"/>
      <c r="B481" s="20"/>
      <c r="C481" s="20"/>
      <c r="D481" s="20"/>
      <c r="E481" s="20"/>
      <c r="F481" s="20"/>
      <c r="G481" s="20"/>
      <c r="H481" s="20"/>
      <c r="I481" s="20"/>
      <c r="J481" s="20"/>
      <c r="K481" s="20"/>
      <c r="L481" s="20"/>
      <c r="M481" s="20"/>
      <c r="N481" s="20"/>
      <c r="O481" s="20"/>
      <c r="P481" s="20"/>
      <c r="Q481" s="20"/>
      <c r="R481" s="20"/>
      <c r="S481" s="20"/>
      <c r="T481" s="20"/>
      <c r="U481" s="20"/>
      <c r="V481" s="20"/>
      <c r="W481" s="20"/>
      <c r="X481" s="20"/>
      <c r="Y481" s="20"/>
      <c r="Z481" s="20"/>
    </row>
    <row r="482" ht="13.5" customHeight="1" spans="1:26">
      <c r="A482" s="20"/>
      <c r="B482" s="20"/>
      <c r="C482" s="20"/>
      <c r="D482" s="20"/>
      <c r="E482" s="20"/>
      <c r="F482" s="20"/>
      <c r="G482" s="20"/>
      <c r="H482" s="20"/>
      <c r="I482" s="20"/>
      <c r="J482" s="20"/>
      <c r="K482" s="20"/>
      <c r="L482" s="20"/>
      <c r="M482" s="20"/>
      <c r="N482" s="20"/>
      <c r="O482" s="20"/>
      <c r="P482" s="20"/>
      <c r="Q482" s="20"/>
      <c r="R482" s="20"/>
      <c r="S482" s="20"/>
      <c r="T482" s="20"/>
      <c r="U482" s="20"/>
      <c r="V482" s="20"/>
      <c r="W482" s="20"/>
      <c r="X482" s="20"/>
      <c r="Y482" s="20"/>
      <c r="Z482" s="20"/>
    </row>
    <row r="483" ht="13.5" customHeight="1" spans="1:26">
      <c r="A483" s="20"/>
      <c r="B483" s="20"/>
      <c r="C483" s="20"/>
      <c r="D483" s="20"/>
      <c r="E483" s="20"/>
      <c r="F483" s="20"/>
      <c r="G483" s="20"/>
      <c r="H483" s="20"/>
      <c r="I483" s="20"/>
      <c r="J483" s="20"/>
      <c r="K483" s="20"/>
      <c r="L483" s="20"/>
      <c r="M483" s="20"/>
      <c r="N483" s="20"/>
      <c r="O483" s="20"/>
      <c r="P483" s="20"/>
      <c r="Q483" s="20"/>
      <c r="R483" s="20"/>
      <c r="S483" s="20"/>
      <c r="T483" s="20"/>
      <c r="U483" s="20"/>
      <c r="V483" s="20"/>
      <c r="W483" s="20"/>
      <c r="X483" s="20"/>
      <c r="Y483" s="20"/>
      <c r="Z483" s="20"/>
    </row>
    <row r="484" ht="13.5" customHeight="1" spans="1:26">
      <c r="A484" s="20"/>
      <c r="B484" s="20"/>
      <c r="C484" s="20"/>
      <c r="D484" s="20"/>
      <c r="E484" s="20"/>
      <c r="F484" s="20"/>
      <c r="G484" s="20"/>
      <c r="H484" s="20"/>
      <c r="I484" s="20"/>
      <c r="J484" s="20"/>
      <c r="K484" s="20"/>
      <c r="L484" s="20"/>
      <c r="M484" s="20"/>
      <c r="N484" s="20"/>
      <c r="O484" s="20"/>
      <c r="P484" s="20"/>
      <c r="Q484" s="20"/>
      <c r="R484" s="20"/>
      <c r="S484" s="20"/>
      <c r="T484" s="20"/>
      <c r="U484" s="20"/>
      <c r="V484" s="20"/>
      <c r="W484" s="20"/>
      <c r="X484" s="20"/>
      <c r="Y484" s="20"/>
      <c r="Z484" s="20"/>
    </row>
    <row r="485" ht="13.5" customHeight="1" spans="1:26">
      <c r="A485" s="20"/>
      <c r="B485" s="20"/>
      <c r="C485" s="20"/>
      <c r="D485" s="20"/>
      <c r="E485" s="20"/>
      <c r="F485" s="20"/>
      <c r="G485" s="20"/>
      <c r="H485" s="20"/>
      <c r="I485" s="20"/>
      <c r="J485" s="20"/>
      <c r="K485" s="20"/>
      <c r="L485" s="20"/>
      <c r="M485" s="20"/>
      <c r="N485" s="20"/>
      <c r="O485" s="20"/>
      <c r="P485" s="20"/>
      <c r="Q485" s="20"/>
      <c r="R485" s="20"/>
      <c r="S485" s="20"/>
      <c r="T485" s="20"/>
      <c r="U485" s="20"/>
      <c r="V485" s="20"/>
      <c r="W485" s="20"/>
      <c r="X485" s="20"/>
      <c r="Y485" s="20"/>
      <c r="Z485" s="20"/>
    </row>
    <row r="486" ht="13.5" customHeight="1" spans="1:26">
      <c r="A486" s="20"/>
      <c r="B486" s="20"/>
      <c r="C486" s="20"/>
      <c r="D486" s="20"/>
      <c r="E486" s="20"/>
      <c r="F486" s="20"/>
      <c r="G486" s="20"/>
      <c r="H486" s="20"/>
      <c r="I486" s="20"/>
      <c r="J486" s="20"/>
      <c r="K486" s="20"/>
      <c r="L486" s="20"/>
      <c r="M486" s="20"/>
      <c r="N486" s="20"/>
      <c r="O486" s="20"/>
      <c r="P486" s="20"/>
      <c r="Q486" s="20"/>
      <c r="R486" s="20"/>
      <c r="S486" s="20"/>
      <c r="T486" s="20"/>
      <c r="U486" s="20"/>
      <c r="V486" s="20"/>
      <c r="W486" s="20"/>
      <c r="X486" s="20"/>
      <c r="Y486" s="20"/>
      <c r="Z486" s="20"/>
    </row>
    <row r="487" ht="13.5" customHeight="1" spans="1:26">
      <c r="A487" s="20"/>
      <c r="B487" s="20"/>
      <c r="C487" s="20"/>
      <c r="D487" s="20"/>
      <c r="E487" s="20"/>
      <c r="F487" s="20"/>
      <c r="G487" s="20"/>
      <c r="H487" s="20"/>
      <c r="I487" s="20"/>
      <c r="J487" s="20"/>
      <c r="K487" s="20"/>
      <c r="L487" s="20"/>
      <c r="M487" s="20"/>
      <c r="N487" s="20"/>
      <c r="O487" s="20"/>
      <c r="P487" s="20"/>
      <c r="Q487" s="20"/>
      <c r="R487" s="20"/>
      <c r="S487" s="20"/>
      <c r="T487" s="20"/>
      <c r="U487" s="20"/>
      <c r="V487" s="20"/>
      <c r="W487" s="20"/>
      <c r="X487" s="20"/>
      <c r="Y487" s="20"/>
      <c r="Z487" s="20"/>
    </row>
    <row r="488" ht="13.5" customHeight="1" spans="1:26">
      <c r="A488" s="20"/>
      <c r="B488" s="20"/>
      <c r="C488" s="20"/>
      <c r="D488" s="20"/>
      <c r="E488" s="20"/>
      <c r="F488" s="20"/>
      <c r="G488" s="20"/>
      <c r="H488" s="20"/>
      <c r="I488" s="20"/>
      <c r="J488" s="20"/>
      <c r="K488" s="20"/>
      <c r="L488" s="20"/>
      <c r="M488" s="20"/>
      <c r="N488" s="20"/>
      <c r="O488" s="20"/>
      <c r="P488" s="20"/>
      <c r="Q488" s="20"/>
      <c r="R488" s="20"/>
      <c r="S488" s="20"/>
      <c r="T488" s="20"/>
      <c r="U488" s="20"/>
      <c r="V488" s="20"/>
      <c r="W488" s="20"/>
      <c r="X488" s="20"/>
      <c r="Y488" s="20"/>
      <c r="Z488" s="20"/>
    </row>
    <row r="489" ht="13.5" customHeight="1" spans="1:26">
      <c r="A489" s="20"/>
      <c r="B489" s="20"/>
      <c r="C489" s="20"/>
      <c r="D489" s="20"/>
      <c r="E489" s="20"/>
      <c r="F489" s="20"/>
      <c r="G489" s="20"/>
      <c r="H489" s="20"/>
      <c r="I489" s="20"/>
      <c r="J489" s="20"/>
      <c r="K489" s="20"/>
      <c r="L489" s="20"/>
      <c r="M489" s="20"/>
      <c r="N489" s="20"/>
      <c r="O489" s="20"/>
      <c r="P489" s="20"/>
      <c r="Q489" s="20"/>
      <c r="R489" s="20"/>
      <c r="S489" s="20"/>
      <c r="T489" s="20"/>
      <c r="U489" s="20"/>
      <c r="V489" s="20"/>
      <c r="W489" s="20"/>
      <c r="X489" s="20"/>
      <c r="Y489" s="20"/>
      <c r="Z489" s="20"/>
    </row>
    <row r="490" ht="13.5" customHeight="1" spans="1:26">
      <c r="A490" s="20"/>
      <c r="B490" s="20"/>
      <c r="C490" s="20"/>
      <c r="D490" s="20"/>
      <c r="E490" s="20"/>
      <c r="F490" s="20"/>
      <c r="G490" s="20"/>
      <c r="H490" s="20"/>
      <c r="I490" s="20"/>
      <c r="J490" s="20"/>
      <c r="K490" s="20"/>
      <c r="L490" s="20"/>
      <c r="M490" s="20"/>
      <c r="N490" s="20"/>
      <c r="O490" s="20"/>
      <c r="P490" s="20"/>
      <c r="Q490" s="20"/>
      <c r="R490" s="20"/>
      <c r="S490" s="20"/>
      <c r="T490" s="20"/>
      <c r="U490" s="20"/>
      <c r="V490" s="20"/>
      <c r="W490" s="20"/>
      <c r="X490" s="20"/>
      <c r="Y490" s="20"/>
      <c r="Z490" s="20"/>
    </row>
    <row r="491" ht="13.5" customHeight="1" spans="1:26">
      <c r="A491" s="20"/>
      <c r="B491" s="20"/>
      <c r="C491" s="20"/>
      <c r="D491" s="20"/>
      <c r="E491" s="20"/>
      <c r="F491" s="20"/>
      <c r="G491" s="20"/>
      <c r="H491" s="20"/>
      <c r="I491" s="20"/>
      <c r="J491" s="20"/>
      <c r="K491" s="20"/>
      <c r="L491" s="20"/>
      <c r="M491" s="20"/>
      <c r="N491" s="20"/>
      <c r="O491" s="20"/>
      <c r="P491" s="20"/>
      <c r="Q491" s="20"/>
      <c r="R491" s="20"/>
      <c r="S491" s="20"/>
      <c r="T491" s="20"/>
      <c r="U491" s="20"/>
      <c r="V491" s="20"/>
      <c r="W491" s="20"/>
      <c r="X491" s="20"/>
      <c r="Y491" s="20"/>
      <c r="Z491" s="20"/>
    </row>
    <row r="492" ht="13.5" customHeight="1" spans="1:26">
      <c r="A492" s="20"/>
      <c r="B492" s="20"/>
      <c r="C492" s="20"/>
      <c r="D492" s="20"/>
      <c r="E492" s="20"/>
      <c r="F492" s="20"/>
      <c r="G492" s="20"/>
      <c r="H492" s="20"/>
      <c r="I492" s="20"/>
      <c r="J492" s="20"/>
      <c r="K492" s="20"/>
      <c r="L492" s="20"/>
      <c r="M492" s="20"/>
      <c r="N492" s="20"/>
      <c r="O492" s="20"/>
      <c r="P492" s="20"/>
      <c r="Q492" s="20"/>
      <c r="R492" s="20"/>
      <c r="S492" s="20"/>
      <c r="T492" s="20"/>
      <c r="U492" s="20"/>
      <c r="V492" s="20"/>
      <c r="W492" s="20"/>
      <c r="X492" s="20"/>
      <c r="Y492" s="20"/>
      <c r="Z492" s="20"/>
    </row>
    <row r="493" ht="13.5" customHeight="1" spans="1:26">
      <c r="A493" s="20"/>
      <c r="B493" s="20"/>
      <c r="C493" s="20"/>
      <c r="D493" s="20"/>
      <c r="E493" s="20"/>
      <c r="F493" s="20"/>
      <c r="G493" s="20"/>
      <c r="H493" s="20"/>
      <c r="I493" s="20"/>
      <c r="J493" s="20"/>
      <c r="K493" s="20"/>
      <c r="L493" s="20"/>
      <c r="M493" s="20"/>
      <c r="N493" s="20"/>
      <c r="O493" s="20"/>
      <c r="P493" s="20"/>
      <c r="Q493" s="20"/>
      <c r="R493" s="20"/>
      <c r="S493" s="20"/>
      <c r="T493" s="20"/>
      <c r="U493" s="20"/>
      <c r="V493" s="20"/>
      <c r="W493" s="20"/>
      <c r="X493" s="20"/>
      <c r="Y493" s="20"/>
      <c r="Z493" s="20"/>
    </row>
    <row r="494" ht="13.5" customHeight="1" spans="1:26">
      <c r="A494" s="20"/>
      <c r="B494" s="20"/>
      <c r="C494" s="20"/>
      <c r="D494" s="20"/>
      <c r="E494" s="20"/>
      <c r="F494" s="20"/>
      <c r="G494" s="20"/>
      <c r="H494" s="20"/>
      <c r="I494" s="20"/>
      <c r="J494" s="20"/>
      <c r="K494" s="20"/>
      <c r="L494" s="20"/>
      <c r="M494" s="20"/>
      <c r="N494" s="20"/>
      <c r="O494" s="20"/>
      <c r="P494" s="20"/>
      <c r="Q494" s="20"/>
      <c r="R494" s="20"/>
      <c r="S494" s="20"/>
      <c r="T494" s="20"/>
      <c r="U494" s="20"/>
      <c r="V494" s="20"/>
      <c r="W494" s="20"/>
      <c r="X494" s="20"/>
      <c r="Y494" s="20"/>
      <c r="Z494" s="20"/>
    </row>
    <row r="495" ht="13.5" customHeight="1" spans="1:26">
      <c r="A495" s="20"/>
      <c r="B495" s="20"/>
      <c r="C495" s="20"/>
      <c r="D495" s="20"/>
      <c r="E495" s="20"/>
      <c r="F495" s="20"/>
      <c r="G495" s="20"/>
      <c r="H495" s="20"/>
      <c r="I495" s="20"/>
      <c r="J495" s="20"/>
      <c r="K495" s="20"/>
      <c r="L495" s="20"/>
      <c r="M495" s="20"/>
      <c r="N495" s="20"/>
      <c r="O495" s="20"/>
      <c r="P495" s="20"/>
      <c r="Q495" s="20"/>
      <c r="R495" s="20"/>
      <c r="S495" s="20"/>
      <c r="T495" s="20"/>
      <c r="U495" s="20"/>
      <c r="V495" s="20"/>
      <c r="W495" s="20"/>
      <c r="X495" s="20"/>
      <c r="Y495" s="20"/>
      <c r="Z495" s="20"/>
    </row>
    <row r="496" ht="13.5" customHeight="1" spans="1:26">
      <c r="A496" s="20"/>
      <c r="B496" s="20"/>
      <c r="C496" s="20"/>
      <c r="D496" s="20"/>
      <c r="E496" s="20"/>
      <c r="F496" s="20"/>
      <c r="G496" s="20"/>
      <c r="H496" s="20"/>
      <c r="I496" s="20"/>
      <c r="J496" s="20"/>
      <c r="K496" s="20"/>
      <c r="L496" s="20"/>
      <c r="M496" s="20"/>
      <c r="N496" s="20"/>
      <c r="O496" s="20"/>
      <c r="P496" s="20"/>
      <c r="Q496" s="20"/>
      <c r="R496" s="20"/>
      <c r="S496" s="20"/>
      <c r="T496" s="20"/>
      <c r="U496" s="20"/>
      <c r="V496" s="20"/>
      <c r="W496" s="20"/>
      <c r="X496" s="20"/>
      <c r="Y496" s="20"/>
      <c r="Z496" s="20"/>
    </row>
    <row r="497" ht="13.5" customHeight="1" spans="1:26">
      <c r="A497" s="20"/>
      <c r="B497" s="20"/>
      <c r="C497" s="20"/>
      <c r="D497" s="20"/>
      <c r="E497" s="20"/>
      <c r="F497" s="20"/>
      <c r="G497" s="20"/>
      <c r="H497" s="20"/>
      <c r="I497" s="20"/>
      <c r="J497" s="20"/>
      <c r="K497" s="20"/>
      <c r="L497" s="20"/>
      <c r="M497" s="20"/>
      <c r="N497" s="20"/>
      <c r="O497" s="20"/>
      <c r="P497" s="20"/>
      <c r="Q497" s="20"/>
      <c r="R497" s="20"/>
      <c r="S497" s="20"/>
      <c r="T497" s="20"/>
      <c r="U497" s="20"/>
      <c r="V497" s="20"/>
      <c r="W497" s="20"/>
      <c r="X497" s="20"/>
      <c r="Y497" s="20"/>
      <c r="Z497" s="20"/>
    </row>
    <row r="498" ht="13.5" customHeight="1" spans="1:26">
      <c r="A498" s="20"/>
      <c r="B498" s="20"/>
      <c r="C498" s="20"/>
      <c r="D498" s="20"/>
      <c r="E498" s="20"/>
      <c r="F498" s="20"/>
      <c r="G498" s="20"/>
      <c r="H498" s="20"/>
      <c r="I498" s="20"/>
      <c r="J498" s="20"/>
      <c r="K498" s="20"/>
      <c r="L498" s="20"/>
      <c r="M498" s="20"/>
      <c r="N498" s="20"/>
      <c r="O498" s="20"/>
      <c r="P498" s="20"/>
      <c r="Q498" s="20"/>
      <c r="R498" s="20"/>
      <c r="S498" s="20"/>
      <c r="T498" s="20"/>
      <c r="U498" s="20"/>
      <c r="V498" s="20"/>
      <c r="W498" s="20"/>
      <c r="X498" s="20"/>
      <c r="Y498" s="20"/>
      <c r="Z498" s="20"/>
    </row>
    <row r="499" ht="13.5" customHeight="1" spans="1:26">
      <c r="A499" s="20"/>
      <c r="B499" s="20"/>
      <c r="C499" s="20"/>
      <c r="D499" s="20"/>
      <c r="E499" s="20"/>
      <c r="F499" s="20"/>
      <c r="G499" s="20"/>
      <c r="H499" s="20"/>
      <c r="I499" s="20"/>
      <c r="J499" s="20"/>
      <c r="K499" s="20"/>
      <c r="L499" s="20"/>
      <c r="M499" s="20"/>
      <c r="N499" s="20"/>
      <c r="O499" s="20"/>
      <c r="P499" s="20"/>
      <c r="Q499" s="20"/>
      <c r="R499" s="20"/>
      <c r="S499" s="20"/>
      <c r="T499" s="20"/>
      <c r="U499" s="20"/>
      <c r="V499" s="20"/>
      <c r="W499" s="20"/>
      <c r="X499" s="20"/>
      <c r="Y499" s="20"/>
      <c r="Z499" s="20"/>
    </row>
    <row r="500" ht="13.5" customHeight="1" spans="1:26">
      <c r="A500" s="20"/>
      <c r="B500" s="20"/>
      <c r="C500" s="20"/>
      <c r="D500" s="20"/>
      <c r="E500" s="20"/>
      <c r="F500" s="20"/>
      <c r="G500" s="20"/>
      <c r="H500" s="20"/>
      <c r="I500" s="20"/>
      <c r="J500" s="20"/>
      <c r="K500" s="20"/>
      <c r="L500" s="20"/>
      <c r="M500" s="20"/>
      <c r="N500" s="20"/>
      <c r="O500" s="20"/>
      <c r="P500" s="20"/>
      <c r="Q500" s="20"/>
      <c r="R500" s="20"/>
      <c r="S500" s="20"/>
      <c r="T500" s="20"/>
      <c r="U500" s="20"/>
      <c r="V500" s="20"/>
      <c r="W500" s="20"/>
      <c r="X500" s="20"/>
      <c r="Y500" s="20"/>
      <c r="Z500" s="20"/>
    </row>
    <row r="501" ht="13.5" customHeight="1" spans="1:26">
      <c r="A501" s="20"/>
      <c r="B501" s="20"/>
      <c r="C501" s="20"/>
      <c r="D501" s="20"/>
      <c r="E501" s="20"/>
      <c r="F501" s="20"/>
      <c r="G501" s="20"/>
      <c r="H501" s="20"/>
      <c r="I501" s="20"/>
      <c r="J501" s="20"/>
      <c r="K501" s="20"/>
      <c r="L501" s="20"/>
      <c r="M501" s="20"/>
      <c r="N501" s="20"/>
      <c r="O501" s="20"/>
      <c r="P501" s="20"/>
      <c r="Q501" s="20"/>
      <c r="R501" s="20"/>
      <c r="S501" s="20"/>
      <c r="T501" s="20"/>
      <c r="U501" s="20"/>
      <c r="V501" s="20"/>
      <c r="W501" s="20"/>
      <c r="X501" s="20"/>
      <c r="Y501" s="20"/>
      <c r="Z501" s="20"/>
    </row>
    <row r="502" ht="13.5" customHeight="1" spans="1:26">
      <c r="A502" s="20"/>
      <c r="B502" s="20"/>
      <c r="C502" s="20"/>
      <c r="D502" s="20"/>
      <c r="E502" s="20"/>
      <c r="F502" s="20"/>
      <c r="G502" s="20"/>
      <c r="H502" s="20"/>
      <c r="I502" s="20"/>
      <c r="J502" s="20"/>
      <c r="K502" s="20"/>
      <c r="L502" s="20"/>
      <c r="M502" s="20"/>
      <c r="N502" s="20"/>
      <c r="O502" s="20"/>
      <c r="P502" s="20"/>
      <c r="Q502" s="20"/>
      <c r="R502" s="20"/>
      <c r="S502" s="20"/>
      <c r="T502" s="20"/>
      <c r="U502" s="20"/>
      <c r="V502" s="20"/>
      <c r="W502" s="20"/>
      <c r="X502" s="20"/>
      <c r="Y502" s="20"/>
      <c r="Z502" s="20"/>
    </row>
    <row r="503" ht="13.5" customHeight="1" spans="1:26">
      <c r="A503" s="20"/>
      <c r="B503" s="20"/>
      <c r="C503" s="20"/>
      <c r="D503" s="20"/>
      <c r="E503" s="20"/>
      <c r="F503" s="20"/>
      <c r="G503" s="20"/>
      <c r="H503" s="20"/>
      <c r="I503" s="20"/>
      <c r="J503" s="20"/>
      <c r="K503" s="20"/>
      <c r="L503" s="20"/>
      <c r="M503" s="20"/>
      <c r="N503" s="20"/>
      <c r="O503" s="20"/>
      <c r="P503" s="20"/>
      <c r="Q503" s="20"/>
      <c r="R503" s="20"/>
      <c r="S503" s="20"/>
      <c r="T503" s="20"/>
      <c r="U503" s="20"/>
      <c r="V503" s="20"/>
      <c r="W503" s="20"/>
      <c r="X503" s="20"/>
      <c r="Y503" s="20"/>
      <c r="Z503" s="20"/>
    </row>
    <row r="504" ht="13.5" customHeight="1" spans="1:26">
      <c r="A504" s="20"/>
      <c r="B504" s="20"/>
      <c r="C504" s="20"/>
      <c r="D504" s="20"/>
      <c r="E504" s="20"/>
      <c r="F504" s="20"/>
      <c r="G504" s="20"/>
      <c r="H504" s="20"/>
      <c r="I504" s="20"/>
      <c r="J504" s="20"/>
      <c r="K504" s="20"/>
      <c r="L504" s="20"/>
      <c r="M504" s="20"/>
      <c r="N504" s="20"/>
      <c r="O504" s="20"/>
      <c r="P504" s="20"/>
      <c r="Q504" s="20"/>
      <c r="R504" s="20"/>
      <c r="S504" s="20"/>
      <c r="T504" s="20"/>
      <c r="U504" s="20"/>
      <c r="V504" s="20"/>
      <c r="W504" s="20"/>
      <c r="X504" s="20"/>
      <c r="Y504" s="20"/>
      <c r="Z504" s="20"/>
    </row>
    <row r="505" ht="13.5" customHeight="1" spans="1:26">
      <c r="A505" s="20"/>
      <c r="B505" s="20"/>
      <c r="C505" s="20"/>
      <c r="D505" s="20"/>
      <c r="E505" s="20"/>
      <c r="F505" s="20"/>
      <c r="G505" s="20"/>
      <c r="H505" s="20"/>
      <c r="I505" s="20"/>
      <c r="J505" s="20"/>
      <c r="K505" s="20"/>
      <c r="L505" s="20"/>
      <c r="M505" s="20"/>
      <c r="N505" s="20"/>
      <c r="O505" s="20"/>
      <c r="P505" s="20"/>
      <c r="Q505" s="20"/>
      <c r="R505" s="20"/>
      <c r="S505" s="20"/>
      <c r="T505" s="20"/>
      <c r="U505" s="20"/>
      <c r="V505" s="20"/>
      <c r="W505" s="20"/>
      <c r="X505" s="20"/>
      <c r="Y505" s="20"/>
      <c r="Z505" s="20"/>
    </row>
    <row r="506" ht="13.5" customHeight="1" spans="1:26">
      <c r="A506" s="20"/>
      <c r="B506" s="20"/>
      <c r="C506" s="20"/>
      <c r="D506" s="20"/>
      <c r="E506" s="20"/>
      <c r="F506" s="20"/>
      <c r="G506" s="20"/>
      <c r="H506" s="20"/>
      <c r="I506" s="20"/>
      <c r="J506" s="20"/>
      <c r="K506" s="20"/>
      <c r="L506" s="20"/>
      <c r="M506" s="20"/>
      <c r="N506" s="20"/>
      <c r="O506" s="20"/>
      <c r="P506" s="20"/>
      <c r="Q506" s="20"/>
      <c r="R506" s="20"/>
      <c r="S506" s="20"/>
      <c r="T506" s="20"/>
      <c r="U506" s="20"/>
      <c r="V506" s="20"/>
      <c r="W506" s="20"/>
      <c r="X506" s="20"/>
      <c r="Y506" s="20"/>
      <c r="Z506" s="20"/>
    </row>
    <row r="507" ht="13.5" customHeight="1" spans="1:26">
      <c r="A507" s="20"/>
      <c r="B507" s="20"/>
      <c r="C507" s="20"/>
      <c r="D507" s="20"/>
      <c r="E507" s="20"/>
      <c r="F507" s="20"/>
      <c r="G507" s="20"/>
      <c r="H507" s="20"/>
      <c r="I507" s="20"/>
      <c r="J507" s="20"/>
      <c r="K507" s="20"/>
      <c r="L507" s="20"/>
      <c r="M507" s="20"/>
      <c r="N507" s="20"/>
      <c r="O507" s="20"/>
      <c r="P507" s="20"/>
      <c r="Q507" s="20"/>
      <c r="R507" s="20"/>
      <c r="S507" s="20"/>
      <c r="T507" s="20"/>
      <c r="U507" s="20"/>
      <c r="V507" s="20"/>
      <c r="W507" s="20"/>
      <c r="X507" s="20"/>
      <c r="Y507" s="20"/>
      <c r="Z507" s="20"/>
    </row>
    <row r="508" ht="13.5" customHeight="1" spans="1:26">
      <c r="A508" s="20"/>
      <c r="B508" s="20"/>
      <c r="C508" s="20"/>
      <c r="D508" s="20"/>
      <c r="E508" s="20"/>
      <c r="F508" s="20"/>
      <c r="G508" s="20"/>
      <c r="H508" s="20"/>
      <c r="I508" s="20"/>
      <c r="J508" s="20"/>
      <c r="K508" s="20"/>
      <c r="L508" s="20"/>
      <c r="M508" s="20"/>
      <c r="N508" s="20"/>
      <c r="O508" s="20"/>
      <c r="P508" s="20"/>
      <c r="Q508" s="20"/>
      <c r="R508" s="20"/>
      <c r="S508" s="20"/>
      <c r="T508" s="20"/>
      <c r="U508" s="20"/>
      <c r="V508" s="20"/>
      <c r="W508" s="20"/>
      <c r="X508" s="20"/>
      <c r="Y508" s="20"/>
      <c r="Z508" s="20"/>
    </row>
    <row r="509" ht="13.5" customHeight="1" spans="1:26">
      <c r="A509" s="20"/>
      <c r="B509" s="20"/>
      <c r="C509" s="20"/>
      <c r="D509" s="20"/>
      <c r="E509" s="20"/>
      <c r="F509" s="20"/>
      <c r="G509" s="20"/>
      <c r="H509" s="20"/>
      <c r="I509" s="20"/>
      <c r="J509" s="20"/>
      <c r="K509" s="20"/>
      <c r="L509" s="20"/>
      <c r="M509" s="20"/>
      <c r="N509" s="20"/>
      <c r="O509" s="20"/>
      <c r="P509" s="20"/>
      <c r="Q509" s="20"/>
      <c r="R509" s="20"/>
      <c r="S509" s="20"/>
      <c r="T509" s="20"/>
      <c r="U509" s="20"/>
      <c r="V509" s="20"/>
      <c r="W509" s="20"/>
      <c r="X509" s="20"/>
      <c r="Y509" s="20"/>
      <c r="Z509" s="20"/>
    </row>
    <row r="510" ht="13.5" customHeight="1" spans="1:26">
      <c r="A510" s="20"/>
      <c r="B510" s="20"/>
      <c r="C510" s="20"/>
      <c r="D510" s="20"/>
      <c r="E510" s="20"/>
      <c r="F510" s="20"/>
      <c r="G510" s="20"/>
      <c r="H510" s="20"/>
      <c r="I510" s="20"/>
      <c r="J510" s="20"/>
      <c r="K510" s="20"/>
      <c r="L510" s="20"/>
      <c r="M510" s="20"/>
      <c r="N510" s="20"/>
      <c r="O510" s="20"/>
      <c r="P510" s="20"/>
      <c r="Q510" s="20"/>
      <c r="R510" s="20"/>
      <c r="S510" s="20"/>
      <c r="T510" s="20"/>
      <c r="U510" s="20"/>
      <c r="V510" s="20"/>
      <c r="W510" s="20"/>
      <c r="X510" s="20"/>
      <c r="Y510" s="20"/>
      <c r="Z510" s="20"/>
    </row>
    <row r="511" ht="13.5" customHeight="1" spans="1:26">
      <c r="A511" s="20"/>
      <c r="B511" s="20"/>
      <c r="C511" s="20"/>
      <c r="D511" s="20"/>
      <c r="E511" s="20"/>
      <c r="F511" s="20"/>
      <c r="G511" s="20"/>
      <c r="H511" s="20"/>
      <c r="I511" s="20"/>
      <c r="J511" s="20"/>
      <c r="K511" s="20"/>
      <c r="L511" s="20"/>
      <c r="M511" s="20"/>
      <c r="N511" s="20"/>
      <c r="O511" s="20"/>
      <c r="P511" s="20"/>
      <c r="Q511" s="20"/>
      <c r="R511" s="20"/>
      <c r="S511" s="20"/>
      <c r="T511" s="20"/>
      <c r="U511" s="20"/>
      <c r="V511" s="20"/>
      <c r="W511" s="20"/>
      <c r="X511" s="20"/>
      <c r="Y511" s="20"/>
      <c r="Z511" s="20"/>
    </row>
    <row r="512" ht="13.5" customHeight="1" spans="1:26">
      <c r="A512" s="20"/>
      <c r="B512" s="20"/>
      <c r="C512" s="20"/>
      <c r="D512" s="20"/>
      <c r="E512" s="20"/>
      <c r="F512" s="20"/>
      <c r="G512" s="20"/>
      <c r="H512" s="20"/>
      <c r="I512" s="20"/>
      <c r="J512" s="20"/>
      <c r="K512" s="20"/>
      <c r="L512" s="20"/>
      <c r="M512" s="20"/>
      <c r="N512" s="20"/>
      <c r="O512" s="20"/>
      <c r="P512" s="20"/>
      <c r="Q512" s="20"/>
      <c r="R512" s="20"/>
      <c r="S512" s="20"/>
      <c r="T512" s="20"/>
      <c r="U512" s="20"/>
      <c r="V512" s="20"/>
      <c r="W512" s="20"/>
      <c r="X512" s="20"/>
      <c r="Y512" s="20"/>
      <c r="Z512" s="20"/>
    </row>
    <row r="513" ht="13.5" customHeight="1" spans="1:26">
      <c r="A513" s="20"/>
      <c r="B513" s="20"/>
      <c r="C513" s="20"/>
      <c r="D513" s="20"/>
      <c r="E513" s="20"/>
      <c r="F513" s="20"/>
      <c r="G513" s="20"/>
      <c r="H513" s="20"/>
      <c r="I513" s="20"/>
      <c r="J513" s="20"/>
      <c r="K513" s="20"/>
      <c r="L513" s="20"/>
      <c r="M513" s="20"/>
      <c r="N513" s="20"/>
      <c r="O513" s="20"/>
      <c r="P513" s="20"/>
      <c r="Q513" s="20"/>
      <c r="R513" s="20"/>
      <c r="S513" s="20"/>
      <c r="T513" s="20"/>
      <c r="U513" s="20"/>
      <c r="V513" s="20"/>
      <c r="W513" s="20"/>
      <c r="X513" s="20"/>
      <c r="Y513" s="20"/>
      <c r="Z513" s="20"/>
    </row>
    <row r="514" ht="13.5" customHeight="1" spans="1:26">
      <c r="A514" s="20"/>
      <c r="B514" s="20"/>
      <c r="C514" s="20"/>
      <c r="D514" s="20"/>
      <c r="E514" s="20"/>
      <c r="F514" s="20"/>
      <c r="G514" s="20"/>
      <c r="H514" s="20"/>
      <c r="I514" s="20"/>
      <c r="J514" s="20"/>
      <c r="K514" s="20"/>
      <c r="L514" s="20"/>
      <c r="M514" s="20"/>
      <c r="N514" s="20"/>
      <c r="O514" s="20"/>
      <c r="P514" s="20"/>
      <c r="Q514" s="20"/>
      <c r="R514" s="20"/>
      <c r="S514" s="20"/>
      <c r="T514" s="20"/>
      <c r="U514" s="20"/>
      <c r="V514" s="20"/>
      <c r="W514" s="20"/>
      <c r="X514" s="20"/>
      <c r="Y514" s="20"/>
      <c r="Z514" s="20"/>
    </row>
    <row r="515" ht="13.5" customHeight="1" spans="1:26">
      <c r="A515" s="20"/>
      <c r="B515" s="20"/>
      <c r="C515" s="20"/>
      <c r="D515" s="20"/>
      <c r="E515" s="20"/>
      <c r="F515" s="20"/>
      <c r="G515" s="20"/>
      <c r="H515" s="20"/>
      <c r="I515" s="20"/>
      <c r="J515" s="20"/>
      <c r="K515" s="20"/>
      <c r="L515" s="20"/>
      <c r="M515" s="20"/>
      <c r="N515" s="20"/>
      <c r="O515" s="20"/>
      <c r="P515" s="20"/>
      <c r="Q515" s="20"/>
      <c r="R515" s="20"/>
      <c r="S515" s="20"/>
      <c r="T515" s="20"/>
      <c r="U515" s="20"/>
      <c r="V515" s="20"/>
      <c r="W515" s="20"/>
      <c r="X515" s="20"/>
      <c r="Y515" s="20"/>
      <c r="Z515" s="20"/>
    </row>
    <row r="516" ht="13.5" customHeight="1" spans="1:26">
      <c r="A516" s="20"/>
      <c r="B516" s="20"/>
      <c r="C516" s="20"/>
      <c r="D516" s="20"/>
      <c r="E516" s="20"/>
      <c r="F516" s="20"/>
      <c r="G516" s="20"/>
      <c r="H516" s="20"/>
      <c r="I516" s="20"/>
      <c r="J516" s="20"/>
      <c r="K516" s="20"/>
      <c r="L516" s="20"/>
      <c r="M516" s="20"/>
      <c r="N516" s="20"/>
      <c r="O516" s="20"/>
      <c r="P516" s="20"/>
      <c r="Q516" s="20"/>
      <c r="R516" s="20"/>
      <c r="S516" s="20"/>
      <c r="T516" s="20"/>
      <c r="U516" s="20"/>
      <c r="V516" s="20"/>
      <c r="W516" s="20"/>
      <c r="X516" s="20"/>
      <c r="Y516" s="20"/>
      <c r="Z516" s="20"/>
    </row>
    <row r="517" ht="13.5" customHeight="1" spans="1:26">
      <c r="A517" s="20"/>
      <c r="B517" s="20"/>
      <c r="C517" s="20"/>
      <c r="D517" s="20"/>
      <c r="E517" s="20"/>
      <c r="F517" s="20"/>
      <c r="G517" s="20"/>
      <c r="H517" s="20"/>
      <c r="I517" s="20"/>
      <c r="J517" s="20"/>
      <c r="K517" s="20"/>
      <c r="L517" s="20"/>
      <c r="M517" s="20"/>
      <c r="N517" s="20"/>
      <c r="O517" s="20"/>
      <c r="P517" s="20"/>
      <c r="Q517" s="20"/>
      <c r="R517" s="20"/>
      <c r="S517" s="20"/>
      <c r="T517" s="20"/>
      <c r="U517" s="20"/>
      <c r="V517" s="20"/>
      <c r="W517" s="20"/>
      <c r="X517" s="20"/>
      <c r="Y517" s="20"/>
      <c r="Z517" s="20"/>
    </row>
    <row r="518" ht="13.5" customHeight="1" spans="1:26">
      <c r="A518" s="20"/>
      <c r="B518" s="20"/>
      <c r="C518" s="20"/>
      <c r="D518" s="20"/>
      <c r="E518" s="20"/>
      <c r="F518" s="20"/>
      <c r="G518" s="20"/>
      <c r="H518" s="20"/>
      <c r="I518" s="20"/>
      <c r="J518" s="20"/>
      <c r="K518" s="20"/>
      <c r="L518" s="20"/>
      <c r="M518" s="20"/>
      <c r="N518" s="20"/>
      <c r="O518" s="20"/>
      <c r="P518" s="20"/>
      <c r="Q518" s="20"/>
      <c r="R518" s="20"/>
      <c r="S518" s="20"/>
      <c r="T518" s="20"/>
      <c r="U518" s="20"/>
      <c r="V518" s="20"/>
      <c r="W518" s="20"/>
      <c r="X518" s="20"/>
      <c r="Y518" s="20"/>
      <c r="Z518" s="20"/>
    </row>
    <row r="519" ht="13.5" customHeight="1" spans="1:26">
      <c r="A519" s="20"/>
      <c r="B519" s="20"/>
      <c r="C519" s="20"/>
      <c r="D519" s="20"/>
      <c r="E519" s="20"/>
      <c r="F519" s="20"/>
      <c r="G519" s="20"/>
      <c r="H519" s="20"/>
      <c r="I519" s="20"/>
      <c r="J519" s="20"/>
      <c r="K519" s="20"/>
      <c r="L519" s="20"/>
      <c r="M519" s="20"/>
      <c r="N519" s="20"/>
      <c r="O519" s="20"/>
      <c r="P519" s="20"/>
      <c r="Q519" s="20"/>
      <c r="R519" s="20"/>
      <c r="S519" s="20"/>
      <c r="T519" s="20"/>
      <c r="U519" s="20"/>
      <c r="V519" s="20"/>
      <c r="W519" s="20"/>
      <c r="X519" s="20"/>
      <c r="Y519" s="20"/>
      <c r="Z519" s="20"/>
    </row>
    <row r="520" ht="13.5" customHeight="1" spans="1:26">
      <c r="A520" s="20"/>
      <c r="B520" s="20"/>
      <c r="C520" s="20"/>
      <c r="D520" s="20"/>
      <c r="E520" s="20"/>
      <c r="F520" s="20"/>
      <c r="G520" s="20"/>
      <c r="H520" s="20"/>
      <c r="I520" s="20"/>
      <c r="J520" s="20"/>
      <c r="K520" s="20"/>
      <c r="L520" s="20"/>
      <c r="M520" s="20"/>
      <c r="N520" s="20"/>
      <c r="O520" s="20"/>
      <c r="P520" s="20"/>
      <c r="Q520" s="20"/>
      <c r="R520" s="20"/>
      <c r="S520" s="20"/>
      <c r="T520" s="20"/>
      <c r="U520" s="20"/>
      <c r="V520" s="20"/>
      <c r="W520" s="20"/>
      <c r="X520" s="20"/>
      <c r="Y520" s="20"/>
      <c r="Z520" s="20"/>
    </row>
    <row r="521" ht="13.5" customHeight="1" spans="1:26">
      <c r="A521" s="20"/>
      <c r="B521" s="20"/>
      <c r="C521" s="20"/>
      <c r="D521" s="20"/>
      <c r="E521" s="20"/>
      <c r="F521" s="20"/>
      <c r="G521" s="20"/>
      <c r="H521" s="20"/>
      <c r="I521" s="20"/>
      <c r="J521" s="20"/>
      <c r="K521" s="20"/>
      <c r="L521" s="20"/>
      <c r="M521" s="20"/>
      <c r="N521" s="20"/>
      <c r="O521" s="20"/>
      <c r="P521" s="20"/>
      <c r="Q521" s="20"/>
      <c r="R521" s="20"/>
      <c r="S521" s="20"/>
      <c r="T521" s="20"/>
      <c r="U521" s="20"/>
      <c r="V521" s="20"/>
      <c r="W521" s="20"/>
      <c r="X521" s="20"/>
      <c r="Y521" s="20"/>
      <c r="Z521" s="20"/>
    </row>
    <row r="522" ht="13.5" customHeight="1" spans="1:26">
      <c r="A522" s="20"/>
      <c r="B522" s="20"/>
      <c r="C522" s="20"/>
      <c r="D522" s="20"/>
      <c r="E522" s="20"/>
      <c r="F522" s="20"/>
      <c r="G522" s="20"/>
      <c r="H522" s="20"/>
      <c r="I522" s="20"/>
      <c r="J522" s="20"/>
      <c r="K522" s="20"/>
      <c r="L522" s="20"/>
      <c r="M522" s="20"/>
      <c r="N522" s="20"/>
      <c r="O522" s="20"/>
      <c r="P522" s="20"/>
      <c r="Q522" s="20"/>
      <c r="R522" s="20"/>
      <c r="S522" s="20"/>
      <c r="T522" s="20"/>
      <c r="U522" s="20"/>
      <c r="V522" s="20"/>
      <c r="W522" s="20"/>
      <c r="X522" s="20"/>
      <c r="Y522" s="20"/>
      <c r="Z522" s="20"/>
    </row>
    <row r="523" ht="13.5" customHeight="1" spans="1:26">
      <c r="A523" s="20"/>
      <c r="B523" s="20"/>
      <c r="C523" s="20"/>
      <c r="D523" s="20"/>
      <c r="E523" s="20"/>
      <c r="F523" s="20"/>
      <c r="G523" s="20"/>
      <c r="H523" s="20"/>
      <c r="I523" s="20"/>
      <c r="J523" s="20"/>
      <c r="K523" s="20"/>
      <c r="L523" s="20"/>
      <c r="M523" s="20"/>
      <c r="N523" s="20"/>
      <c r="O523" s="20"/>
      <c r="P523" s="20"/>
      <c r="Q523" s="20"/>
      <c r="R523" s="20"/>
      <c r="S523" s="20"/>
      <c r="T523" s="20"/>
      <c r="U523" s="20"/>
      <c r="V523" s="20"/>
      <c r="W523" s="20"/>
      <c r="X523" s="20"/>
      <c r="Y523" s="20"/>
      <c r="Z523" s="20"/>
    </row>
    <row r="524" ht="13.5" customHeight="1" spans="1:26">
      <c r="A524" s="20"/>
      <c r="B524" s="20"/>
      <c r="C524" s="20"/>
      <c r="D524" s="20"/>
      <c r="E524" s="20"/>
      <c r="F524" s="20"/>
      <c r="G524" s="20"/>
      <c r="H524" s="20"/>
      <c r="I524" s="20"/>
      <c r="J524" s="20"/>
      <c r="K524" s="20"/>
      <c r="L524" s="20"/>
      <c r="M524" s="20"/>
      <c r="N524" s="20"/>
      <c r="O524" s="20"/>
      <c r="P524" s="20"/>
      <c r="Q524" s="20"/>
      <c r="R524" s="20"/>
      <c r="S524" s="20"/>
      <c r="T524" s="20"/>
      <c r="U524" s="20"/>
      <c r="V524" s="20"/>
      <c r="W524" s="20"/>
      <c r="X524" s="20"/>
      <c r="Y524" s="20"/>
      <c r="Z524" s="20"/>
    </row>
    <row r="525" ht="13.5" customHeight="1" spans="1:26">
      <c r="A525" s="20"/>
      <c r="B525" s="20"/>
      <c r="C525" s="20"/>
      <c r="D525" s="20"/>
      <c r="E525" s="20"/>
      <c r="F525" s="20"/>
      <c r="G525" s="20"/>
      <c r="H525" s="20"/>
      <c r="I525" s="20"/>
      <c r="J525" s="20"/>
      <c r="K525" s="20"/>
      <c r="L525" s="20"/>
      <c r="M525" s="20"/>
      <c r="N525" s="20"/>
      <c r="O525" s="20"/>
      <c r="P525" s="20"/>
      <c r="Q525" s="20"/>
      <c r="R525" s="20"/>
      <c r="S525" s="20"/>
      <c r="T525" s="20"/>
      <c r="U525" s="20"/>
      <c r="V525" s="20"/>
      <c r="W525" s="20"/>
      <c r="X525" s="20"/>
      <c r="Y525" s="20"/>
      <c r="Z525" s="20"/>
    </row>
    <row r="526" ht="13.5" customHeight="1" spans="1:26">
      <c r="A526" s="20"/>
      <c r="B526" s="20"/>
      <c r="C526" s="20"/>
      <c r="D526" s="20"/>
      <c r="E526" s="20"/>
      <c r="F526" s="20"/>
      <c r="G526" s="20"/>
      <c r="H526" s="20"/>
      <c r="I526" s="20"/>
      <c r="J526" s="20"/>
      <c r="K526" s="20"/>
      <c r="L526" s="20"/>
      <c r="M526" s="20"/>
      <c r="N526" s="20"/>
      <c r="O526" s="20"/>
      <c r="P526" s="20"/>
      <c r="Q526" s="20"/>
      <c r="R526" s="20"/>
      <c r="S526" s="20"/>
      <c r="T526" s="20"/>
      <c r="U526" s="20"/>
      <c r="V526" s="20"/>
      <c r="W526" s="20"/>
      <c r="X526" s="20"/>
      <c r="Y526" s="20"/>
      <c r="Z526" s="20"/>
    </row>
    <row r="527" ht="13.5" customHeight="1" spans="1:26">
      <c r="A527" s="20"/>
      <c r="B527" s="20"/>
      <c r="C527" s="20"/>
      <c r="D527" s="20"/>
      <c r="E527" s="20"/>
      <c r="F527" s="20"/>
      <c r="G527" s="20"/>
      <c r="H527" s="20"/>
      <c r="I527" s="20"/>
      <c r="J527" s="20"/>
      <c r="K527" s="20"/>
      <c r="L527" s="20"/>
      <c r="M527" s="20"/>
      <c r="N527" s="20"/>
      <c r="O527" s="20"/>
      <c r="P527" s="20"/>
      <c r="Q527" s="20"/>
      <c r="R527" s="20"/>
      <c r="S527" s="20"/>
      <c r="T527" s="20"/>
      <c r="U527" s="20"/>
      <c r="V527" s="20"/>
      <c r="W527" s="20"/>
      <c r="X527" s="20"/>
      <c r="Y527" s="20"/>
      <c r="Z527" s="20"/>
    </row>
    <row r="528" ht="13.5" customHeight="1" spans="1:26">
      <c r="A528" s="20"/>
      <c r="B528" s="20"/>
      <c r="C528" s="20"/>
      <c r="D528" s="20"/>
      <c r="E528" s="20"/>
      <c r="F528" s="20"/>
      <c r="G528" s="20"/>
      <c r="H528" s="20"/>
      <c r="I528" s="20"/>
      <c r="J528" s="20"/>
      <c r="K528" s="20"/>
      <c r="L528" s="20"/>
      <c r="M528" s="20"/>
      <c r="N528" s="20"/>
      <c r="O528" s="20"/>
      <c r="P528" s="20"/>
      <c r="Q528" s="20"/>
      <c r="R528" s="20"/>
      <c r="S528" s="20"/>
      <c r="T528" s="20"/>
      <c r="U528" s="20"/>
      <c r="V528" s="20"/>
      <c r="W528" s="20"/>
      <c r="X528" s="20"/>
      <c r="Y528" s="20"/>
      <c r="Z528" s="20"/>
    </row>
    <row r="529" ht="13.5" customHeight="1" spans="1:26">
      <c r="A529" s="20"/>
      <c r="B529" s="20"/>
      <c r="C529" s="20"/>
      <c r="D529" s="20"/>
      <c r="E529" s="20"/>
      <c r="F529" s="20"/>
      <c r="G529" s="20"/>
      <c r="H529" s="20"/>
      <c r="I529" s="20"/>
      <c r="J529" s="20"/>
      <c r="K529" s="20"/>
      <c r="L529" s="20"/>
      <c r="M529" s="20"/>
      <c r="N529" s="20"/>
      <c r="O529" s="20"/>
      <c r="P529" s="20"/>
      <c r="Q529" s="20"/>
      <c r="R529" s="20"/>
      <c r="S529" s="20"/>
      <c r="T529" s="20"/>
      <c r="U529" s="20"/>
      <c r="V529" s="20"/>
      <c r="W529" s="20"/>
      <c r="X529" s="20"/>
      <c r="Y529" s="20"/>
      <c r="Z529" s="20"/>
    </row>
    <row r="530" ht="13.5" customHeight="1" spans="1:26">
      <c r="A530" s="20"/>
      <c r="B530" s="20"/>
      <c r="C530" s="20"/>
      <c r="D530" s="20"/>
      <c r="E530" s="20"/>
      <c r="F530" s="20"/>
      <c r="G530" s="20"/>
      <c r="H530" s="20"/>
      <c r="I530" s="20"/>
      <c r="J530" s="20"/>
      <c r="K530" s="20"/>
      <c r="L530" s="20"/>
      <c r="M530" s="20"/>
      <c r="N530" s="20"/>
      <c r="O530" s="20"/>
      <c r="P530" s="20"/>
      <c r="Q530" s="20"/>
      <c r="R530" s="20"/>
      <c r="S530" s="20"/>
      <c r="T530" s="20"/>
      <c r="U530" s="20"/>
      <c r="V530" s="20"/>
      <c r="W530" s="20"/>
      <c r="X530" s="20"/>
      <c r="Y530" s="20"/>
      <c r="Z530" s="20"/>
    </row>
    <row r="531" ht="13.5" customHeight="1" spans="1:26">
      <c r="A531" s="20"/>
      <c r="B531" s="20"/>
      <c r="C531" s="20"/>
      <c r="D531" s="20"/>
      <c r="E531" s="20"/>
      <c r="F531" s="20"/>
      <c r="G531" s="20"/>
      <c r="H531" s="20"/>
      <c r="I531" s="20"/>
      <c r="J531" s="20"/>
      <c r="K531" s="20"/>
      <c r="L531" s="20"/>
      <c r="M531" s="20"/>
      <c r="N531" s="20"/>
      <c r="O531" s="20"/>
      <c r="P531" s="20"/>
      <c r="Q531" s="20"/>
      <c r="R531" s="20"/>
      <c r="S531" s="20"/>
      <c r="T531" s="20"/>
      <c r="U531" s="20"/>
      <c r="V531" s="20"/>
      <c r="W531" s="20"/>
      <c r="X531" s="20"/>
      <c r="Y531" s="20"/>
      <c r="Z531" s="20"/>
    </row>
    <row r="532" ht="13.5" customHeight="1" spans="1:26">
      <c r="A532" s="20"/>
      <c r="B532" s="20"/>
      <c r="C532" s="20"/>
      <c r="D532" s="20"/>
      <c r="E532" s="20"/>
      <c r="F532" s="20"/>
      <c r="G532" s="20"/>
      <c r="H532" s="20"/>
      <c r="I532" s="20"/>
      <c r="J532" s="20"/>
      <c r="K532" s="20"/>
      <c r="L532" s="20"/>
      <c r="M532" s="20"/>
      <c r="N532" s="20"/>
      <c r="O532" s="20"/>
      <c r="P532" s="20"/>
      <c r="Q532" s="20"/>
      <c r="R532" s="20"/>
      <c r="S532" s="20"/>
      <c r="T532" s="20"/>
      <c r="U532" s="20"/>
      <c r="V532" s="20"/>
      <c r="W532" s="20"/>
      <c r="X532" s="20"/>
      <c r="Y532" s="20"/>
      <c r="Z532" s="20"/>
    </row>
    <row r="533" ht="13.5" customHeight="1" spans="1:26">
      <c r="A533" s="20"/>
      <c r="B533" s="20"/>
      <c r="C533" s="20"/>
      <c r="D533" s="20"/>
      <c r="E533" s="20"/>
      <c r="F533" s="20"/>
      <c r="G533" s="20"/>
      <c r="H533" s="20"/>
      <c r="I533" s="20"/>
      <c r="J533" s="20"/>
      <c r="K533" s="20"/>
      <c r="L533" s="20"/>
      <c r="M533" s="20"/>
      <c r="N533" s="20"/>
      <c r="O533" s="20"/>
      <c r="P533" s="20"/>
      <c r="Q533" s="20"/>
      <c r="R533" s="20"/>
      <c r="S533" s="20"/>
      <c r="T533" s="20"/>
      <c r="U533" s="20"/>
      <c r="V533" s="20"/>
      <c r="W533" s="20"/>
      <c r="X533" s="20"/>
      <c r="Y533" s="20"/>
      <c r="Z533" s="20"/>
    </row>
    <row r="534" ht="13.5" customHeight="1" spans="1:26">
      <c r="A534" s="20"/>
      <c r="B534" s="20"/>
      <c r="C534" s="20"/>
      <c r="D534" s="20"/>
      <c r="E534" s="20"/>
      <c r="F534" s="20"/>
      <c r="G534" s="20"/>
      <c r="H534" s="20"/>
      <c r="I534" s="20"/>
      <c r="J534" s="20"/>
      <c r="K534" s="20"/>
      <c r="L534" s="20"/>
      <c r="M534" s="20"/>
      <c r="N534" s="20"/>
      <c r="O534" s="20"/>
      <c r="P534" s="20"/>
      <c r="Q534" s="20"/>
      <c r="R534" s="20"/>
      <c r="S534" s="20"/>
      <c r="T534" s="20"/>
      <c r="U534" s="20"/>
      <c r="V534" s="20"/>
      <c r="W534" s="20"/>
      <c r="X534" s="20"/>
      <c r="Y534" s="20"/>
      <c r="Z534" s="20"/>
    </row>
    <row r="535" ht="13.5" customHeight="1" spans="1:26">
      <c r="A535" s="20"/>
      <c r="B535" s="20"/>
      <c r="C535" s="20"/>
      <c r="D535" s="20"/>
      <c r="E535" s="20"/>
      <c r="F535" s="20"/>
      <c r="G535" s="20"/>
      <c r="H535" s="20"/>
      <c r="I535" s="20"/>
      <c r="J535" s="20"/>
      <c r="K535" s="20"/>
      <c r="L535" s="20"/>
      <c r="M535" s="20"/>
      <c r="N535" s="20"/>
      <c r="O535" s="20"/>
      <c r="P535" s="20"/>
      <c r="Q535" s="20"/>
      <c r="R535" s="20"/>
      <c r="S535" s="20"/>
      <c r="T535" s="20"/>
      <c r="U535" s="20"/>
      <c r="V535" s="20"/>
      <c r="W535" s="20"/>
      <c r="X535" s="20"/>
      <c r="Y535" s="20"/>
      <c r="Z535" s="20"/>
    </row>
    <row r="536" ht="13.5" customHeight="1" spans="1:26">
      <c r="A536" s="20"/>
      <c r="B536" s="20"/>
      <c r="C536" s="20"/>
      <c r="D536" s="20"/>
      <c r="E536" s="20"/>
      <c r="F536" s="20"/>
      <c r="G536" s="20"/>
      <c r="H536" s="20"/>
      <c r="I536" s="20"/>
      <c r="J536" s="20"/>
      <c r="K536" s="20"/>
      <c r="L536" s="20"/>
      <c r="M536" s="20"/>
      <c r="N536" s="20"/>
      <c r="O536" s="20"/>
      <c r="P536" s="20"/>
      <c r="Q536" s="20"/>
      <c r="R536" s="20"/>
      <c r="S536" s="20"/>
      <c r="T536" s="20"/>
      <c r="U536" s="20"/>
      <c r="V536" s="20"/>
      <c r="W536" s="20"/>
      <c r="X536" s="20"/>
      <c r="Y536" s="20"/>
      <c r="Z536" s="20"/>
    </row>
    <row r="537" ht="13.5" customHeight="1" spans="1:26">
      <c r="A537" s="20"/>
      <c r="B537" s="20"/>
      <c r="C537" s="20"/>
      <c r="D537" s="20"/>
      <c r="E537" s="20"/>
      <c r="F537" s="20"/>
      <c r="G537" s="20"/>
      <c r="H537" s="20"/>
      <c r="I537" s="20"/>
      <c r="J537" s="20"/>
      <c r="K537" s="20"/>
      <c r="L537" s="20"/>
      <c r="M537" s="20"/>
      <c r="N537" s="20"/>
      <c r="O537" s="20"/>
      <c r="P537" s="20"/>
      <c r="Q537" s="20"/>
      <c r="R537" s="20"/>
      <c r="S537" s="20"/>
      <c r="T537" s="20"/>
      <c r="U537" s="20"/>
      <c r="V537" s="20"/>
      <c r="W537" s="20"/>
      <c r="X537" s="20"/>
      <c r="Y537" s="20"/>
      <c r="Z537" s="20"/>
    </row>
    <row r="538" ht="13.5" customHeight="1" spans="1:26">
      <c r="A538" s="20"/>
      <c r="B538" s="20"/>
      <c r="C538" s="20"/>
      <c r="D538" s="20"/>
      <c r="E538" s="20"/>
      <c r="F538" s="20"/>
      <c r="G538" s="20"/>
      <c r="H538" s="20"/>
      <c r="I538" s="20"/>
      <c r="J538" s="20"/>
      <c r="K538" s="20"/>
      <c r="L538" s="20"/>
      <c r="M538" s="20"/>
      <c r="N538" s="20"/>
      <c r="O538" s="20"/>
      <c r="P538" s="20"/>
      <c r="Q538" s="20"/>
      <c r="R538" s="20"/>
      <c r="S538" s="20"/>
      <c r="T538" s="20"/>
      <c r="U538" s="20"/>
      <c r="V538" s="20"/>
      <c r="W538" s="20"/>
      <c r="X538" s="20"/>
      <c r="Y538" s="20"/>
      <c r="Z538" s="20"/>
    </row>
    <row r="539" ht="13.5" customHeight="1" spans="1:26">
      <c r="A539" s="20"/>
      <c r="B539" s="20"/>
      <c r="C539" s="20"/>
      <c r="D539" s="20"/>
      <c r="E539" s="20"/>
      <c r="F539" s="20"/>
      <c r="G539" s="20"/>
      <c r="H539" s="20"/>
      <c r="I539" s="20"/>
      <c r="J539" s="20"/>
      <c r="K539" s="20"/>
      <c r="L539" s="20"/>
      <c r="M539" s="20"/>
      <c r="N539" s="20"/>
      <c r="O539" s="20"/>
      <c r="P539" s="20"/>
      <c r="Q539" s="20"/>
      <c r="R539" s="20"/>
      <c r="S539" s="20"/>
      <c r="T539" s="20"/>
      <c r="U539" s="20"/>
      <c r="V539" s="20"/>
      <c r="W539" s="20"/>
      <c r="X539" s="20"/>
      <c r="Y539" s="20"/>
      <c r="Z539" s="20"/>
    </row>
    <row r="540" ht="13.5" customHeight="1" spans="1:26">
      <c r="A540" s="20"/>
      <c r="B540" s="20"/>
      <c r="C540" s="20"/>
      <c r="D540" s="20"/>
      <c r="E540" s="20"/>
      <c r="F540" s="20"/>
      <c r="G540" s="20"/>
      <c r="H540" s="20"/>
      <c r="I540" s="20"/>
      <c r="J540" s="20"/>
      <c r="K540" s="20"/>
      <c r="L540" s="20"/>
      <c r="M540" s="20"/>
      <c r="N540" s="20"/>
      <c r="O540" s="20"/>
      <c r="P540" s="20"/>
      <c r="Q540" s="20"/>
      <c r="R540" s="20"/>
      <c r="S540" s="20"/>
      <c r="T540" s="20"/>
      <c r="U540" s="20"/>
      <c r="V540" s="20"/>
      <c r="W540" s="20"/>
      <c r="X540" s="20"/>
      <c r="Y540" s="20"/>
      <c r="Z540" s="20"/>
    </row>
    <row r="541" ht="13.5" customHeight="1" spans="1:26">
      <c r="A541" s="20"/>
      <c r="B541" s="20"/>
      <c r="C541" s="20"/>
      <c r="D541" s="20"/>
      <c r="E541" s="20"/>
      <c r="F541" s="20"/>
      <c r="G541" s="20"/>
      <c r="H541" s="20"/>
      <c r="I541" s="20"/>
      <c r="J541" s="20"/>
      <c r="K541" s="20"/>
      <c r="L541" s="20"/>
      <c r="M541" s="20"/>
      <c r="N541" s="20"/>
      <c r="O541" s="20"/>
      <c r="P541" s="20"/>
      <c r="Q541" s="20"/>
      <c r="R541" s="20"/>
      <c r="S541" s="20"/>
      <c r="T541" s="20"/>
      <c r="U541" s="20"/>
      <c r="V541" s="20"/>
      <c r="W541" s="20"/>
      <c r="X541" s="20"/>
      <c r="Y541" s="20"/>
      <c r="Z541" s="20"/>
    </row>
    <row r="542" ht="13.5" customHeight="1" spans="1:26">
      <c r="A542" s="20"/>
      <c r="B542" s="20"/>
      <c r="C542" s="20"/>
      <c r="D542" s="20"/>
      <c r="E542" s="20"/>
      <c r="F542" s="20"/>
      <c r="G542" s="20"/>
      <c r="H542" s="20"/>
      <c r="I542" s="20"/>
      <c r="J542" s="20"/>
      <c r="K542" s="20"/>
      <c r="L542" s="20"/>
      <c r="M542" s="20"/>
      <c r="N542" s="20"/>
      <c r="O542" s="20"/>
      <c r="P542" s="20"/>
      <c r="Q542" s="20"/>
      <c r="R542" s="20"/>
      <c r="S542" s="20"/>
      <c r="T542" s="20"/>
      <c r="U542" s="20"/>
      <c r="V542" s="20"/>
      <c r="W542" s="20"/>
      <c r="X542" s="20"/>
      <c r="Y542" s="20"/>
      <c r="Z542" s="20"/>
    </row>
    <row r="543" ht="13.5" customHeight="1" spans="1:26">
      <c r="A543" s="20"/>
      <c r="B543" s="20"/>
      <c r="C543" s="20"/>
      <c r="D543" s="20"/>
      <c r="E543" s="20"/>
      <c r="F543" s="20"/>
      <c r="G543" s="20"/>
      <c r="H543" s="20"/>
      <c r="I543" s="20"/>
      <c r="J543" s="20"/>
      <c r="K543" s="20"/>
      <c r="L543" s="20"/>
      <c r="M543" s="20"/>
      <c r="N543" s="20"/>
      <c r="O543" s="20"/>
      <c r="P543" s="20"/>
      <c r="Q543" s="20"/>
      <c r="R543" s="20"/>
      <c r="S543" s="20"/>
      <c r="T543" s="20"/>
      <c r="U543" s="20"/>
      <c r="V543" s="20"/>
      <c r="W543" s="20"/>
      <c r="X543" s="20"/>
      <c r="Y543" s="20"/>
      <c r="Z543" s="20"/>
    </row>
    <row r="544" ht="13.5" customHeight="1" spans="1:26">
      <c r="A544" s="20"/>
      <c r="B544" s="20"/>
      <c r="C544" s="20"/>
      <c r="D544" s="20"/>
      <c r="E544" s="20"/>
      <c r="F544" s="20"/>
      <c r="G544" s="20"/>
      <c r="H544" s="20"/>
      <c r="I544" s="20"/>
      <c r="J544" s="20"/>
      <c r="K544" s="20"/>
      <c r="L544" s="20"/>
      <c r="M544" s="20"/>
      <c r="N544" s="20"/>
      <c r="O544" s="20"/>
      <c r="P544" s="20"/>
      <c r="Q544" s="20"/>
      <c r="R544" s="20"/>
      <c r="S544" s="20"/>
      <c r="T544" s="20"/>
      <c r="U544" s="20"/>
      <c r="V544" s="20"/>
      <c r="W544" s="20"/>
      <c r="X544" s="20"/>
      <c r="Y544" s="20"/>
      <c r="Z544" s="20"/>
    </row>
    <row r="545" ht="13.5" customHeight="1" spans="1:26">
      <c r="A545" s="20"/>
      <c r="B545" s="20"/>
      <c r="C545" s="20"/>
      <c r="D545" s="20"/>
      <c r="E545" s="20"/>
      <c r="F545" s="20"/>
      <c r="G545" s="20"/>
      <c r="H545" s="20"/>
      <c r="I545" s="20"/>
      <c r="J545" s="20"/>
      <c r="K545" s="20"/>
      <c r="L545" s="20"/>
      <c r="M545" s="20"/>
      <c r="N545" s="20"/>
      <c r="O545" s="20"/>
      <c r="P545" s="20"/>
      <c r="Q545" s="20"/>
      <c r="R545" s="20"/>
      <c r="S545" s="20"/>
      <c r="T545" s="20"/>
      <c r="U545" s="20"/>
      <c r="V545" s="20"/>
      <c r="W545" s="20"/>
      <c r="X545" s="20"/>
      <c r="Y545" s="20"/>
      <c r="Z545" s="20"/>
    </row>
    <row r="546" ht="13.5" customHeight="1" spans="1:26">
      <c r="A546" s="20"/>
      <c r="B546" s="20"/>
      <c r="C546" s="20"/>
      <c r="D546" s="20"/>
      <c r="E546" s="20"/>
      <c r="F546" s="20"/>
      <c r="G546" s="20"/>
      <c r="H546" s="20"/>
      <c r="I546" s="20"/>
      <c r="J546" s="20"/>
      <c r="K546" s="20"/>
      <c r="L546" s="20"/>
      <c r="M546" s="20"/>
      <c r="N546" s="20"/>
      <c r="O546" s="20"/>
      <c r="P546" s="20"/>
      <c r="Q546" s="20"/>
      <c r="R546" s="20"/>
      <c r="S546" s="20"/>
      <c r="T546" s="20"/>
      <c r="U546" s="20"/>
      <c r="V546" s="20"/>
      <c r="W546" s="20"/>
      <c r="X546" s="20"/>
      <c r="Y546" s="20"/>
      <c r="Z546" s="20"/>
    </row>
    <row r="547" ht="13.5" customHeight="1" spans="1:26">
      <c r="A547" s="20"/>
      <c r="B547" s="20"/>
      <c r="C547" s="20"/>
      <c r="D547" s="20"/>
      <c r="E547" s="20"/>
      <c r="F547" s="20"/>
      <c r="G547" s="20"/>
      <c r="H547" s="20"/>
      <c r="I547" s="20"/>
      <c r="J547" s="20"/>
      <c r="K547" s="20"/>
      <c r="L547" s="20"/>
      <c r="M547" s="20"/>
      <c r="N547" s="20"/>
      <c r="O547" s="20"/>
      <c r="P547" s="20"/>
      <c r="Q547" s="20"/>
      <c r="R547" s="20"/>
      <c r="S547" s="20"/>
      <c r="T547" s="20"/>
      <c r="U547" s="20"/>
      <c r="V547" s="20"/>
      <c r="W547" s="20"/>
      <c r="X547" s="20"/>
      <c r="Y547" s="20"/>
      <c r="Z547" s="20"/>
    </row>
    <row r="548" ht="13.5" customHeight="1" spans="1:26">
      <c r="A548" s="20"/>
      <c r="B548" s="20"/>
      <c r="C548" s="20"/>
      <c r="D548" s="20"/>
      <c r="E548" s="20"/>
      <c r="F548" s="20"/>
      <c r="G548" s="20"/>
      <c r="H548" s="20"/>
      <c r="I548" s="20"/>
      <c r="J548" s="20"/>
      <c r="K548" s="20"/>
      <c r="L548" s="20"/>
      <c r="M548" s="20"/>
      <c r="N548" s="20"/>
      <c r="O548" s="20"/>
      <c r="P548" s="20"/>
      <c r="Q548" s="20"/>
      <c r="R548" s="20"/>
      <c r="S548" s="20"/>
      <c r="T548" s="20"/>
      <c r="U548" s="20"/>
      <c r="V548" s="20"/>
      <c r="W548" s="20"/>
      <c r="X548" s="20"/>
      <c r="Y548" s="20"/>
      <c r="Z548" s="20"/>
    </row>
    <row r="549" ht="13.5" customHeight="1" spans="1:26">
      <c r="A549" s="20"/>
      <c r="B549" s="20"/>
      <c r="C549" s="20"/>
      <c r="D549" s="20"/>
      <c r="E549" s="20"/>
      <c r="F549" s="20"/>
      <c r="G549" s="20"/>
      <c r="H549" s="20"/>
      <c r="I549" s="20"/>
      <c r="J549" s="20"/>
      <c r="K549" s="20"/>
      <c r="L549" s="20"/>
      <c r="M549" s="20"/>
      <c r="N549" s="20"/>
      <c r="O549" s="20"/>
      <c r="P549" s="20"/>
      <c r="Q549" s="20"/>
      <c r="R549" s="20"/>
      <c r="S549" s="20"/>
      <c r="T549" s="20"/>
      <c r="U549" s="20"/>
      <c r="V549" s="20"/>
      <c r="W549" s="20"/>
      <c r="X549" s="20"/>
      <c r="Y549" s="20"/>
      <c r="Z549" s="20"/>
    </row>
    <row r="550" ht="13.5" customHeight="1" spans="1:26">
      <c r="A550" s="20"/>
      <c r="B550" s="20"/>
      <c r="C550" s="20"/>
      <c r="D550" s="20"/>
      <c r="E550" s="20"/>
      <c r="F550" s="20"/>
      <c r="G550" s="20"/>
      <c r="H550" s="20"/>
      <c r="I550" s="20"/>
      <c r="J550" s="20"/>
      <c r="K550" s="20"/>
      <c r="L550" s="20"/>
      <c r="M550" s="20"/>
      <c r="N550" s="20"/>
      <c r="O550" s="20"/>
      <c r="P550" s="20"/>
      <c r="Q550" s="20"/>
      <c r="R550" s="20"/>
      <c r="S550" s="20"/>
      <c r="T550" s="20"/>
      <c r="U550" s="20"/>
      <c r="V550" s="20"/>
      <c r="W550" s="20"/>
      <c r="X550" s="20"/>
      <c r="Y550" s="20"/>
      <c r="Z550" s="20"/>
    </row>
    <row r="551" ht="13.5" customHeight="1" spans="1:26">
      <c r="A551" s="20"/>
      <c r="B551" s="20"/>
      <c r="C551" s="20"/>
      <c r="D551" s="20"/>
      <c r="E551" s="20"/>
      <c r="F551" s="20"/>
      <c r="G551" s="20"/>
      <c r="H551" s="20"/>
      <c r="I551" s="20"/>
      <c r="J551" s="20"/>
      <c r="K551" s="20"/>
      <c r="L551" s="20"/>
      <c r="M551" s="20"/>
      <c r="N551" s="20"/>
      <c r="O551" s="20"/>
      <c r="P551" s="20"/>
      <c r="Q551" s="20"/>
      <c r="R551" s="20"/>
      <c r="S551" s="20"/>
      <c r="T551" s="20"/>
      <c r="U551" s="20"/>
      <c r="V551" s="20"/>
      <c r="W551" s="20"/>
      <c r="X551" s="20"/>
      <c r="Y551" s="20"/>
      <c r="Z551" s="20"/>
    </row>
    <row r="552" ht="13.5" customHeight="1" spans="1:26">
      <c r="A552" s="20"/>
      <c r="B552" s="20"/>
      <c r="C552" s="20"/>
      <c r="D552" s="20"/>
      <c r="E552" s="20"/>
      <c r="F552" s="20"/>
      <c r="G552" s="20"/>
      <c r="H552" s="20"/>
      <c r="I552" s="20"/>
      <c r="J552" s="20"/>
      <c r="K552" s="20"/>
      <c r="L552" s="20"/>
      <c r="M552" s="20"/>
      <c r="N552" s="20"/>
      <c r="O552" s="20"/>
      <c r="P552" s="20"/>
      <c r="Q552" s="20"/>
      <c r="R552" s="20"/>
      <c r="S552" s="20"/>
      <c r="T552" s="20"/>
      <c r="U552" s="20"/>
      <c r="V552" s="20"/>
      <c r="W552" s="20"/>
      <c r="X552" s="20"/>
      <c r="Y552" s="20"/>
      <c r="Z552" s="20"/>
    </row>
    <row r="553" ht="13.5" customHeight="1" spans="1:26">
      <c r="A553" s="20"/>
      <c r="B553" s="20"/>
      <c r="C553" s="20"/>
      <c r="D553" s="20"/>
      <c r="E553" s="20"/>
      <c r="F553" s="20"/>
      <c r="G553" s="20"/>
      <c r="H553" s="20"/>
      <c r="I553" s="20"/>
      <c r="J553" s="20"/>
      <c r="K553" s="20"/>
      <c r="L553" s="20"/>
      <c r="M553" s="20"/>
      <c r="N553" s="20"/>
      <c r="O553" s="20"/>
      <c r="P553" s="20"/>
      <c r="Q553" s="20"/>
      <c r="R553" s="20"/>
      <c r="S553" s="20"/>
      <c r="T553" s="20"/>
      <c r="U553" s="20"/>
      <c r="V553" s="20"/>
      <c r="W553" s="20"/>
      <c r="X553" s="20"/>
      <c r="Y553" s="20"/>
      <c r="Z553" s="20"/>
    </row>
    <row r="554" ht="13.5" customHeight="1" spans="1:26">
      <c r="A554" s="20"/>
      <c r="B554" s="20"/>
      <c r="C554" s="20"/>
      <c r="D554" s="20"/>
      <c r="E554" s="20"/>
      <c r="F554" s="20"/>
      <c r="G554" s="20"/>
      <c r="H554" s="20"/>
      <c r="I554" s="20"/>
      <c r="J554" s="20"/>
      <c r="K554" s="20"/>
      <c r="L554" s="20"/>
      <c r="M554" s="20"/>
      <c r="N554" s="20"/>
      <c r="O554" s="20"/>
      <c r="P554" s="20"/>
      <c r="Q554" s="20"/>
      <c r="R554" s="20"/>
      <c r="S554" s="20"/>
      <c r="T554" s="20"/>
      <c r="U554" s="20"/>
      <c r="V554" s="20"/>
      <c r="W554" s="20"/>
      <c r="X554" s="20"/>
      <c r="Y554" s="20"/>
      <c r="Z554" s="20"/>
    </row>
    <row r="555" ht="13.5" customHeight="1" spans="1:26">
      <c r="A555" s="20"/>
      <c r="B555" s="20"/>
      <c r="C555" s="20"/>
      <c r="D555" s="20"/>
      <c r="E555" s="20"/>
      <c r="F555" s="20"/>
      <c r="G555" s="20"/>
      <c r="H555" s="20"/>
      <c r="I555" s="20"/>
      <c r="J555" s="20"/>
      <c r="K555" s="20"/>
      <c r="L555" s="20"/>
      <c r="M555" s="20"/>
      <c r="N555" s="20"/>
      <c r="O555" s="20"/>
      <c r="P555" s="20"/>
      <c r="Q555" s="20"/>
      <c r="R555" s="20"/>
      <c r="S555" s="20"/>
      <c r="T555" s="20"/>
      <c r="U555" s="20"/>
      <c r="V555" s="20"/>
      <c r="W555" s="20"/>
      <c r="X555" s="20"/>
      <c r="Y555" s="20"/>
      <c r="Z555" s="20"/>
    </row>
    <row r="556" ht="13.5" customHeight="1" spans="1:26">
      <c r="A556" s="20"/>
      <c r="B556" s="20"/>
      <c r="C556" s="20"/>
      <c r="D556" s="20"/>
      <c r="E556" s="20"/>
      <c r="F556" s="20"/>
      <c r="G556" s="20"/>
      <c r="H556" s="20"/>
      <c r="I556" s="20"/>
      <c r="J556" s="20"/>
      <c r="K556" s="20"/>
      <c r="L556" s="20"/>
      <c r="M556" s="20"/>
      <c r="N556" s="20"/>
      <c r="O556" s="20"/>
      <c r="P556" s="20"/>
      <c r="Q556" s="20"/>
      <c r="R556" s="20"/>
      <c r="S556" s="20"/>
      <c r="T556" s="20"/>
      <c r="U556" s="20"/>
      <c r="V556" s="20"/>
      <c r="W556" s="20"/>
      <c r="X556" s="20"/>
      <c r="Y556" s="20"/>
      <c r="Z556" s="20"/>
    </row>
    <row r="557" ht="13.5" customHeight="1" spans="1:26">
      <c r="A557" s="20"/>
      <c r="B557" s="20"/>
      <c r="C557" s="20"/>
      <c r="D557" s="20"/>
      <c r="E557" s="20"/>
      <c r="F557" s="20"/>
      <c r="G557" s="20"/>
      <c r="H557" s="20"/>
      <c r="I557" s="20"/>
      <c r="J557" s="20"/>
      <c r="K557" s="20"/>
      <c r="L557" s="20"/>
      <c r="M557" s="20"/>
      <c r="N557" s="20"/>
      <c r="O557" s="20"/>
      <c r="P557" s="20"/>
      <c r="Q557" s="20"/>
      <c r="R557" s="20"/>
      <c r="S557" s="20"/>
      <c r="T557" s="20"/>
      <c r="U557" s="20"/>
      <c r="V557" s="20"/>
      <c r="W557" s="20"/>
      <c r="X557" s="20"/>
      <c r="Y557" s="20"/>
      <c r="Z557" s="20"/>
    </row>
    <row r="558" ht="13.5" customHeight="1" spans="1:26">
      <c r="A558" s="20"/>
      <c r="B558" s="20"/>
      <c r="C558" s="20"/>
      <c r="D558" s="20"/>
      <c r="E558" s="20"/>
      <c r="F558" s="20"/>
      <c r="G558" s="20"/>
      <c r="H558" s="20"/>
      <c r="I558" s="20"/>
      <c r="J558" s="20"/>
      <c r="K558" s="20"/>
      <c r="L558" s="20"/>
      <c r="M558" s="20"/>
      <c r="N558" s="20"/>
      <c r="O558" s="20"/>
      <c r="P558" s="20"/>
      <c r="Q558" s="20"/>
      <c r="R558" s="20"/>
      <c r="S558" s="20"/>
      <c r="T558" s="20"/>
      <c r="U558" s="20"/>
      <c r="V558" s="20"/>
      <c r="W558" s="20"/>
      <c r="X558" s="20"/>
      <c r="Y558" s="20"/>
      <c r="Z558" s="20"/>
    </row>
    <row r="559" ht="13.5" customHeight="1" spans="1:26">
      <c r="A559" s="20"/>
      <c r="B559" s="20"/>
      <c r="C559" s="20"/>
      <c r="D559" s="20"/>
      <c r="E559" s="20"/>
      <c r="F559" s="20"/>
      <c r="G559" s="20"/>
      <c r="H559" s="20"/>
      <c r="I559" s="20"/>
      <c r="J559" s="20"/>
      <c r="K559" s="20"/>
      <c r="L559" s="20"/>
      <c r="M559" s="20"/>
      <c r="N559" s="20"/>
      <c r="O559" s="20"/>
      <c r="P559" s="20"/>
      <c r="Q559" s="20"/>
      <c r="R559" s="20"/>
      <c r="S559" s="20"/>
      <c r="T559" s="20"/>
      <c r="U559" s="20"/>
      <c r="V559" s="20"/>
      <c r="W559" s="20"/>
      <c r="X559" s="20"/>
      <c r="Y559" s="20"/>
      <c r="Z559" s="20"/>
    </row>
    <row r="560" ht="13.5" customHeight="1" spans="1:26">
      <c r="A560" s="20"/>
      <c r="B560" s="20"/>
      <c r="C560" s="20"/>
      <c r="D560" s="20"/>
      <c r="E560" s="20"/>
      <c r="F560" s="20"/>
      <c r="G560" s="20"/>
      <c r="H560" s="20"/>
      <c r="I560" s="20"/>
      <c r="J560" s="20"/>
      <c r="K560" s="20"/>
      <c r="L560" s="20"/>
      <c r="M560" s="20"/>
      <c r="N560" s="20"/>
      <c r="O560" s="20"/>
      <c r="P560" s="20"/>
      <c r="Q560" s="20"/>
      <c r="R560" s="20"/>
      <c r="S560" s="20"/>
      <c r="T560" s="20"/>
      <c r="U560" s="20"/>
      <c r="V560" s="20"/>
      <c r="W560" s="20"/>
      <c r="X560" s="20"/>
      <c r="Y560" s="20"/>
      <c r="Z560" s="20"/>
    </row>
    <row r="561" ht="13.5" customHeight="1" spans="1:26">
      <c r="A561" s="20"/>
      <c r="B561" s="20"/>
      <c r="C561" s="20"/>
      <c r="D561" s="20"/>
      <c r="E561" s="20"/>
      <c r="F561" s="20"/>
      <c r="G561" s="20"/>
      <c r="H561" s="20"/>
      <c r="I561" s="20"/>
      <c r="J561" s="20"/>
      <c r="K561" s="20"/>
      <c r="L561" s="20"/>
      <c r="M561" s="20"/>
      <c r="N561" s="20"/>
      <c r="O561" s="20"/>
      <c r="P561" s="20"/>
      <c r="Q561" s="20"/>
      <c r="R561" s="20"/>
      <c r="S561" s="20"/>
      <c r="T561" s="20"/>
      <c r="U561" s="20"/>
      <c r="V561" s="20"/>
      <c r="W561" s="20"/>
      <c r="X561" s="20"/>
      <c r="Y561" s="20"/>
      <c r="Z561" s="20"/>
    </row>
    <row r="562" ht="13.5" customHeight="1" spans="1:26">
      <c r="A562" s="20"/>
      <c r="B562" s="20"/>
      <c r="C562" s="20"/>
      <c r="D562" s="20"/>
      <c r="E562" s="20"/>
      <c r="F562" s="20"/>
      <c r="G562" s="20"/>
      <c r="H562" s="20"/>
      <c r="I562" s="20"/>
      <c r="J562" s="20"/>
      <c r="K562" s="20"/>
      <c r="L562" s="20"/>
      <c r="M562" s="20"/>
      <c r="N562" s="20"/>
      <c r="O562" s="20"/>
      <c r="P562" s="20"/>
      <c r="Q562" s="20"/>
      <c r="R562" s="20"/>
      <c r="S562" s="20"/>
      <c r="T562" s="20"/>
      <c r="U562" s="20"/>
      <c r="V562" s="20"/>
      <c r="W562" s="20"/>
      <c r="X562" s="20"/>
      <c r="Y562" s="20"/>
      <c r="Z562" s="20"/>
    </row>
    <row r="563" ht="13.5" customHeight="1" spans="1:26">
      <c r="A563" s="20"/>
      <c r="B563" s="20"/>
      <c r="C563" s="20"/>
      <c r="D563" s="20"/>
      <c r="E563" s="20"/>
      <c r="F563" s="20"/>
      <c r="G563" s="20"/>
      <c r="H563" s="20"/>
      <c r="I563" s="20"/>
      <c r="J563" s="20"/>
      <c r="K563" s="20"/>
      <c r="L563" s="20"/>
      <c r="M563" s="20"/>
      <c r="N563" s="20"/>
      <c r="O563" s="20"/>
      <c r="P563" s="20"/>
      <c r="Q563" s="20"/>
      <c r="R563" s="20"/>
      <c r="S563" s="20"/>
      <c r="T563" s="20"/>
      <c r="U563" s="20"/>
      <c r="V563" s="20"/>
      <c r="W563" s="20"/>
      <c r="X563" s="20"/>
      <c r="Y563" s="20"/>
      <c r="Z563" s="20"/>
    </row>
    <row r="564" ht="13.5" customHeight="1" spans="1:26">
      <c r="A564" s="20"/>
      <c r="B564" s="20"/>
      <c r="C564" s="20"/>
      <c r="D564" s="20"/>
      <c r="E564" s="20"/>
      <c r="F564" s="20"/>
      <c r="G564" s="20"/>
      <c r="H564" s="20"/>
      <c r="I564" s="20"/>
      <c r="J564" s="20"/>
      <c r="K564" s="20"/>
      <c r="L564" s="20"/>
      <c r="M564" s="20"/>
      <c r="N564" s="20"/>
      <c r="O564" s="20"/>
      <c r="P564" s="20"/>
      <c r="Q564" s="20"/>
      <c r="R564" s="20"/>
      <c r="S564" s="20"/>
      <c r="T564" s="20"/>
      <c r="U564" s="20"/>
      <c r="V564" s="20"/>
      <c r="W564" s="20"/>
      <c r="X564" s="20"/>
      <c r="Y564" s="20"/>
      <c r="Z564" s="20"/>
    </row>
    <row r="565" ht="13.5" customHeight="1" spans="1:26">
      <c r="A565" s="20"/>
      <c r="B565" s="20"/>
      <c r="C565" s="20"/>
      <c r="D565" s="20"/>
      <c r="E565" s="20"/>
      <c r="F565" s="20"/>
      <c r="G565" s="20"/>
      <c r="H565" s="20"/>
      <c r="I565" s="20"/>
      <c r="J565" s="20"/>
      <c r="K565" s="20"/>
      <c r="L565" s="20"/>
      <c r="M565" s="20"/>
      <c r="N565" s="20"/>
      <c r="O565" s="20"/>
      <c r="P565" s="20"/>
      <c r="Q565" s="20"/>
      <c r="R565" s="20"/>
      <c r="S565" s="20"/>
      <c r="T565" s="20"/>
      <c r="U565" s="20"/>
      <c r="V565" s="20"/>
      <c r="W565" s="20"/>
      <c r="X565" s="20"/>
      <c r="Y565" s="20"/>
      <c r="Z565" s="20"/>
    </row>
    <row r="566" ht="13.5" customHeight="1" spans="1:26">
      <c r="A566" s="20"/>
      <c r="B566" s="20"/>
      <c r="C566" s="20"/>
      <c r="D566" s="20"/>
      <c r="E566" s="20"/>
      <c r="F566" s="20"/>
      <c r="G566" s="20"/>
      <c r="H566" s="20"/>
      <c r="I566" s="20"/>
      <c r="J566" s="20"/>
      <c r="K566" s="20"/>
      <c r="L566" s="20"/>
      <c r="M566" s="20"/>
      <c r="N566" s="20"/>
      <c r="O566" s="20"/>
      <c r="P566" s="20"/>
      <c r="Q566" s="20"/>
      <c r="R566" s="20"/>
      <c r="S566" s="20"/>
      <c r="T566" s="20"/>
      <c r="U566" s="20"/>
      <c r="V566" s="20"/>
      <c r="W566" s="20"/>
      <c r="X566" s="20"/>
      <c r="Y566" s="20"/>
      <c r="Z566" s="20"/>
    </row>
    <row r="567" ht="13.5" customHeight="1" spans="1:26">
      <c r="A567" s="20"/>
      <c r="B567" s="20"/>
      <c r="C567" s="20"/>
      <c r="D567" s="20"/>
      <c r="E567" s="20"/>
      <c r="F567" s="20"/>
      <c r="G567" s="20"/>
      <c r="H567" s="20"/>
      <c r="I567" s="20"/>
      <c r="J567" s="20"/>
      <c r="K567" s="20"/>
      <c r="L567" s="20"/>
      <c r="M567" s="20"/>
      <c r="N567" s="20"/>
      <c r="O567" s="20"/>
      <c r="P567" s="20"/>
      <c r="Q567" s="20"/>
      <c r="R567" s="20"/>
      <c r="S567" s="20"/>
      <c r="T567" s="20"/>
      <c r="U567" s="20"/>
      <c r="V567" s="20"/>
      <c r="W567" s="20"/>
      <c r="X567" s="20"/>
      <c r="Y567" s="20"/>
      <c r="Z567" s="20"/>
    </row>
    <row r="568" ht="13.5" customHeight="1" spans="1:26">
      <c r="A568" s="20"/>
      <c r="B568" s="20"/>
      <c r="C568" s="20"/>
      <c r="D568" s="20"/>
      <c r="E568" s="20"/>
      <c r="F568" s="20"/>
      <c r="G568" s="20"/>
      <c r="H568" s="20"/>
      <c r="I568" s="20"/>
      <c r="J568" s="20"/>
      <c r="K568" s="20"/>
      <c r="L568" s="20"/>
      <c r="M568" s="20"/>
      <c r="N568" s="20"/>
      <c r="O568" s="20"/>
      <c r="P568" s="20"/>
      <c r="Q568" s="20"/>
      <c r="R568" s="20"/>
      <c r="S568" s="20"/>
      <c r="T568" s="20"/>
      <c r="U568" s="20"/>
      <c r="V568" s="20"/>
      <c r="W568" s="20"/>
      <c r="X568" s="20"/>
      <c r="Y568" s="20"/>
      <c r="Z568" s="20"/>
    </row>
    <row r="569" ht="13.5" customHeight="1" spans="1:26">
      <c r="A569" s="20"/>
      <c r="B569" s="20"/>
      <c r="C569" s="20"/>
      <c r="D569" s="20"/>
      <c r="E569" s="20"/>
      <c r="F569" s="20"/>
      <c r="G569" s="20"/>
      <c r="H569" s="20"/>
      <c r="I569" s="20"/>
      <c r="J569" s="20"/>
      <c r="K569" s="20"/>
      <c r="L569" s="20"/>
      <c r="M569" s="20"/>
      <c r="N569" s="20"/>
      <c r="O569" s="20"/>
      <c r="P569" s="20"/>
      <c r="Q569" s="20"/>
      <c r="R569" s="20"/>
      <c r="S569" s="20"/>
      <c r="T569" s="20"/>
      <c r="U569" s="20"/>
      <c r="V569" s="20"/>
      <c r="W569" s="20"/>
      <c r="X569" s="20"/>
      <c r="Y569" s="20"/>
      <c r="Z569" s="20"/>
    </row>
    <row r="570" ht="13.5" customHeight="1" spans="1:26">
      <c r="A570" s="20"/>
      <c r="B570" s="20"/>
      <c r="C570" s="20"/>
      <c r="D570" s="20"/>
      <c r="E570" s="20"/>
      <c r="F570" s="20"/>
      <c r="G570" s="20"/>
      <c r="H570" s="20"/>
      <c r="I570" s="20"/>
      <c r="J570" s="20"/>
      <c r="K570" s="20"/>
      <c r="L570" s="20"/>
      <c r="M570" s="20"/>
      <c r="N570" s="20"/>
      <c r="O570" s="20"/>
      <c r="P570" s="20"/>
      <c r="Q570" s="20"/>
      <c r="R570" s="20"/>
      <c r="S570" s="20"/>
      <c r="T570" s="20"/>
      <c r="U570" s="20"/>
      <c r="V570" s="20"/>
      <c r="W570" s="20"/>
      <c r="X570" s="20"/>
      <c r="Y570" s="20"/>
      <c r="Z570" s="20"/>
    </row>
    <row r="571" ht="13.5" customHeight="1" spans="1:26">
      <c r="A571" s="20"/>
      <c r="B571" s="20"/>
      <c r="C571" s="20"/>
      <c r="D571" s="20"/>
      <c r="E571" s="20"/>
      <c r="F571" s="20"/>
      <c r="G571" s="20"/>
      <c r="H571" s="20"/>
      <c r="I571" s="20"/>
      <c r="J571" s="20"/>
      <c r="K571" s="20"/>
      <c r="L571" s="20"/>
      <c r="M571" s="20"/>
      <c r="N571" s="20"/>
      <c r="O571" s="20"/>
      <c r="P571" s="20"/>
      <c r="Q571" s="20"/>
      <c r="R571" s="20"/>
      <c r="S571" s="20"/>
      <c r="T571" s="20"/>
      <c r="U571" s="20"/>
      <c r="V571" s="20"/>
      <c r="W571" s="20"/>
      <c r="X571" s="20"/>
      <c r="Y571" s="20"/>
      <c r="Z571" s="20"/>
    </row>
    <row r="572" ht="13.5" customHeight="1" spans="1:26">
      <c r="A572" s="20"/>
      <c r="B572" s="20"/>
      <c r="C572" s="20"/>
      <c r="D572" s="20"/>
      <c r="E572" s="20"/>
      <c r="F572" s="20"/>
      <c r="G572" s="20"/>
      <c r="H572" s="20"/>
      <c r="I572" s="20"/>
      <c r="J572" s="20"/>
      <c r="K572" s="20"/>
      <c r="L572" s="20"/>
      <c r="M572" s="20"/>
      <c r="N572" s="20"/>
      <c r="O572" s="20"/>
      <c r="P572" s="20"/>
      <c r="Q572" s="20"/>
      <c r="R572" s="20"/>
      <c r="S572" s="20"/>
      <c r="T572" s="20"/>
      <c r="U572" s="20"/>
      <c r="V572" s="20"/>
      <c r="W572" s="20"/>
      <c r="X572" s="20"/>
      <c r="Y572" s="20"/>
      <c r="Z572" s="20"/>
    </row>
    <row r="573" ht="13.5" customHeight="1" spans="1:26">
      <c r="A573" s="20"/>
      <c r="B573" s="20"/>
      <c r="C573" s="20"/>
      <c r="D573" s="20"/>
      <c r="E573" s="20"/>
      <c r="F573" s="20"/>
      <c r="G573" s="20"/>
      <c r="H573" s="20"/>
      <c r="I573" s="20"/>
      <c r="J573" s="20"/>
      <c r="K573" s="20"/>
      <c r="L573" s="20"/>
      <c r="M573" s="20"/>
      <c r="N573" s="20"/>
      <c r="O573" s="20"/>
      <c r="P573" s="20"/>
      <c r="Q573" s="20"/>
      <c r="R573" s="20"/>
      <c r="S573" s="20"/>
      <c r="T573" s="20"/>
      <c r="U573" s="20"/>
      <c r="V573" s="20"/>
      <c r="W573" s="20"/>
      <c r="X573" s="20"/>
      <c r="Y573" s="20"/>
      <c r="Z573" s="20"/>
    </row>
    <row r="574" ht="13.5" customHeight="1" spans="1:26">
      <c r="A574" s="20"/>
      <c r="B574" s="20"/>
      <c r="C574" s="20"/>
      <c r="D574" s="20"/>
      <c r="E574" s="20"/>
      <c r="F574" s="20"/>
      <c r="G574" s="20"/>
      <c r="H574" s="20"/>
      <c r="I574" s="20"/>
      <c r="J574" s="20"/>
      <c r="K574" s="20"/>
      <c r="L574" s="20"/>
      <c r="M574" s="20"/>
      <c r="N574" s="20"/>
      <c r="O574" s="20"/>
      <c r="P574" s="20"/>
      <c r="Q574" s="20"/>
      <c r="R574" s="20"/>
      <c r="S574" s="20"/>
      <c r="T574" s="20"/>
      <c r="U574" s="20"/>
      <c r="V574" s="20"/>
      <c r="W574" s="20"/>
      <c r="X574" s="20"/>
      <c r="Y574" s="20"/>
      <c r="Z574" s="20"/>
    </row>
    <row r="575" ht="13.5" customHeight="1" spans="1:26">
      <c r="A575" s="20"/>
      <c r="B575" s="20"/>
      <c r="C575" s="20"/>
      <c r="D575" s="20"/>
      <c r="E575" s="20"/>
      <c r="F575" s="20"/>
      <c r="G575" s="20"/>
      <c r="H575" s="20"/>
      <c r="I575" s="20"/>
      <c r="J575" s="20"/>
      <c r="K575" s="20"/>
      <c r="L575" s="20"/>
      <c r="M575" s="20"/>
      <c r="N575" s="20"/>
      <c r="O575" s="20"/>
      <c r="P575" s="20"/>
      <c r="Q575" s="20"/>
      <c r="R575" s="20"/>
      <c r="S575" s="20"/>
      <c r="T575" s="20"/>
      <c r="U575" s="20"/>
      <c r="V575" s="20"/>
      <c r="W575" s="20"/>
      <c r="X575" s="20"/>
      <c r="Y575" s="20"/>
      <c r="Z575" s="20"/>
    </row>
    <row r="576" ht="13.5" customHeight="1" spans="1:26">
      <c r="A576" s="20"/>
      <c r="B576" s="20"/>
      <c r="C576" s="20"/>
      <c r="D576" s="20"/>
      <c r="E576" s="20"/>
      <c r="F576" s="20"/>
      <c r="G576" s="20"/>
      <c r="H576" s="20"/>
      <c r="I576" s="20"/>
      <c r="J576" s="20"/>
      <c r="K576" s="20"/>
      <c r="L576" s="20"/>
      <c r="M576" s="20"/>
      <c r="N576" s="20"/>
      <c r="O576" s="20"/>
      <c r="P576" s="20"/>
      <c r="Q576" s="20"/>
      <c r="R576" s="20"/>
      <c r="S576" s="20"/>
      <c r="T576" s="20"/>
      <c r="U576" s="20"/>
      <c r="V576" s="20"/>
      <c r="W576" s="20"/>
      <c r="X576" s="20"/>
      <c r="Y576" s="20"/>
      <c r="Z576" s="20"/>
    </row>
    <row r="577" ht="13.5" customHeight="1" spans="1:26">
      <c r="A577" s="20"/>
      <c r="B577" s="20"/>
      <c r="C577" s="20"/>
      <c r="D577" s="20"/>
      <c r="E577" s="20"/>
      <c r="F577" s="20"/>
      <c r="G577" s="20"/>
      <c r="H577" s="20"/>
      <c r="I577" s="20"/>
      <c r="J577" s="20"/>
      <c r="K577" s="20"/>
      <c r="L577" s="20"/>
      <c r="M577" s="20"/>
      <c r="N577" s="20"/>
      <c r="O577" s="20"/>
      <c r="P577" s="20"/>
      <c r="Q577" s="20"/>
      <c r="R577" s="20"/>
      <c r="S577" s="20"/>
      <c r="T577" s="20"/>
      <c r="U577" s="20"/>
      <c r="V577" s="20"/>
      <c r="W577" s="20"/>
      <c r="X577" s="20"/>
      <c r="Y577" s="20"/>
      <c r="Z577" s="20"/>
    </row>
    <row r="578" ht="13.5" customHeight="1" spans="1:26">
      <c r="A578" s="20"/>
      <c r="B578" s="20"/>
      <c r="C578" s="20"/>
      <c r="D578" s="20"/>
      <c r="E578" s="20"/>
      <c r="F578" s="20"/>
      <c r="G578" s="20"/>
      <c r="H578" s="20"/>
      <c r="I578" s="20"/>
      <c r="J578" s="20"/>
      <c r="K578" s="20"/>
      <c r="L578" s="20"/>
      <c r="M578" s="20"/>
      <c r="N578" s="20"/>
      <c r="O578" s="20"/>
      <c r="P578" s="20"/>
      <c r="Q578" s="20"/>
      <c r="R578" s="20"/>
      <c r="S578" s="20"/>
      <c r="T578" s="20"/>
      <c r="U578" s="20"/>
      <c r="V578" s="20"/>
      <c r="W578" s="20"/>
      <c r="X578" s="20"/>
      <c r="Y578" s="20"/>
      <c r="Z578" s="20"/>
    </row>
    <row r="579" ht="13.5" customHeight="1" spans="1:26">
      <c r="A579" s="20"/>
      <c r="B579" s="20"/>
      <c r="C579" s="20"/>
      <c r="D579" s="20"/>
      <c r="E579" s="20"/>
      <c r="F579" s="20"/>
      <c r="G579" s="20"/>
      <c r="H579" s="20"/>
      <c r="I579" s="20"/>
      <c r="J579" s="20"/>
      <c r="K579" s="20"/>
      <c r="L579" s="20"/>
      <c r="M579" s="20"/>
      <c r="N579" s="20"/>
      <c r="O579" s="20"/>
      <c r="P579" s="20"/>
      <c r="Q579" s="20"/>
      <c r="R579" s="20"/>
      <c r="S579" s="20"/>
      <c r="T579" s="20"/>
      <c r="U579" s="20"/>
      <c r="V579" s="20"/>
      <c r="W579" s="20"/>
      <c r="X579" s="20"/>
      <c r="Y579" s="20"/>
      <c r="Z579" s="20"/>
    </row>
    <row r="580" ht="13.5" customHeight="1" spans="1:26">
      <c r="A580" s="20"/>
      <c r="B580" s="20"/>
      <c r="C580" s="20"/>
      <c r="D580" s="20"/>
      <c r="E580" s="20"/>
      <c r="F580" s="20"/>
      <c r="G580" s="20"/>
      <c r="H580" s="20"/>
      <c r="I580" s="20"/>
      <c r="J580" s="20"/>
      <c r="K580" s="20"/>
      <c r="L580" s="20"/>
      <c r="M580" s="20"/>
      <c r="N580" s="20"/>
      <c r="O580" s="20"/>
      <c r="P580" s="20"/>
      <c r="Q580" s="20"/>
      <c r="R580" s="20"/>
      <c r="S580" s="20"/>
      <c r="T580" s="20"/>
      <c r="U580" s="20"/>
      <c r="V580" s="20"/>
      <c r="W580" s="20"/>
      <c r="X580" s="20"/>
      <c r="Y580" s="20"/>
      <c r="Z580" s="20"/>
    </row>
    <row r="581" ht="13.5" customHeight="1" spans="1:26">
      <c r="A581" s="20"/>
      <c r="B581" s="20"/>
      <c r="C581" s="20"/>
      <c r="D581" s="20"/>
      <c r="E581" s="20"/>
      <c r="F581" s="20"/>
      <c r="G581" s="20"/>
      <c r="H581" s="20"/>
      <c r="I581" s="20"/>
      <c r="J581" s="20"/>
      <c r="K581" s="20"/>
      <c r="L581" s="20"/>
      <c r="M581" s="20"/>
      <c r="N581" s="20"/>
      <c r="O581" s="20"/>
      <c r="P581" s="20"/>
      <c r="Q581" s="20"/>
      <c r="R581" s="20"/>
      <c r="S581" s="20"/>
      <c r="T581" s="20"/>
      <c r="U581" s="20"/>
      <c r="V581" s="20"/>
      <c r="W581" s="20"/>
      <c r="X581" s="20"/>
      <c r="Y581" s="20"/>
      <c r="Z581" s="20"/>
    </row>
    <row r="582" ht="13.5" customHeight="1" spans="1:26">
      <c r="A582" s="20"/>
      <c r="B582" s="20"/>
      <c r="C582" s="20"/>
      <c r="D582" s="20"/>
      <c r="E582" s="20"/>
      <c r="F582" s="20"/>
      <c r="G582" s="20"/>
      <c r="H582" s="20"/>
      <c r="I582" s="20"/>
      <c r="J582" s="20"/>
      <c r="K582" s="20"/>
      <c r="L582" s="20"/>
      <c r="M582" s="20"/>
      <c r="N582" s="20"/>
      <c r="O582" s="20"/>
      <c r="P582" s="20"/>
      <c r="Q582" s="20"/>
      <c r="R582" s="20"/>
      <c r="S582" s="20"/>
      <c r="T582" s="20"/>
      <c r="U582" s="20"/>
      <c r="V582" s="20"/>
      <c r="W582" s="20"/>
      <c r="X582" s="20"/>
      <c r="Y582" s="20"/>
      <c r="Z582" s="20"/>
    </row>
    <row r="583" ht="13.5" customHeight="1" spans="1:26">
      <c r="A583" s="20"/>
      <c r="B583" s="20"/>
      <c r="C583" s="20"/>
      <c r="D583" s="20"/>
      <c r="E583" s="20"/>
      <c r="F583" s="20"/>
      <c r="G583" s="20"/>
      <c r="H583" s="20"/>
      <c r="I583" s="20"/>
      <c r="J583" s="20"/>
      <c r="K583" s="20"/>
      <c r="L583" s="20"/>
      <c r="M583" s="20"/>
      <c r="N583" s="20"/>
      <c r="O583" s="20"/>
      <c r="P583" s="20"/>
      <c r="Q583" s="20"/>
      <c r="R583" s="20"/>
      <c r="S583" s="20"/>
      <c r="T583" s="20"/>
      <c r="U583" s="20"/>
      <c r="V583" s="20"/>
      <c r="W583" s="20"/>
      <c r="X583" s="20"/>
      <c r="Y583" s="20"/>
      <c r="Z583" s="20"/>
    </row>
    <row r="584" ht="13.5" customHeight="1" spans="1:26">
      <c r="A584" s="20"/>
      <c r="B584" s="20"/>
      <c r="C584" s="20"/>
      <c r="D584" s="20"/>
      <c r="E584" s="20"/>
      <c r="F584" s="20"/>
      <c r="G584" s="20"/>
      <c r="H584" s="20"/>
      <c r="I584" s="20"/>
      <c r="J584" s="20"/>
      <c r="K584" s="20"/>
      <c r="L584" s="20"/>
      <c r="M584" s="20"/>
      <c r="N584" s="20"/>
      <c r="O584" s="20"/>
      <c r="P584" s="20"/>
      <c r="Q584" s="20"/>
      <c r="R584" s="20"/>
      <c r="S584" s="20"/>
      <c r="T584" s="20"/>
      <c r="U584" s="20"/>
      <c r="V584" s="20"/>
      <c r="W584" s="20"/>
      <c r="X584" s="20"/>
      <c r="Y584" s="20"/>
      <c r="Z584" s="20"/>
    </row>
    <row r="585" ht="13.5" customHeight="1" spans="1:26">
      <c r="A585" s="20"/>
      <c r="B585" s="20"/>
      <c r="C585" s="20"/>
      <c r="D585" s="20"/>
      <c r="E585" s="20"/>
      <c r="F585" s="20"/>
      <c r="G585" s="20"/>
      <c r="H585" s="20"/>
      <c r="I585" s="20"/>
      <c r="J585" s="20"/>
      <c r="K585" s="20"/>
      <c r="L585" s="20"/>
      <c r="M585" s="20"/>
      <c r="N585" s="20"/>
      <c r="O585" s="20"/>
      <c r="P585" s="20"/>
      <c r="Q585" s="20"/>
      <c r="R585" s="20"/>
      <c r="S585" s="20"/>
      <c r="T585" s="20"/>
      <c r="U585" s="20"/>
      <c r="V585" s="20"/>
      <c r="W585" s="20"/>
      <c r="X585" s="20"/>
      <c r="Y585" s="20"/>
      <c r="Z585" s="20"/>
    </row>
    <row r="586" ht="13.5" customHeight="1" spans="1:26">
      <c r="A586" s="20"/>
      <c r="B586" s="20"/>
      <c r="C586" s="20"/>
      <c r="D586" s="20"/>
      <c r="E586" s="20"/>
      <c r="F586" s="20"/>
      <c r="G586" s="20"/>
      <c r="H586" s="20"/>
      <c r="I586" s="20"/>
      <c r="J586" s="20"/>
      <c r="K586" s="20"/>
      <c r="L586" s="20"/>
      <c r="M586" s="20"/>
      <c r="N586" s="20"/>
      <c r="O586" s="20"/>
      <c r="P586" s="20"/>
      <c r="Q586" s="20"/>
      <c r="R586" s="20"/>
      <c r="S586" s="20"/>
      <c r="T586" s="20"/>
      <c r="U586" s="20"/>
      <c r="V586" s="20"/>
      <c r="W586" s="20"/>
      <c r="X586" s="20"/>
      <c r="Y586" s="20"/>
      <c r="Z586" s="20"/>
    </row>
    <row r="587" ht="13.5" customHeight="1" spans="1:26">
      <c r="A587" s="20"/>
      <c r="B587" s="20"/>
      <c r="C587" s="20"/>
      <c r="D587" s="20"/>
      <c r="E587" s="20"/>
      <c r="F587" s="20"/>
      <c r="G587" s="20"/>
      <c r="H587" s="20"/>
      <c r="I587" s="20"/>
      <c r="J587" s="20"/>
      <c r="K587" s="20"/>
      <c r="L587" s="20"/>
      <c r="M587" s="20"/>
      <c r="N587" s="20"/>
      <c r="O587" s="20"/>
      <c r="P587" s="20"/>
      <c r="Q587" s="20"/>
      <c r="R587" s="20"/>
      <c r="S587" s="20"/>
      <c r="T587" s="20"/>
      <c r="U587" s="20"/>
      <c r="V587" s="20"/>
      <c r="W587" s="20"/>
      <c r="X587" s="20"/>
      <c r="Y587" s="20"/>
      <c r="Z587" s="20"/>
    </row>
    <row r="588" ht="13.5" customHeight="1" spans="1:26">
      <c r="A588" s="20"/>
      <c r="B588" s="20"/>
      <c r="C588" s="20"/>
      <c r="D588" s="20"/>
      <c r="E588" s="20"/>
      <c r="F588" s="20"/>
      <c r="G588" s="20"/>
      <c r="H588" s="20"/>
      <c r="I588" s="20"/>
      <c r="J588" s="20"/>
      <c r="K588" s="20"/>
      <c r="L588" s="20"/>
      <c r="M588" s="20"/>
      <c r="N588" s="20"/>
      <c r="O588" s="20"/>
      <c r="P588" s="20"/>
      <c r="Q588" s="20"/>
      <c r="R588" s="20"/>
      <c r="S588" s="20"/>
      <c r="T588" s="20"/>
      <c r="U588" s="20"/>
      <c r="V588" s="20"/>
      <c r="W588" s="20"/>
      <c r="X588" s="20"/>
      <c r="Y588" s="20"/>
      <c r="Z588" s="20"/>
    </row>
    <row r="589" ht="13.5" customHeight="1" spans="1:26">
      <c r="A589" s="20"/>
      <c r="B589" s="20"/>
      <c r="C589" s="20"/>
      <c r="D589" s="20"/>
      <c r="E589" s="20"/>
      <c r="F589" s="20"/>
      <c r="G589" s="20"/>
      <c r="H589" s="20"/>
      <c r="I589" s="20"/>
      <c r="J589" s="20"/>
      <c r="K589" s="20"/>
      <c r="L589" s="20"/>
      <c r="M589" s="20"/>
      <c r="N589" s="20"/>
      <c r="O589" s="20"/>
      <c r="P589" s="20"/>
      <c r="Q589" s="20"/>
      <c r="R589" s="20"/>
      <c r="S589" s="20"/>
      <c r="T589" s="20"/>
      <c r="U589" s="20"/>
      <c r="V589" s="20"/>
      <c r="W589" s="20"/>
      <c r="X589" s="20"/>
      <c r="Y589" s="20"/>
      <c r="Z589" s="20"/>
    </row>
    <row r="590" ht="13.5" customHeight="1" spans="1:26">
      <c r="A590" s="20"/>
      <c r="B590" s="20"/>
      <c r="C590" s="20"/>
      <c r="D590" s="20"/>
      <c r="E590" s="20"/>
      <c r="F590" s="20"/>
      <c r="G590" s="20"/>
      <c r="H590" s="20"/>
      <c r="I590" s="20"/>
      <c r="J590" s="20"/>
      <c r="K590" s="20"/>
      <c r="L590" s="20"/>
      <c r="M590" s="20"/>
      <c r="N590" s="20"/>
      <c r="O590" s="20"/>
      <c r="P590" s="20"/>
      <c r="Q590" s="20"/>
      <c r="R590" s="20"/>
      <c r="S590" s="20"/>
      <c r="T590" s="20"/>
      <c r="U590" s="20"/>
      <c r="V590" s="20"/>
      <c r="W590" s="20"/>
      <c r="X590" s="20"/>
      <c r="Y590" s="20"/>
      <c r="Z590" s="20"/>
    </row>
    <row r="591" ht="13.5" customHeight="1" spans="1:26">
      <c r="A591" s="20"/>
      <c r="B591" s="20"/>
      <c r="C591" s="20"/>
      <c r="D591" s="20"/>
      <c r="E591" s="20"/>
      <c r="F591" s="20"/>
      <c r="G591" s="20"/>
      <c r="H591" s="20"/>
      <c r="I591" s="20"/>
      <c r="J591" s="20"/>
      <c r="K591" s="20"/>
      <c r="L591" s="20"/>
      <c r="M591" s="20"/>
      <c r="N591" s="20"/>
      <c r="O591" s="20"/>
      <c r="P591" s="20"/>
      <c r="Q591" s="20"/>
      <c r="R591" s="20"/>
      <c r="S591" s="20"/>
      <c r="T591" s="20"/>
      <c r="U591" s="20"/>
      <c r="V591" s="20"/>
      <c r="W591" s="20"/>
      <c r="X591" s="20"/>
      <c r="Y591" s="20"/>
      <c r="Z591" s="20"/>
    </row>
    <row r="592" ht="13.5" customHeight="1" spans="1:26">
      <c r="A592" s="20"/>
      <c r="B592" s="20"/>
      <c r="C592" s="20"/>
      <c r="D592" s="20"/>
      <c r="E592" s="20"/>
      <c r="F592" s="20"/>
      <c r="G592" s="20"/>
      <c r="H592" s="20"/>
      <c r="I592" s="20"/>
      <c r="J592" s="20"/>
      <c r="K592" s="20"/>
      <c r="L592" s="20"/>
      <c r="M592" s="20"/>
      <c r="N592" s="20"/>
      <c r="O592" s="20"/>
      <c r="P592" s="20"/>
      <c r="Q592" s="20"/>
      <c r="R592" s="20"/>
      <c r="S592" s="20"/>
      <c r="T592" s="20"/>
      <c r="U592" s="20"/>
      <c r="V592" s="20"/>
      <c r="W592" s="20"/>
      <c r="X592" s="20"/>
      <c r="Y592" s="20"/>
      <c r="Z592" s="20"/>
    </row>
    <row r="593" ht="13.5" customHeight="1" spans="1:26">
      <c r="A593" s="20"/>
      <c r="B593" s="20"/>
      <c r="C593" s="20"/>
      <c r="D593" s="20"/>
      <c r="E593" s="20"/>
      <c r="F593" s="20"/>
      <c r="G593" s="20"/>
      <c r="H593" s="20"/>
      <c r="I593" s="20"/>
      <c r="J593" s="20"/>
      <c r="K593" s="20"/>
      <c r="L593" s="20"/>
      <c r="M593" s="20"/>
      <c r="N593" s="20"/>
      <c r="O593" s="20"/>
      <c r="P593" s="20"/>
      <c r="Q593" s="20"/>
      <c r="R593" s="20"/>
      <c r="S593" s="20"/>
      <c r="T593" s="20"/>
      <c r="U593" s="20"/>
      <c r="V593" s="20"/>
      <c r="W593" s="20"/>
      <c r="X593" s="20"/>
      <c r="Y593" s="20"/>
      <c r="Z593" s="20"/>
    </row>
    <row r="594" ht="13.5" customHeight="1" spans="1:26">
      <c r="A594" s="20"/>
      <c r="B594" s="20"/>
      <c r="C594" s="20"/>
      <c r="D594" s="20"/>
      <c r="E594" s="20"/>
      <c r="F594" s="20"/>
      <c r="G594" s="20"/>
      <c r="H594" s="20"/>
      <c r="I594" s="20"/>
      <c r="J594" s="20"/>
      <c r="K594" s="20"/>
      <c r="L594" s="20"/>
      <c r="M594" s="20"/>
      <c r="N594" s="20"/>
      <c r="O594" s="20"/>
      <c r="P594" s="20"/>
      <c r="Q594" s="20"/>
      <c r="R594" s="20"/>
      <c r="S594" s="20"/>
      <c r="T594" s="20"/>
      <c r="U594" s="20"/>
      <c r="V594" s="20"/>
      <c r="W594" s="20"/>
      <c r="X594" s="20"/>
      <c r="Y594" s="20"/>
      <c r="Z594" s="20"/>
    </row>
    <row r="595" ht="13.5" customHeight="1" spans="1:26">
      <c r="A595" s="20"/>
      <c r="B595" s="20"/>
      <c r="C595" s="20"/>
      <c r="D595" s="20"/>
      <c r="E595" s="20"/>
      <c r="F595" s="20"/>
      <c r="G595" s="20"/>
      <c r="H595" s="20"/>
      <c r="I595" s="20"/>
      <c r="J595" s="20"/>
      <c r="K595" s="20"/>
      <c r="L595" s="20"/>
      <c r="M595" s="20"/>
      <c r="N595" s="20"/>
      <c r="O595" s="20"/>
      <c r="P595" s="20"/>
      <c r="Q595" s="20"/>
      <c r="R595" s="20"/>
      <c r="S595" s="20"/>
      <c r="T595" s="20"/>
      <c r="U595" s="20"/>
      <c r="V595" s="20"/>
      <c r="W595" s="20"/>
      <c r="X595" s="20"/>
      <c r="Y595" s="20"/>
      <c r="Z595" s="20"/>
    </row>
    <row r="596" ht="13.5" customHeight="1" spans="1:26">
      <c r="A596" s="20"/>
      <c r="B596" s="20"/>
      <c r="C596" s="20"/>
      <c r="D596" s="20"/>
      <c r="E596" s="20"/>
      <c r="F596" s="20"/>
      <c r="G596" s="20"/>
      <c r="H596" s="20"/>
      <c r="I596" s="20"/>
      <c r="J596" s="20"/>
      <c r="K596" s="20"/>
      <c r="L596" s="20"/>
      <c r="M596" s="20"/>
      <c r="N596" s="20"/>
      <c r="O596" s="20"/>
      <c r="P596" s="20"/>
      <c r="Q596" s="20"/>
      <c r="R596" s="20"/>
      <c r="S596" s="20"/>
      <c r="T596" s="20"/>
      <c r="U596" s="20"/>
      <c r="V596" s="20"/>
      <c r="W596" s="20"/>
      <c r="X596" s="20"/>
      <c r="Y596" s="20"/>
      <c r="Z596" s="20"/>
    </row>
    <row r="597" ht="13.5" customHeight="1" spans="1:26">
      <c r="A597" s="20"/>
      <c r="B597" s="20"/>
      <c r="C597" s="20"/>
      <c r="D597" s="20"/>
      <c r="E597" s="20"/>
      <c r="F597" s="20"/>
      <c r="G597" s="20"/>
      <c r="H597" s="20"/>
      <c r="I597" s="20"/>
      <c r="J597" s="20"/>
      <c r="K597" s="20"/>
      <c r="L597" s="20"/>
      <c r="M597" s="20"/>
      <c r="N597" s="20"/>
      <c r="O597" s="20"/>
      <c r="P597" s="20"/>
      <c r="Q597" s="20"/>
      <c r="R597" s="20"/>
      <c r="S597" s="20"/>
      <c r="T597" s="20"/>
      <c r="U597" s="20"/>
      <c r="V597" s="20"/>
      <c r="W597" s="20"/>
      <c r="X597" s="20"/>
      <c r="Y597" s="20"/>
      <c r="Z597" s="20"/>
    </row>
    <row r="598" ht="13.5" customHeight="1" spans="1:26">
      <c r="A598" s="20"/>
      <c r="B598" s="20"/>
      <c r="C598" s="20"/>
      <c r="D598" s="20"/>
      <c r="E598" s="20"/>
      <c r="F598" s="20"/>
      <c r="G598" s="20"/>
      <c r="H598" s="20"/>
      <c r="I598" s="20"/>
      <c r="J598" s="20"/>
      <c r="K598" s="20"/>
      <c r="L598" s="20"/>
      <c r="M598" s="20"/>
      <c r="N598" s="20"/>
      <c r="O598" s="20"/>
      <c r="P598" s="20"/>
      <c r="Q598" s="20"/>
      <c r="R598" s="20"/>
      <c r="S598" s="20"/>
      <c r="T598" s="20"/>
      <c r="U598" s="20"/>
      <c r="V598" s="20"/>
      <c r="W598" s="20"/>
      <c r="X598" s="20"/>
      <c r="Y598" s="20"/>
      <c r="Z598" s="20"/>
    </row>
    <row r="599" ht="13.5" customHeight="1" spans="1:26">
      <c r="A599" s="20"/>
      <c r="B599" s="20"/>
      <c r="C599" s="20"/>
      <c r="D599" s="20"/>
      <c r="E599" s="20"/>
      <c r="F599" s="20"/>
      <c r="G599" s="20"/>
      <c r="H599" s="20"/>
      <c r="I599" s="20"/>
      <c r="J599" s="20"/>
      <c r="K599" s="20"/>
      <c r="L599" s="20"/>
      <c r="M599" s="20"/>
      <c r="N599" s="20"/>
      <c r="O599" s="20"/>
      <c r="P599" s="20"/>
      <c r="Q599" s="20"/>
      <c r="R599" s="20"/>
      <c r="S599" s="20"/>
      <c r="T599" s="20"/>
      <c r="U599" s="20"/>
      <c r="V599" s="20"/>
      <c r="W599" s="20"/>
      <c r="X599" s="20"/>
      <c r="Y599" s="20"/>
      <c r="Z599" s="20"/>
    </row>
    <row r="600" ht="13.5" customHeight="1" spans="1:26">
      <c r="A600" s="20"/>
      <c r="B600" s="20"/>
      <c r="C600" s="20"/>
      <c r="D600" s="20"/>
      <c r="E600" s="20"/>
      <c r="F600" s="20"/>
      <c r="G600" s="20"/>
      <c r="H600" s="20"/>
      <c r="I600" s="20"/>
      <c r="J600" s="20"/>
      <c r="K600" s="20"/>
      <c r="L600" s="20"/>
      <c r="M600" s="20"/>
      <c r="N600" s="20"/>
      <c r="O600" s="20"/>
      <c r="P600" s="20"/>
      <c r="Q600" s="20"/>
      <c r="R600" s="20"/>
      <c r="S600" s="20"/>
      <c r="T600" s="20"/>
      <c r="U600" s="20"/>
      <c r="V600" s="20"/>
      <c r="W600" s="20"/>
      <c r="X600" s="20"/>
      <c r="Y600" s="20"/>
      <c r="Z600" s="20"/>
    </row>
    <row r="601" ht="13.5" customHeight="1" spans="1:26">
      <c r="A601" s="20"/>
      <c r="B601" s="20"/>
      <c r="C601" s="20"/>
      <c r="D601" s="20"/>
      <c r="E601" s="20"/>
      <c r="F601" s="20"/>
      <c r="G601" s="20"/>
      <c r="H601" s="20"/>
      <c r="I601" s="20"/>
      <c r="J601" s="20"/>
      <c r="K601" s="20"/>
      <c r="L601" s="20"/>
      <c r="M601" s="20"/>
      <c r="N601" s="20"/>
      <c r="O601" s="20"/>
      <c r="P601" s="20"/>
      <c r="Q601" s="20"/>
      <c r="R601" s="20"/>
      <c r="S601" s="20"/>
      <c r="T601" s="20"/>
      <c r="U601" s="20"/>
      <c r="V601" s="20"/>
      <c r="W601" s="20"/>
      <c r="X601" s="20"/>
      <c r="Y601" s="20"/>
      <c r="Z601" s="20"/>
    </row>
    <row r="602" ht="13.5" customHeight="1" spans="1:26">
      <c r="A602" s="20"/>
      <c r="B602" s="20"/>
      <c r="C602" s="20"/>
      <c r="D602" s="20"/>
      <c r="E602" s="20"/>
      <c r="F602" s="20"/>
      <c r="G602" s="20"/>
      <c r="H602" s="20"/>
      <c r="I602" s="20"/>
      <c r="J602" s="20"/>
      <c r="K602" s="20"/>
      <c r="L602" s="20"/>
      <c r="M602" s="20"/>
      <c r="N602" s="20"/>
      <c r="O602" s="20"/>
      <c r="P602" s="20"/>
      <c r="Q602" s="20"/>
      <c r="R602" s="20"/>
      <c r="S602" s="20"/>
      <c r="T602" s="20"/>
      <c r="U602" s="20"/>
      <c r="V602" s="20"/>
      <c r="W602" s="20"/>
      <c r="X602" s="20"/>
      <c r="Y602" s="20"/>
      <c r="Z602" s="20"/>
    </row>
    <row r="603" ht="13.5" customHeight="1" spans="1:26">
      <c r="A603" s="20"/>
      <c r="B603" s="20"/>
      <c r="C603" s="20"/>
      <c r="D603" s="20"/>
      <c r="E603" s="20"/>
      <c r="F603" s="20"/>
      <c r="G603" s="20"/>
      <c r="H603" s="20"/>
      <c r="I603" s="20"/>
      <c r="J603" s="20"/>
      <c r="K603" s="20"/>
      <c r="L603" s="20"/>
      <c r="M603" s="20"/>
      <c r="N603" s="20"/>
      <c r="O603" s="20"/>
      <c r="P603" s="20"/>
      <c r="Q603" s="20"/>
      <c r="R603" s="20"/>
      <c r="S603" s="20"/>
      <c r="T603" s="20"/>
      <c r="U603" s="20"/>
      <c r="V603" s="20"/>
      <c r="W603" s="20"/>
      <c r="X603" s="20"/>
      <c r="Y603" s="20"/>
      <c r="Z603" s="20"/>
    </row>
    <row r="604" ht="13.5" customHeight="1" spans="1:26">
      <c r="A604" s="20"/>
      <c r="B604" s="20"/>
      <c r="C604" s="20"/>
      <c r="D604" s="20"/>
      <c r="E604" s="20"/>
      <c r="F604" s="20"/>
      <c r="G604" s="20"/>
      <c r="H604" s="20"/>
      <c r="I604" s="20"/>
      <c r="J604" s="20"/>
      <c r="K604" s="20"/>
      <c r="L604" s="20"/>
      <c r="M604" s="20"/>
      <c r="N604" s="20"/>
      <c r="O604" s="20"/>
      <c r="P604" s="20"/>
      <c r="Q604" s="20"/>
      <c r="R604" s="20"/>
      <c r="S604" s="20"/>
      <c r="T604" s="20"/>
      <c r="U604" s="20"/>
      <c r="V604" s="20"/>
      <c r="W604" s="20"/>
      <c r="X604" s="20"/>
      <c r="Y604" s="20"/>
      <c r="Z604" s="20"/>
    </row>
    <row r="605" ht="13.5" customHeight="1" spans="1:26">
      <c r="A605" s="20"/>
      <c r="B605" s="20"/>
      <c r="C605" s="20"/>
      <c r="D605" s="20"/>
      <c r="E605" s="20"/>
      <c r="F605" s="20"/>
      <c r="G605" s="20"/>
      <c r="H605" s="20"/>
      <c r="I605" s="20"/>
      <c r="J605" s="20"/>
      <c r="K605" s="20"/>
      <c r="L605" s="20"/>
      <c r="M605" s="20"/>
      <c r="N605" s="20"/>
      <c r="O605" s="20"/>
      <c r="P605" s="20"/>
      <c r="Q605" s="20"/>
      <c r="R605" s="20"/>
      <c r="S605" s="20"/>
      <c r="T605" s="20"/>
      <c r="U605" s="20"/>
      <c r="V605" s="20"/>
      <c r="W605" s="20"/>
      <c r="X605" s="20"/>
      <c r="Y605" s="20"/>
      <c r="Z605" s="20"/>
    </row>
    <row r="606" ht="13.5" customHeight="1" spans="1:26">
      <c r="A606" s="20"/>
      <c r="B606" s="20"/>
      <c r="C606" s="20"/>
      <c r="D606" s="20"/>
      <c r="E606" s="20"/>
      <c r="F606" s="20"/>
      <c r="G606" s="20"/>
      <c r="H606" s="20"/>
      <c r="I606" s="20"/>
      <c r="J606" s="20"/>
      <c r="K606" s="20"/>
      <c r="L606" s="20"/>
      <c r="M606" s="20"/>
      <c r="N606" s="20"/>
      <c r="O606" s="20"/>
      <c r="P606" s="20"/>
      <c r="Q606" s="20"/>
      <c r="R606" s="20"/>
      <c r="S606" s="20"/>
      <c r="T606" s="20"/>
      <c r="U606" s="20"/>
      <c r="V606" s="20"/>
      <c r="W606" s="20"/>
      <c r="X606" s="20"/>
      <c r="Y606" s="20"/>
      <c r="Z606" s="20"/>
    </row>
    <row r="607" ht="13.5" customHeight="1" spans="1:26">
      <c r="A607" s="20"/>
      <c r="B607" s="20"/>
      <c r="C607" s="20"/>
      <c r="D607" s="20"/>
      <c r="E607" s="20"/>
      <c r="F607" s="20"/>
      <c r="G607" s="20"/>
      <c r="H607" s="20"/>
      <c r="I607" s="20"/>
      <c r="J607" s="20"/>
      <c r="K607" s="20"/>
      <c r="L607" s="20"/>
      <c r="M607" s="20"/>
      <c r="N607" s="20"/>
      <c r="O607" s="20"/>
      <c r="P607" s="20"/>
      <c r="Q607" s="20"/>
      <c r="R607" s="20"/>
      <c r="S607" s="20"/>
      <c r="T607" s="20"/>
      <c r="U607" s="20"/>
      <c r="V607" s="20"/>
      <c r="W607" s="20"/>
      <c r="X607" s="20"/>
      <c r="Y607" s="20"/>
      <c r="Z607" s="20"/>
    </row>
    <row r="608" ht="13.5" customHeight="1" spans="1:26">
      <c r="A608" s="20"/>
      <c r="B608" s="20"/>
      <c r="C608" s="20"/>
      <c r="D608" s="20"/>
      <c r="E608" s="20"/>
      <c r="F608" s="20"/>
      <c r="G608" s="20"/>
      <c r="H608" s="20"/>
      <c r="I608" s="20"/>
      <c r="J608" s="20"/>
      <c r="K608" s="20"/>
      <c r="L608" s="20"/>
      <c r="M608" s="20"/>
      <c r="N608" s="20"/>
      <c r="O608" s="20"/>
      <c r="P608" s="20"/>
      <c r="Q608" s="20"/>
      <c r="R608" s="20"/>
      <c r="S608" s="20"/>
      <c r="T608" s="20"/>
      <c r="U608" s="20"/>
      <c r="V608" s="20"/>
      <c r="W608" s="20"/>
      <c r="X608" s="20"/>
      <c r="Y608" s="20"/>
      <c r="Z608" s="20"/>
    </row>
    <row r="609" ht="13.5" customHeight="1" spans="1:26">
      <c r="A609" s="20"/>
      <c r="B609" s="20"/>
      <c r="C609" s="20"/>
      <c r="D609" s="20"/>
      <c r="E609" s="20"/>
      <c r="F609" s="20"/>
      <c r="G609" s="20"/>
      <c r="H609" s="20"/>
      <c r="I609" s="20"/>
      <c r="J609" s="20"/>
      <c r="K609" s="20"/>
      <c r="L609" s="20"/>
      <c r="M609" s="20"/>
      <c r="N609" s="20"/>
      <c r="O609" s="20"/>
      <c r="P609" s="20"/>
      <c r="Q609" s="20"/>
      <c r="R609" s="20"/>
      <c r="S609" s="20"/>
      <c r="T609" s="20"/>
      <c r="U609" s="20"/>
      <c r="V609" s="20"/>
      <c r="W609" s="20"/>
      <c r="X609" s="20"/>
      <c r="Y609" s="20"/>
      <c r="Z609" s="20"/>
    </row>
    <row r="610" ht="13.5" customHeight="1" spans="1:26">
      <c r="A610" s="20"/>
      <c r="B610" s="20"/>
      <c r="C610" s="20"/>
      <c r="D610" s="20"/>
      <c r="E610" s="20"/>
      <c r="F610" s="20"/>
      <c r="G610" s="20"/>
      <c r="H610" s="20"/>
      <c r="I610" s="20"/>
      <c r="J610" s="20"/>
      <c r="K610" s="20"/>
      <c r="L610" s="20"/>
      <c r="M610" s="20"/>
      <c r="N610" s="20"/>
      <c r="O610" s="20"/>
      <c r="P610" s="20"/>
      <c r="Q610" s="20"/>
      <c r="R610" s="20"/>
      <c r="S610" s="20"/>
      <c r="T610" s="20"/>
      <c r="U610" s="20"/>
      <c r="V610" s="20"/>
      <c r="W610" s="20"/>
      <c r="X610" s="20"/>
      <c r="Y610" s="20"/>
      <c r="Z610" s="20"/>
    </row>
    <row r="611" ht="13.5" customHeight="1" spans="1:26">
      <c r="A611" s="20"/>
      <c r="B611" s="20"/>
      <c r="C611" s="20"/>
      <c r="D611" s="20"/>
      <c r="E611" s="20"/>
      <c r="F611" s="20"/>
      <c r="G611" s="20"/>
      <c r="H611" s="20"/>
      <c r="I611" s="20"/>
      <c r="J611" s="20"/>
      <c r="K611" s="20"/>
      <c r="L611" s="20"/>
      <c r="M611" s="20"/>
      <c r="N611" s="20"/>
      <c r="O611" s="20"/>
      <c r="P611" s="20"/>
      <c r="Q611" s="20"/>
      <c r="R611" s="20"/>
      <c r="S611" s="20"/>
      <c r="T611" s="20"/>
      <c r="U611" s="20"/>
      <c r="V611" s="20"/>
      <c r="W611" s="20"/>
      <c r="X611" s="20"/>
      <c r="Y611" s="20"/>
      <c r="Z611" s="20"/>
    </row>
    <row r="612" ht="13.5" customHeight="1" spans="1:26">
      <c r="A612" s="20"/>
      <c r="B612" s="20"/>
      <c r="C612" s="20"/>
      <c r="D612" s="20"/>
      <c r="E612" s="20"/>
      <c r="F612" s="20"/>
      <c r="G612" s="20"/>
      <c r="H612" s="20"/>
      <c r="I612" s="20"/>
      <c r="J612" s="20"/>
      <c r="K612" s="20"/>
      <c r="L612" s="20"/>
      <c r="M612" s="20"/>
      <c r="N612" s="20"/>
      <c r="O612" s="20"/>
      <c r="P612" s="20"/>
      <c r="Q612" s="20"/>
      <c r="R612" s="20"/>
      <c r="S612" s="20"/>
      <c r="T612" s="20"/>
      <c r="U612" s="20"/>
      <c r="V612" s="20"/>
      <c r="W612" s="20"/>
      <c r="X612" s="20"/>
      <c r="Y612" s="20"/>
      <c r="Z612" s="20"/>
    </row>
    <row r="613" ht="13.5" customHeight="1" spans="1:26">
      <c r="A613" s="20"/>
      <c r="B613" s="20"/>
      <c r="C613" s="20"/>
      <c r="D613" s="20"/>
      <c r="E613" s="20"/>
      <c r="F613" s="20"/>
      <c r="G613" s="20"/>
      <c r="H613" s="20"/>
      <c r="I613" s="20"/>
      <c r="J613" s="20"/>
      <c r="K613" s="20"/>
      <c r="L613" s="20"/>
      <c r="M613" s="20"/>
      <c r="N613" s="20"/>
      <c r="O613" s="20"/>
      <c r="P613" s="20"/>
      <c r="Q613" s="20"/>
      <c r="R613" s="20"/>
      <c r="S613" s="20"/>
      <c r="T613" s="20"/>
      <c r="U613" s="20"/>
      <c r="V613" s="20"/>
      <c r="W613" s="20"/>
      <c r="X613" s="20"/>
      <c r="Y613" s="20"/>
      <c r="Z613" s="20"/>
    </row>
    <row r="614" ht="13.5" customHeight="1" spans="1:26">
      <c r="A614" s="20"/>
      <c r="B614" s="20"/>
      <c r="C614" s="20"/>
      <c r="D614" s="20"/>
      <c r="E614" s="20"/>
      <c r="F614" s="20"/>
      <c r="G614" s="20"/>
      <c r="H614" s="20"/>
      <c r="I614" s="20"/>
      <c r="J614" s="20"/>
      <c r="K614" s="20"/>
      <c r="L614" s="20"/>
      <c r="M614" s="20"/>
      <c r="N614" s="20"/>
      <c r="O614" s="20"/>
      <c r="P614" s="20"/>
      <c r="Q614" s="20"/>
      <c r="R614" s="20"/>
      <c r="S614" s="20"/>
      <c r="T614" s="20"/>
      <c r="U614" s="20"/>
      <c r="V614" s="20"/>
      <c r="W614" s="20"/>
      <c r="X614" s="20"/>
      <c r="Y614" s="20"/>
      <c r="Z614" s="20"/>
    </row>
    <row r="615" ht="13.5" customHeight="1" spans="1:26">
      <c r="A615" s="20"/>
      <c r="B615" s="20"/>
      <c r="C615" s="20"/>
      <c r="D615" s="20"/>
      <c r="E615" s="20"/>
      <c r="F615" s="20"/>
      <c r="G615" s="20"/>
      <c r="H615" s="20"/>
      <c r="I615" s="20"/>
      <c r="J615" s="20"/>
      <c r="K615" s="20"/>
      <c r="L615" s="20"/>
      <c r="M615" s="20"/>
      <c r="N615" s="20"/>
      <c r="O615" s="20"/>
      <c r="P615" s="20"/>
      <c r="Q615" s="20"/>
      <c r="R615" s="20"/>
      <c r="S615" s="20"/>
      <c r="T615" s="20"/>
      <c r="U615" s="20"/>
      <c r="V615" s="20"/>
      <c r="W615" s="20"/>
      <c r="X615" s="20"/>
      <c r="Y615" s="20"/>
      <c r="Z615" s="20"/>
    </row>
    <row r="616" ht="13.5" customHeight="1" spans="1:26">
      <c r="A616" s="20"/>
      <c r="B616" s="20"/>
      <c r="C616" s="20"/>
      <c r="D616" s="20"/>
      <c r="E616" s="20"/>
      <c r="F616" s="20"/>
      <c r="G616" s="20"/>
      <c r="H616" s="20"/>
      <c r="I616" s="20"/>
      <c r="J616" s="20"/>
      <c r="K616" s="20"/>
      <c r="L616" s="20"/>
      <c r="M616" s="20"/>
      <c r="N616" s="20"/>
      <c r="O616" s="20"/>
      <c r="P616" s="20"/>
      <c r="Q616" s="20"/>
      <c r="R616" s="20"/>
      <c r="S616" s="20"/>
      <c r="T616" s="20"/>
      <c r="U616" s="20"/>
      <c r="V616" s="20"/>
      <c r="W616" s="20"/>
      <c r="X616" s="20"/>
      <c r="Y616" s="20"/>
      <c r="Z616" s="20"/>
    </row>
    <row r="617" ht="13.5" customHeight="1" spans="1:26">
      <c r="A617" s="20"/>
      <c r="B617" s="20"/>
      <c r="C617" s="20"/>
      <c r="D617" s="20"/>
      <c r="E617" s="20"/>
      <c r="F617" s="20"/>
      <c r="G617" s="20"/>
      <c r="H617" s="20"/>
      <c r="I617" s="20"/>
      <c r="J617" s="20"/>
      <c r="K617" s="20"/>
      <c r="L617" s="20"/>
      <c r="M617" s="20"/>
      <c r="N617" s="20"/>
      <c r="O617" s="20"/>
      <c r="P617" s="20"/>
      <c r="Q617" s="20"/>
      <c r="R617" s="20"/>
      <c r="S617" s="20"/>
      <c r="T617" s="20"/>
      <c r="U617" s="20"/>
      <c r="V617" s="20"/>
      <c r="W617" s="20"/>
      <c r="X617" s="20"/>
      <c r="Y617" s="20"/>
      <c r="Z617" s="20"/>
    </row>
    <row r="618" ht="13.5" customHeight="1" spans="1:26">
      <c r="A618" s="20"/>
      <c r="B618" s="20"/>
      <c r="C618" s="20"/>
      <c r="D618" s="20"/>
      <c r="E618" s="20"/>
      <c r="F618" s="20"/>
      <c r="G618" s="20"/>
      <c r="H618" s="20"/>
      <c r="I618" s="20"/>
      <c r="J618" s="20"/>
      <c r="K618" s="20"/>
      <c r="L618" s="20"/>
      <c r="M618" s="20"/>
      <c r="N618" s="20"/>
      <c r="O618" s="20"/>
      <c r="P618" s="20"/>
      <c r="Q618" s="20"/>
      <c r="R618" s="20"/>
      <c r="S618" s="20"/>
      <c r="T618" s="20"/>
      <c r="U618" s="20"/>
      <c r="V618" s="20"/>
      <c r="W618" s="20"/>
      <c r="X618" s="20"/>
      <c r="Y618" s="20"/>
      <c r="Z618" s="20"/>
    </row>
    <row r="619" ht="13.5" customHeight="1" spans="1:26">
      <c r="A619" s="20"/>
      <c r="B619" s="20"/>
      <c r="C619" s="20"/>
      <c r="D619" s="20"/>
      <c r="E619" s="20"/>
      <c r="F619" s="20"/>
      <c r="G619" s="20"/>
      <c r="H619" s="20"/>
      <c r="I619" s="20"/>
      <c r="J619" s="20"/>
      <c r="K619" s="20"/>
      <c r="L619" s="20"/>
      <c r="M619" s="20"/>
      <c r="N619" s="20"/>
      <c r="O619" s="20"/>
      <c r="P619" s="20"/>
      <c r="Q619" s="20"/>
      <c r="R619" s="20"/>
      <c r="S619" s="20"/>
      <c r="T619" s="20"/>
      <c r="U619" s="20"/>
      <c r="V619" s="20"/>
      <c r="W619" s="20"/>
      <c r="X619" s="20"/>
      <c r="Y619" s="20"/>
      <c r="Z619" s="20"/>
    </row>
    <row r="620" ht="13.5" customHeight="1" spans="1:26">
      <c r="A620" s="20"/>
      <c r="B620" s="20"/>
      <c r="C620" s="20"/>
      <c r="D620" s="20"/>
      <c r="E620" s="20"/>
      <c r="F620" s="20"/>
      <c r="G620" s="20"/>
      <c r="H620" s="20"/>
      <c r="I620" s="20"/>
      <c r="J620" s="20"/>
      <c r="K620" s="20"/>
      <c r="L620" s="20"/>
      <c r="M620" s="20"/>
      <c r="N620" s="20"/>
      <c r="O620" s="20"/>
      <c r="P620" s="20"/>
      <c r="Q620" s="20"/>
      <c r="R620" s="20"/>
      <c r="S620" s="20"/>
      <c r="T620" s="20"/>
      <c r="U620" s="20"/>
      <c r="V620" s="20"/>
      <c r="W620" s="20"/>
      <c r="X620" s="20"/>
      <c r="Y620" s="20"/>
      <c r="Z620" s="20"/>
    </row>
    <row r="621" ht="13.5" customHeight="1" spans="1:26">
      <c r="A621" s="20"/>
      <c r="B621" s="20"/>
      <c r="C621" s="20"/>
      <c r="D621" s="20"/>
      <c r="E621" s="20"/>
      <c r="F621" s="20"/>
      <c r="G621" s="20"/>
      <c r="H621" s="20"/>
      <c r="I621" s="20"/>
      <c r="J621" s="20"/>
      <c r="K621" s="20"/>
      <c r="L621" s="20"/>
      <c r="M621" s="20"/>
      <c r="N621" s="20"/>
      <c r="O621" s="20"/>
      <c r="P621" s="20"/>
      <c r="Q621" s="20"/>
      <c r="R621" s="20"/>
      <c r="S621" s="20"/>
      <c r="T621" s="20"/>
      <c r="U621" s="20"/>
      <c r="V621" s="20"/>
      <c r="W621" s="20"/>
      <c r="X621" s="20"/>
      <c r="Y621" s="20"/>
      <c r="Z621" s="20"/>
    </row>
    <row r="622" ht="13.5" customHeight="1" spans="1:26">
      <c r="A622" s="20"/>
      <c r="B622" s="20"/>
      <c r="C622" s="20"/>
      <c r="D622" s="20"/>
      <c r="E622" s="20"/>
      <c r="F622" s="20"/>
      <c r="G622" s="20"/>
      <c r="H622" s="20"/>
      <c r="I622" s="20"/>
      <c r="J622" s="20"/>
      <c r="K622" s="20"/>
      <c r="L622" s="20"/>
      <c r="M622" s="20"/>
      <c r="N622" s="20"/>
      <c r="O622" s="20"/>
      <c r="P622" s="20"/>
      <c r="Q622" s="20"/>
      <c r="R622" s="20"/>
      <c r="S622" s="20"/>
      <c r="T622" s="20"/>
      <c r="U622" s="20"/>
      <c r="V622" s="20"/>
      <c r="W622" s="20"/>
      <c r="X622" s="20"/>
      <c r="Y622" s="20"/>
      <c r="Z622" s="20"/>
    </row>
    <row r="623" ht="13.5" customHeight="1" spans="1:26">
      <c r="A623" s="20"/>
      <c r="B623" s="20"/>
      <c r="C623" s="20"/>
      <c r="D623" s="20"/>
      <c r="E623" s="20"/>
      <c r="F623" s="20"/>
      <c r="G623" s="20"/>
      <c r="H623" s="20"/>
      <c r="I623" s="20"/>
      <c r="J623" s="20"/>
      <c r="K623" s="20"/>
      <c r="L623" s="20"/>
      <c r="M623" s="20"/>
      <c r="N623" s="20"/>
      <c r="O623" s="20"/>
      <c r="P623" s="20"/>
      <c r="Q623" s="20"/>
      <c r="R623" s="20"/>
      <c r="S623" s="20"/>
      <c r="T623" s="20"/>
      <c r="U623" s="20"/>
      <c r="V623" s="20"/>
      <c r="W623" s="20"/>
      <c r="X623" s="20"/>
      <c r="Y623" s="20"/>
      <c r="Z623" s="20"/>
    </row>
    <row r="624" ht="13.5" customHeight="1" spans="1:26">
      <c r="A624" s="20"/>
      <c r="B624" s="20"/>
      <c r="C624" s="20"/>
      <c r="D624" s="20"/>
      <c r="E624" s="20"/>
      <c r="F624" s="20"/>
      <c r="G624" s="20"/>
      <c r="H624" s="20"/>
      <c r="I624" s="20"/>
      <c r="J624" s="20"/>
      <c r="K624" s="20"/>
      <c r="L624" s="20"/>
      <c r="M624" s="20"/>
      <c r="N624" s="20"/>
      <c r="O624" s="20"/>
      <c r="P624" s="20"/>
      <c r="Q624" s="20"/>
      <c r="R624" s="20"/>
      <c r="S624" s="20"/>
      <c r="T624" s="20"/>
      <c r="U624" s="20"/>
      <c r="V624" s="20"/>
      <c r="W624" s="20"/>
      <c r="X624" s="20"/>
      <c r="Y624" s="20"/>
      <c r="Z624" s="20"/>
    </row>
    <row r="625" ht="13.5" customHeight="1" spans="1:26">
      <c r="A625" s="20"/>
      <c r="B625" s="20"/>
      <c r="C625" s="20"/>
      <c r="D625" s="20"/>
      <c r="E625" s="20"/>
      <c r="F625" s="20"/>
      <c r="G625" s="20"/>
      <c r="H625" s="20"/>
      <c r="I625" s="20"/>
      <c r="J625" s="20"/>
      <c r="K625" s="20"/>
      <c r="L625" s="20"/>
      <c r="M625" s="20"/>
      <c r="N625" s="20"/>
      <c r="O625" s="20"/>
      <c r="P625" s="20"/>
      <c r="Q625" s="20"/>
      <c r="R625" s="20"/>
      <c r="S625" s="20"/>
      <c r="T625" s="20"/>
      <c r="U625" s="20"/>
      <c r="V625" s="20"/>
      <c r="W625" s="20"/>
      <c r="X625" s="20"/>
      <c r="Y625" s="20"/>
      <c r="Z625" s="20"/>
    </row>
    <row r="626" ht="13.5" customHeight="1" spans="1:26">
      <c r="A626" s="20"/>
      <c r="B626" s="20"/>
      <c r="C626" s="20"/>
      <c r="D626" s="20"/>
      <c r="E626" s="20"/>
      <c r="F626" s="20"/>
      <c r="G626" s="20"/>
      <c r="H626" s="20"/>
      <c r="I626" s="20"/>
      <c r="J626" s="20"/>
      <c r="K626" s="20"/>
      <c r="L626" s="20"/>
      <c r="M626" s="20"/>
      <c r="N626" s="20"/>
      <c r="O626" s="20"/>
      <c r="P626" s="20"/>
      <c r="Q626" s="20"/>
      <c r="R626" s="20"/>
      <c r="S626" s="20"/>
      <c r="T626" s="20"/>
      <c r="U626" s="20"/>
      <c r="V626" s="20"/>
      <c r="W626" s="20"/>
      <c r="X626" s="20"/>
      <c r="Y626" s="20"/>
      <c r="Z626" s="20"/>
    </row>
    <row r="627" ht="13.5" customHeight="1" spans="1:26">
      <c r="A627" s="20"/>
      <c r="B627" s="20"/>
      <c r="C627" s="20"/>
      <c r="D627" s="20"/>
      <c r="E627" s="20"/>
      <c r="F627" s="20"/>
      <c r="G627" s="20"/>
      <c r="H627" s="20"/>
      <c r="I627" s="20"/>
      <c r="J627" s="20"/>
      <c r="K627" s="20"/>
      <c r="L627" s="20"/>
      <c r="M627" s="20"/>
      <c r="N627" s="20"/>
      <c r="O627" s="20"/>
      <c r="P627" s="20"/>
      <c r="Q627" s="20"/>
      <c r="R627" s="20"/>
      <c r="S627" s="20"/>
      <c r="T627" s="20"/>
      <c r="U627" s="20"/>
      <c r="V627" s="20"/>
      <c r="W627" s="20"/>
      <c r="X627" s="20"/>
      <c r="Y627" s="20"/>
      <c r="Z627" s="20"/>
    </row>
    <row r="628" ht="13.5" customHeight="1" spans="1:26">
      <c r="A628" s="20"/>
      <c r="B628" s="20"/>
      <c r="C628" s="20"/>
      <c r="D628" s="20"/>
      <c r="E628" s="20"/>
      <c r="F628" s="20"/>
      <c r="G628" s="20"/>
      <c r="H628" s="20"/>
      <c r="I628" s="20"/>
      <c r="J628" s="20"/>
      <c r="K628" s="20"/>
      <c r="L628" s="20"/>
      <c r="M628" s="20"/>
      <c r="N628" s="20"/>
      <c r="O628" s="20"/>
      <c r="P628" s="20"/>
      <c r="Q628" s="20"/>
      <c r="R628" s="20"/>
      <c r="S628" s="20"/>
      <c r="T628" s="20"/>
      <c r="U628" s="20"/>
      <c r="V628" s="20"/>
      <c r="W628" s="20"/>
      <c r="X628" s="20"/>
      <c r="Y628" s="20"/>
      <c r="Z628" s="20"/>
    </row>
    <row r="629" ht="13.5" customHeight="1" spans="1:26">
      <c r="A629" s="20"/>
      <c r="B629" s="20"/>
      <c r="C629" s="20"/>
      <c r="D629" s="20"/>
      <c r="E629" s="20"/>
      <c r="F629" s="20"/>
      <c r="G629" s="20"/>
      <c r="H629" s="20"/>
      <c r="I629" s="20"/>
      <c r="J629" s="20"/>
      <c r="K629" s="20"/>
      <c r="L629" s="20"/>
      <c r="M629" s="20"/>
      <c r="N629" s="20"/>
      <c r="O629" s="20"/>
      <c r="P629" s="20"/>
      <c r="Q629" s="20"/>
      <c r="R629" s="20"/>
      <c r="S629" s="20"/>
      <c r="T629" s="20"/>
      <c r="U629" s="20"/>
      <c r="V629" s="20"/>
      <c r="W629" s="20"/>
      <c r="X629" s="20"/>
      <c r="Y629" s="20"/>
      <c r="Z629" s="20"/>
    </row>
    <row r="630" ht="13.5" customHeight="1" spans="1:26">
      <c r="A630" s="20"/>
      <c r="B630" s="20"/>
      <c r="C630" s="20"/>
      <c r="D630" s="20"/>
      <c r="E630" s="20"/>
      <c r="F630" s="20"/>
      <c r="G630" s="20"/>
      <c r="H630" s="20"/>
      <c r="I630" s="20"/>
      <c r="J630" s="20"/>
      <c r="K630" s="20"/>
      <c r="L630" s="20"/>
      <c r="M630" s="20"/>
      <c r="N630" s="20"/>
      <c r="O630" s="20"/>
      <c r="P630" s="20"/>
      <c r="Q630" s="20"/>
      <c r="R630" s="20"/>
      <c r="S630" s="20"/>
      <c r="T630" s="20"/>
      <c r="U630" s="20"/>
      <c r="V630" s="20"/>
      <c r="W630" s="20"/>
      <c r="X630" s="20"/>
      <c r="Y630" s="20"/>
      <c r="Z630" s="20"/>
    </row>
    <row r="631" ht="13.5" customHeight="1" spans="1:26">
      <c r="A631" s="20"/>
      <c r="B631" s="20"/>
      <c r="C631" s="20"/>
      <c r="D631" s="20"/>
      <c r="E631" s="20"/>
      <c r="F631" s="20"/>
      <c r="G631" s="20"/>
      <c r="H631" s="20"/>
      <c r="I631" s="20"/>
      <c r="J631" s="20"/>
      <c r="K631" s="20"/>
      <c r="L631" s="20"/>
      <c r="M631" s="20"/>
      <c r="N631" s="20"/>
      <c r="O631" s="20"/>
      <c r="P631" s="20"/>
      <c r="Q631" s="20"/>
      <c r="R631" s="20"/>
      <c r="S631" s="20"/>
      <c r="T631" s="20"/>
      <c r="U631" s="20"/>
      <c r="V631" s="20"/>
      <c r="W631" s="20"/>
      <c r="X631" s="20"/>
      <c r="Y631" s="20"/>
      <c r="Z631" s="20"/>
    </row>
    <row r="632" ht="13.5" customHeight="1" spans="1:26">
      <c r="A632" s="20"/>
      <c r="B632" s="20"/>
      <c r="C632" s="20"/>
      <c r="D632" s="20"/>
      <c r="E632" s="20"/>
      <c r="F632" s="20"/>
      <c r="G632" s="20"/>
      <c r="H632" s="20"/>
      <c r="I632" s="20"/>
      <c r="J632" s="20"/>
      <c r="K632" s="20"/>
      <c r="L632" s="20"/>
      <c r="M632" s="20"/>
      <c r="N632" s="20"/>
      <c r="O632" s="20"/>
      <c r="P632" s="20"/>
      <c r="Q632" s="20"/>
      <c r="R632" s="20"/>
      <c r="S632" s="20"/>
      <c r="T632" s="20"/>
      <c r="U632" s="20"/>
      <c r="V632" s="20"/>
      <c r="W632" s="20"/>
      <c r="X632" s="20"/>
      <c r="Y632" s="20"/>
      <c r="Z632" s="20"/>
    </row>
    <row r="633" ht="13.5" customHeight="1" spans="1:26">
      <c r="A633" s="20"/>
      <c r="B633" s="20"/>
      <c r="C633" s="20"/>
      <c r="D633" s="20"/>
      <c r="E633" s="20"/>
      <c r="F633" s="20"/>
      <c r="G633" s="20"/>
      <c r="H633" s="20"/>
      <c r="I633" s="20"/>
      <c r="J633" s="20"/>
      <c r="K633" s="20"/>
      <c r="L633" s="20"/>
      <c r="M633" s="20"/>
      <c r="N633" s="20"/>
      <c r="O633" s="20"/>
      <c r="P633" s="20"/>
      <c r="Q633" s="20"/>
      <c r="R633" s="20"/>
      <c r="S633" s="20"/>
      <c r="T633" s="20"/>
      <c r="U633" s="20"/>
      <c r="V633" s="20"/>
      <c r="W633" s="20"/>
      <c r="X633" s="20"/>
      <c r="Y633" s="20"/>
      <c r="Z633" s="20"/>
    </row>
    <row r="634" ht="13.5" customHeight="1" spans="1:26">
      <c r="A634" s="20"/>
      <c r="B634" s="20"/>
      <c r="C634" s="20"/>
      <c r="D634" s="20"/>
      <c r="E634" s="20"/>
      <c r="F634" s="20"/>
      <c r="G634" s="20"/>
      <c r="H634" s="20"/>
      <c r="I634" s="20"/>
      <c r="J634" s="20"/>
      <c r="K634" s="20"/>
      <c r="L634" s="20"/>
      <c r="M634" s="20"/>
      <c r="N634" s="20"/>
      <c r="O634" s="20"/>
      <c r="P634" s="20"/>
      <c r="Q634" s="20"/>
      <c r="R634" s="20"/>
      <c r="S634" s="20"/>
      <c r="T634" s="20"/>
      <c r="U634" s="20"/>
      <c r="V634" s="20"/>
      <c r="W634" s="20"/>
      <c r="X634" s="20"/>
      <c r="Y634" s="20"/>
      <c r="Z634" s="20"/>
    </row>
    <row r="635" ht="13.5" customHeight="1" spans="1:26">
      <c r="A635" s="20"/>
      <c r="B635" s="20"/>
      <c r="C635" s="20"/>
      <c r="D635" s="20"/>
      <c r="E635" s="20"/>
      <c r="F635" s="20"/>
      <c r="G635" s="20"/>
      <c r="H635" s="20"/>
      <c r="I635" s="20"/>
      <c r="J635" s="20"/>
      <c r="K635" s="20"/>
      <c r="L635" s="20"/>
      <c r="M635" s="20"/>
      <c r="N635" s="20"/>
      <c r="O635" s="20"/>
      <c r="P635" s="20"/>
      <c r="Q635" s="20"/>
      <c r="R635" s="20"/>
      <c r="S635" s="20"/>
      <c r="T635" s="20"/>
      <c r="U635" s="20"/>
      <c r="V635" s="20"/>
      <c r="W635" s="20"/>
      <c r="X635" s="20"/>
      <c r="Y635" s="20"/>
      <c r="Z635" s="20"/>
    </row>
    <row r="636" ht="13.5" customHeight="1" spans="1:26">
      <c r="A636" s="20"/>
      <c r="B636" s="20"/>
      <c r="C636" s="20"/>
      <c r="D636" s="20"/>
      <c r="E636" s="20"/>
      <c r="F636" s="20"/>
      <c r="G636" s="20"/>
      <c r="H636" s="20"/>
      <c r="I636" s="20"/>
      <c r="J636" s="20"/>
      <c r="K636" s="20"/>
      <c r="L636" s="20"/>
      <c r="M636" s="20"/>
      <c r="N636" s="20"/>
      <c r="O636" s="20"/>
      <c r="P636" s="20"/>
      <c r="Q636" s="20"/>
      <c r="R636" s="20"/>
      <c r="S636" s="20"/>
      <c r="T636" s="20"/>
      <c r="U636" s="20"/>
      <c r="V636" s="20"/>
      <c r="W636" s="20"/>
      <c r="X636" s="20"/>
      <c r="Y636" s="20"/>
      <c r="Z636" s="20"/>
    </row>
    <row r="637" ht="13.5" customHeight="1" spans="1:26">
      <c r="A637" s="20"/>
      <c r="B637" s="20"/>
      <c r="C637" s="20"/>
      <c r="D637" s="20"/>
      <c r="E637" s="20"/>
      <c r="F637" s="20"/>
      <c r="G637" s="20"/>
      <c r="H637" s="20"/>
      <c r="I637" s="20"/>
      <c r="J637" s="20"/>
      <c r="K637" s="20"/>
      <c r="L637" s="20"/>
      <c r="M637" s="20"/>
      <c r="N637" s="20"/>
      <c r="O637" s="20"/>
      <c r="P637" s="20"/>
      <c r="Q637" s="20"/>
      <c r="R637" s="20"/>
      <c r="S637" s="20"/>
      <c r="T637" s="20"/>
      <c r="U637" s="20"/>
      <c r="V637" s="20"/>
      <c r="W637" s="20"/>
      <c r="X637" s="20"/>
      <c r="Y637" s="20"/>
      <c r="Z637" s="20"/>
    </row>
    <row r="638" ht="13.5" customHeight="1" spans="1:26">
      <c r="A638" s="20"/>
      <c r="B638" s="20"/>
      <c r="C638" s="20"/>
      <c r="D638" s="20"/>
      <c r="E638" s="20"/>
      <c r="F638" s="20"/>
      <c r="G638" s="20"/>
      <c r="H638" s="20"/>
      <c r="I638" s="20"/>
      <c r="J638" s="20"/>
      <c r="K638" s="20"/>
      <c r="L638" s="20"/>
      <c r="M638" s="20"/>
      <c r="N638" s="20"/>
      <c r="O638" s="20"/>
      <c r="P638" s="20"/>
      <c r="Q638" s="20"/>
      <c r="R638" s="20"/>
      <c r="S638" s="20"/>
      <c r="T638" s="20"/>
      <c r="U638" s="20"/>
      <c r="V638" s="20"/>
      <c r="W638" s="20"/>
      <c r="X638" s="20"/>
      <c r="Y638" s="20"/>
      <c r="Z638" s="20"/>
    </row>
    <row r="639" ht="13.5" customHeight="1" spans="1:26">
      <c r="A639" s="20"/>
      <c r="B639" s="20"/>
      <c r="C639" s="20"/>
      <c r="D639" s="20"/>
      <c r="E639" s="20"/>
      <c r="F639" s="20"/>
      <c r="G639" s="20"/>
      <c r="H639" s="20"/>
      <c r="I639" s="20"/>
      <c r="J639" s="20"/>
      <c r="K639" s="20"/>
      <c r="L639" s="20"/>
      <c r="M639" s="20"/>
      <c r="N639" s="20"/>
      <c r="O639" s="20"/>
      <c r="P639" s="20"/>
      <c r="Q639" s="20"/>
      <c r="R639" s="20"/>
      <c r="S639" s="20"/>
      <c r="T639" s="20"/>
      <c r="U639" s="20"/>
      <c r="V639" s="20"/>
      <c r="W639" s="20"/>
      <c r="X639" s="20"/>
      <c r="Y639" s="20"/>
      <c r="Z639" s="20"/>
    </row>
    <row r="640" ht="13.5" customHeight="1" spans="1:26">
      <c r="A640" s="20"/>
      <c r="B640" s="20"/>
      <c r="C640" s="20"/>
      <c r="D640" s="20"/>
      <c r="E640" s="20"/>
      <c r="F640" s="20"/>
      <c r="G640" s="20"/>
      <c r="H640" s="20"/>
      <c r="I640" s="20"/>
      <c r="J640" s="20"/>
      <c r="K640" s="20"/>
      <c r="L640" s="20"/>
      <c r="M640" s="20"/>
      <c r="N640" s="20"/>
      <c r="O640" s="20"/>
      <c r="P640" s="20"/>
      <c r="Q640" s="20"/>
      <c r="R640" s="20"/>
      <c r="S640" s="20"/>
      <c r="T640" s="20"/>
      <c r="U640" s="20"/>
      <c r="V640" s="20"/>
      <c r="W640" s="20"/>
      <c r="X640" s="20"/>
      <c r="Y640" s="20"/>
      <c r="Z640" s="20"/>
    </row>
    <row r="641" ht="13.5" customHeight="1" spans="1:26">
      <c r="A641" s="20"/>
      <c r="B641" s="20"/>
      <c r="C641" s="20"/>
      <c r="D641" s="20"/>
      <c r="E641" s="20"/>
      <c r="F641" s="20"/>
      <c r="G641" s="20"/>
      <c r="H641" s="20"/>
      <c r="I641" s="20"/>
      <c r="J641" s="20"/>
      <c r="K641" s="20"/>
      <c r="L641" s="20"/>
      <c r="M641" s="20"/>
      <c r="N641" s="20"/>
      <c r="O641" s="20"/>
      <c r="P641" s="20"/>
      <c r="Q641" s="20"/>
      <c r="R641" s="20"/>
      <c r="S641" s="20"/>
      <c r="T641" s="20"/>
      <c r="U641" s="20"/>
      <c r="V641" s="20"/>
      <c r="W641" s="20"/>
      <c r="X641" s="20"/>
      <c r="Y641" s="20"/>
      <c r="Z641" s="20"/>
    </row>
    <row r="642" ht="13.5" customHeight="1" spans="1:26">
      <c r="A642" s="20"/>
      <c r="B642" s="20"/>
      <c r="C642" s="20"/>
      <c r="D642" s="20"/>
      <c r="E642" s="20"/>
      <c r="F642" s="20"/>
      <c r="G642" s="20"/>
      <c r="H642" s="20"/>
      <c r="I642" s="20"/>
      <c r="J642" s="20"/>
      <c r="K642" s="20"/>
      <c r="L642" s="20"/>
      <c r="M642" s="20"/>
      <c r="N642" s="20"/>
      <c r="O642" s="20"/>
      <c r="P642" s="20"/>
      <c r="Q642" s="20"/>
      <c r="R642" s="20"/>
      <c r="S642" s="20"/>
      <c r="T642" s="20"/>
      <c r="U642" s="20"/>
      <c r="V642" s="20"/>
      <c r="W642" s="20"/>
      <c r="X642" s="20"/>
      <c r="Y642" s="20"/>
      <c r="Z642" s="20"/>
    </row>
    <row r="643" ht="13.5" customHeight="1" spans="1:26">
      <c r="A643" s="20"/>
      <c r="B643" s="20"/>
      <c r="C643" s="20"/>
      <c r="D643" s="20"/>
      <c r="E643" s="20"/>
      <c r="F643" s="20"/>
      <c r="G643" s="20"/>
      <c r="H643" s="20"/>
      <c r="I643" s="20"/>
      <c r="J643" s="20"/>
      <c r="K643" s="20"/>
      <c r="L643" s="20"/>
      <c r="M643" s="20"/>
      <c r="N643" s="20"/>
      <c r="O643" s="20"/>
      <c r="P643" s="20"/>
      <c r="Q643" s="20"/>
      <c r="R643" s="20"/>
      <c r="S643" s="20"/>
      <c r="T643" s="20"/>
      <c r="U643" s="20"/>
      <c r="V643" s="20"/>
      <c r="W643" s="20"/>
      <c r="X643" s="20"/>
      <c r="Y643" s="20"/>
      <c r="Z643" s="20"/>
    </row>
    <row r="644" ht="13.5" customHeight="1" spans="1:26">
      <c r="A644" s="20"/>
      <c r="B644" s="20"/>
      <c r="C644" s="20"/>
      <c r="D644" s="20"/>
      <c r="E644" s="20"/>
      <c r="F644" s="20"/>
      <c r="G644" s="20"/>
      <c r="H644" s="20"/>
      <c r="I644" s="20"/>
      <c r="J644" s="20"/>
      <c r="K644" s="20"/>
      <c r="L644" s="20"/>
      <c r="M644" s="20"/>
      <c r="N644" s="20"/>
      <c r="O644" s="20"/>
      <c r="P644" s="20"/>
      <c r="Q644" s="20"/>
      <c r="R644" s="20"/>
      <c r="S644" s="20"/>
      <c r="T644" s="20"/>
      <c r="U644" s="20"/>
      <c r="V644" s="20"/>
      <c r="W644" s="20"/>
      <c r="X644" s="20"/>
      <c r="Y644" s="20"/>
      <c r="Z644" s="20"/>
    </row>
    <row r="645" ht="13.5" customHeight="1" spans="1:26">
      <c r="A645" s="20"/>
      <c r="B645" s="20"/>
      <c r="C645" s="20"/>
      <c r="D645" s="20"/>
      <c r="E645" s="20"/>
      <c r="F645" s="20"/>
      <c r="G645" s="20"/>
      <c r="H645" s="20"/>
      <c r="I645" s="20"/>
      <c r="J645" s="20"/>
      <c r="K645" s="20"/>
      <c r="L645" s="20"/>
      <c r="M645" s="20"/>
      <c r="N645" s="20"/>
      <c r="O645" s="20"/>
      <c r="P645" s="20"/>
      <c r="Q645" s="20"/>
      <c r="R645" s="20"/>
      <c r="S645" s="20"/>
      <c r="T645" s="20"/>
      <c r="U645" s="20"/>
      <c r="V645" s="20"/>
      <c r="W645" s="20"/>
      <c r="X645" s="20"/>
      <c r="Y645" s="20"/>
      <c r="Z645" s="20"/>
    </row>
    <row r="646" ht="13.5" customHeight="1" spans="1:26">
      <c r="A646" s="20"/>
      <c r="B646" s="20"/>
      <c r="C646" s="20"/>
      <c r="D646" s="20"/>
      <c r="E646" s="20"/>
      <c r="F646" s="20"/>
      <c r="G646" s="20"/>
      <c r="H646" s="20"/>
      <c r="I646" s="20"/>
      <c r="J646" s="20"/>
      <c r="K646" s="20"/>
      <c r="L646" s="20"/>
      <c r="M646" s="20"/>
      <c r="N646" s="20"/>
      <c r="O646" s="20"/>
      <c r="P646" s="20"/>
      <c r="Q646" s="20"/>
      <c r="R646" s="20"/>
      <c r="S646" s="20"/>
      <c r="T646" s="20"/>
      <c r="U646" s="20"/>
      <c r="V646" s="20"/>
      <c r="W646" s="20"/>
      <c r="X646" s="20"/>
      <c r="Y646" s="20"/>
      <c r="Z646" s="20"/>
    </row>
    <row r="647" ht="13.5" customHeight="1" spans="1:26">
      <c r="A647" s="20"/>
      <c r="B647" s="20"/>
      <c r="C647" s="20"/>
      <c r="D647" s="20"/>
      <c r="E647" s="20"/>
      <c r="F647" s="20"/>
      <c r="G647" s="20"/>
      <c r="H647" s="20"/>
      <c r="I647" s="20"/>
      <c r="J647" s="20"/>
      <c r="K647" s="20"/>
      <c r="L647" s="20"/>
      <c r="M647" s="20"/>
      <c r="N647" s="20"/>
      <c r="O647" s="20"/>
      <c r="P647" s="20"/>
      <c r="Q647" s="20"/>
      <c r="R647" s="20"/>
      <c r="S647" s="20"/>
      <c r="T647" s="20"/>
      <c r="U647" s="20"/>
      <c r="V647" s="20"/>
      <c r="W647" s="20"/>
      <c r="X647" s="20"/>
      <c r="Y647" s="20"/>
      <c r="Z647" s="20"/>
    </row>
    <row r="648" ht="13.5" customHeight="1" spans="1:26">
      <c r="A648" s="20"/>
      <c r="B648" s="20"/>
      <c r="C648" s="20"/>
      <c r="D648" s="20"/>
      <c r="E648" s="20"/>
      <c r="F648" s="20"/>
      <c r="G648" s="20"/>
      <c r="H648" s="20"/>
      <c r="I648" s="20"/>
      <c r="J648" s="20"/>
      <c r="K648" s="20"/>
      <c r="L648" s="20"/>
      <c r="M648" s="20"/>
      <c r="N648" s="20"/>
      <c r="O648" s="20"/>
      <c r="P648" s="20"/>
      <c r="Q648" s="20"/>
      <c r="R648" s="20"/>
      <c r="S648" s="20"/>
      <c r="T648" s="20"/>
      <c r="U648" s="20"/>
      <c r="V648" s="20"/>
      <c r="W648" s="20"/>
      <c r="X648" s="20"/>
      <c r="Y648" s="20"/>
      <c r="Z648" s="20"/>
    </row>
    <row r="649" ht="13.5" customHeight="1" spans="1:26">
      <c r="A649" s="20"/>
      <c r="B649" s="20"/>
      <c r="C649" s="20"/>
      <c r="D649" s="20"/>
      <c r="E649" s="20"/>
      <c r="F649" s="20"/>
      <c r="G649" s="20"/>
      <c r="H649" s="20"/>
      <c r="I649" s="20"/>
      <c r="J649" s="20"/>
      <c r="K649" s="20"/>
      <c r="L649" s="20"/>
      <c r="M649" s="20"/>
      <c r="N649" s="20"/>
      <c r="O649" s="20"/>
      <c r="P649" s="20"/>
      <c r="Q649" s="20"/>
      <c r="R649" s="20"/>
      <c r="S649" s="20"/>
      <c r="T649" s="20"/>
      <c r="U649" s="20"/>
      <c r="V649" s="20"/>
      <c r="W649" s="20"/>
      <c r="X649" s="20"/>
      <c r="Y649" s="20"/>
      <c r="Z649" s="20"/>
    </row>
    <row r="650" ht="13.5" customHeight="1" spans="1:26">
      <c r="A650" s="20"/>
      <c r="B650" s="20"/>
      <c r="C650" s="20"/>
      <c r="D650" s="20"/>
      <c r="E650" s="20"/>
      <c r="F650" s="20"/>
      <c r="G650" s="20"/>
      <c r="H650" s="20"/>
      <c r="I650" s="20"/>
      <c r="J650" s="20"/>
      <c r="K650" s="20"/>
      <c r="L650" s="20"/>
      <c r="M650" s="20"/>
      <c r="N650" s="20"/>
      <c r="O650" s="20"/>
      <c r="P650" s="20"/>
      <c r="Q650" s="20"/>
      <c r="R650" s="20"/>
      <c r="S650" s="20"/>
      <c r="T650" s="20"/>
      <c r="U650" s="20"/>
      <c r="V650" s="20"/>
      <c r="W650" s="20"/>
      <c r="X650" s="20"/>
      <c r="Y650" s="20"/>
      <c r="Z650" s="20"/>
    </row>
    <row r="651" ht="13.5" customHeight="1" spans="1:26">
      <c r="A651" s="20"/>
      <c r="B651" s="20"/>
      <c r="C651" s="20"/>
      <c r="D651" s="20"/>
      <c r="E651" s="20"/>
      <c r="F651" s="20"/>
      <c r="G651" s="20"/>
      <c r="H651" s="20"/>
      <c r="I651" s="20"/>
      <c r="J651" s="20"/>
      <c r="K651" s="20"/>
      <c r="L651" s="20"/>
      <c r="M651" s="20"/>
      <c r="N651" s="20"/>
      <c r="O651" s="20"/>
      <c r="P651" s="20"/>
      <c r="Q651" s="20"/>
      <c r="R651" s="20"/>
      <c r="S651" s="20"/>
      <c r="T651" s="20"/>
      <c r="U651" s="20"/>
      <c r="V651" s="20"/>
      <c r="W651" s="20"/>
      <c r="X651" s="20"/>
      <c r="Y651" s="20"/>
      <c r="Z651" s="20"/>
    </row>
    <row r="652" ht="13.5" customHeight="1" spans="1:26">
      <c r="A652" s="20"/>
      <c r="B652" s="20"/>
      <c r="C652" s="20"/>
      <c r="D652" s="20"/>
      <c r="E652" s="20"/>
      <c r="F652" s="20"/>
      <c r="G652" s="20"/>
      <c r="H652" s="20"/>
      <c r="I652" s="20"/>
      <c r="J652" s="20"/>
      <c r="K652" s="20"/>
      <c r="L652" s="20"/>
      <c r="M652" s="20"/>
      <c r="N652" s="20"/>
      <c r="O652" s="20"/>
      <c r="P652" s="20"/>
      <c r="Q652" s="20"/>
      <c r="R652" s="20"/>
      <c r="S652" s="20"/>
      <c r="T652" s="20"/>
      <c r="U652" s="20"/>
      <c r="V652" s="20"/>
      <c r="W652" s="20"/>
      <c r="X652" s="20"/>
      <c r="Y652" s="20"/>
      <c r="Z652" s="20"/>
    </row>
    <row r="653" ht="13.5" customHeight="1" spans="1:26">
      <c r="A653" s="20"/>
      <c r="B653" s="20"/>
      <c r="C653" s="20"/>
      <c r="D653" s="20"/>
      <c r="E653" s="20"/>
      <c r="F653" s="20"/>
      <c r="G653" s="20"/>
      <c r="H653" s="20"/>
      <c r="I653" s="20"/>
      <c r="J653" s="20"/>
      <c r="K653" s="20"/>
      <c r="L653" s="20"/>
      <c r="M653" s="20"/>
      <c r="N653" s="20"/>
      <c r="O653" s="20"/>
      <c r="P653" s="20"/>
      <c r="Q653" s="20"/>
      <c r="R653" s="20"/>
      <c r="S653" s="20"/>
      <c r="T653" s="20"/>
      <c r="U653" s="20"/>
      <c r="V653" s="20"/>
      <c r="W653" s="20"/>
      <c r="X653" s="20"/>
      <c r="Y653" s="20"/>
      <c r="Z653" s="20"/>
    </row>
    <row r="654" ht="13.5" customHeight="1" spans="1:26">
      <c r="A654" s="20"/>
      <c r="B654" s="20"/>
      <c r="C654" s="20"/>
      <c r="D654" s="20"/>
      <c r="E654" s="20"/>
      <c r="F654" s="20"/>
      <c r="G654" s="20"/>
      <c r="H654" s="20"/>
      <c r="I654" s="20"/>
      <c r="J654" s="20"/>
      <c r="K654" s="20"/>
      <c r="L654" s="20"/>
      <c r="M654" s="20"/>
      <c r="N654" s="20"/>
      <c r="O654" s="20"/>
      <c r="P654" s="20"/>
      <c r="Q654" s="20"/>
      <c r="R654" s="20"/>
      <c r="S654" s="20"/>
      <c r="T654" s="20"/>
      <c r="U654" s="20"/>
      <c r="V654" s="20"/>
      <c r="W654" s="20"/>
      <c r="X654" s="20"/>
      <c r="Y654" s="20"/>
      <c r="Z654" s="20"/>
    </row>
    <row r="655" ht="13.5" customHeight="1" spans="1:26">
      <c r="A655" s="20"/>
      <c r="B655" s="20"/>
      <c r="C655" s="20"/>
      <c r="D655" s="20"/>
      <c r="E655" s="20"/>
      <c r="F655" s="20"/>
      <c r="G655" s="20"/>
      <c r="H655" s="20"/>
      <c r="I655" s="20"/>
      <c r="J655" s="20"/>
      <c r="K655" s="20"/>
      <c r="L655" s="20"/>
      <c r="M655" s="20"/>
      <c r="N655" s="20"/>
      <c r="O655" s="20"/>
      <c r="P655" s="20"/>
      <c r="Q655" s="20"/>
      <c r="R655" s="20"/>
      <c r="S655" s="20"/>
      <c r="T655" s="20"/>
      <c r="U655" s="20"/>
      <c r="V655" s="20"/>
      <c r="W655" s="20"/>
      <c r="X655" s="20"/>
      <c r="Y655" s="20"/>
      <c r="Z655" s="20"/>
    </row>
    <row r="656" ht="13.5" customHeight="1" spans="1:26">
      <c r="A656" s="20"/>
      <c r="B656" s="20"/>
      <c r="C656" s="20"/>
      <c r="D656" s="20"/>
      <c r="E656" s="20"/>
      <c r="F656" s="20"/>
      <c r="G656" s="20"/>
      <c r="H656" s="20"/>
      <c r="I656" s="20"/>
      <c r="J656" s="20"/>
      <c r="K656" s="20"/>
      <c r="L656" s="20"/>
      <c r="M656" s="20"/>
      <c r="N656" s="20"/>
      <c r="O656" s="20"/>
      <c r="P656" s="20"/>
      <c r="Q656" s="20"/>
      <c r="R656" s="20"/>
      <c r="S656" s="20"/>
      <c r="T656" s="20"/>
      <c r="U656" s="20"/>
      <c r="V656" s="20"/>
      <c r="W656" s="20"/>
      <c r="X656" s="20"/>
      <c r="Y656" s="20"/>
      <c r="Z656" s="20"/>
    </row>
    <row r="657" ht="13.5" customHeight="1" spans="1:26">
      <c r="A657" s="20"/>
      <c r="B657" s="20"/>
      <c r="C657" s="20"/>
      <c r="D657" s="20"/>
      <c r="E657" s="20"/>
      <c r="F657" s="20"/>
      <c r="G657" s="20"/>
      <c r="H657" s="20"/>
      <c r="I657" s="20"/>
      <c r="J657" s="20"/>
      <c r="K657" s="20"/>
      <c r="L657" s="20"/>
      <c r="M657" s="20"/>
      <c r="N657" s="20"/>
      <c r="O657" s="20"/>
      <c r="P657" s="20"/>
      <c r="Q657" s="20"/>
      <c r="R657" s="20"/>
      <c r="S657" s="20"/>
      <c r="T657" s="20"/>
      <c r="U657" s="20"/>
      <c r="V657" s="20"/>
      <c r="W657" s="20"/>
      <c r="X657" s="20"/>
      <c r="Y657" s="20"/>
      <c r="Z657" s="20"/>
    </row>
    <row r="658" ht="13.5" customHeight="1" spans="1:26">
      <c r="A658" s="20"/>
      <c r="B658" s="20"/>
      <c r="C658" s="20"/>
      <c r="D658" s="20"/>
      <c r="E658" s="20"/>
      <c r="F658" s="20"/>
      <c r="G658" s="20"/>
      <c r="H658" s="20"/>
      <c r="I658" s="20"/>
      <c r="J658" s="20"/>
      <c r="K658" s="20"/>
      <c r="L658" s="20"/>
      <c r="M658" s="20"/>
      <c r="N658" s="20"/>
      <c r="O658" s="20"/>
      <c r="P658" s="20"/>
      <c r="Q658" s="20"/>
      <c r="R658" s="20"/>
      <c r="S658" s="20"/>
      <c r="T658" s="20"/>
      <c r="U658" s="20"/>
      <c r="V658" s="20"/>
      <c r="W658" s="20"/>
      <c r="X658" s="20"/>
      <c r="Y658" s="20"/>
      <c r="Z658" s="20"/>
    </row>
    <row r="659" ht="13.5" customHeight="1" spans="1:26">
      <c r="A659" s="20"/>
      <c r="B659" s="20"/>
      <c r="C659" s="20"/>
      <c r="D659" s="20"/>
      <c r="E659" s="20"/>
      <c r="F659" s="20"/>
      <c r="G659" s="20"/>
      <c r="H659" s="20"/>
      <c r="I659" s="20"/>
      <c r="J659" s="20"/>
      <c r="K659" s="20"/>
      <c r="L659" s="20"/>
      <c r="M659" s="20"/>
      <c r="N659" s="20"/>
      <c r="O659" s="20"/>
      <c r="P659" s="20"/>
      <c r="Q659" s="20"/>
      <c r="R659" s="20"/>
      <c r="S659" s="20"/>
      <c r="T659" s="20"/>
      <c r="U659" s="20"/>
      <c r="V659" s="20"/>
      <c r="W659" s="20"/>
      <c r="X659" s="20"/>
      <c r="Y659" s="20"/>
      <c r="Z659" s="20"/>
    </row>
    <row r="660" ht="13.5" customHeight="1" spans="1:26">
      <c r="A660" s="20"/>
      <c r="B660" s="20"/>
      <c r="C660" s="20"/>
      <c r="D660" s="20"/>
      <c r="E660" s="20"/>
      <c r="F660" s="20"/>
      <c r="G660" s="20"/>
      <c r="H660" s="20"/>
      <c r="I660" s="20"/>
      <c r="J660" s="20"/>
      <c r="K660" s="20"/>
      <c r="L660" s="20"/>
      <c r="M660" s="20"/>
      <c r="N660" s="20"/>
      <c r="O660" s="20"/>
      <c r="P660" s="20"/>
      <c r="Q660" s="20"/>
      <c r="R660" s="20"/>
      <c r="S660" s="20"/>
      <c r="T660" s="20"/>
      <c r="U660" s="20"/>
      <c r="V660" s="20"/>
      <c r="W660" s="20"/>
      <c r="X660" s="20"/>
      <c r="Y660" s="20"/>
      <c r="Z660" s="20"/>
    </row>
    <row r="661" ht="13.5" customHeight="1" spans="1:26">
      <c r="A661" s="20"/>
      <c r="B661" s="20"/>
      <c r="C661" s="20"/>
      <c r="D661" s="20"/>
      <c r="E661" s="20"/>
      <c r="F661" s="20"/>
      <c r="G661" s="20"/>
      <c r="H661" s="20"/>
      <c r="I661" s="20"/>
      <c r="J661" s="20"/>
      <c r="K661" s="20"/>
      <c r="L661" s="20"/>
      <c r="M661" s="20"/>
      <c r="N661" s="20"/>
      <c r="O661" s="20"/>
      <c r="P661" s="20"/>
      <c r="Q661" s="20"/>
      <c r="R661" s="20"/>
      <c r="S661" s="20"/>
      <c r="T661" s="20"/>
      <c r="U661" s="20"/>
      <c r="V661" s="20"/>
      <c r="W661" s="20"/>
      <c r="X661" s="20"/>
      <c r="Y661" s="20"/>
      <c r="Z661" s="20"/>
    </row>
    <row r="662" ht="13.5" customHeight="1" spans="1:26">
      <c r="A662" s="20"/>
      <c r="B662" s="20"/>
      <c r="C662" s="20"/>
      <c r="D662" s="20"/>
      <c r="E662" s="20"/>
      <c r="F662" s="20"/>
      <c r="G662" s="20"/>
      <c r="H662" s="20"/>
      <c r="I662" s="20"/>
      <c r="J662" s="20"/>
      <c r="K662" s="20"/>
      <c r="L662" s="20"/>
      <c r="M662" s="20"/>
      <c r="N662" s="20"/>
      <c r="O662" s="20"/>
      <c r="P662" s="20"/>
      <c r="Q662" s="20"/>
      <c r="R662" s="20"/>
      <c r="S662" s="20"/>
      <c r="T662" s="20"/>
      <c r="U662" s="20"/>
      <c r="V662" s="20"/>
      <c r="W662" s="20"/>
      <c r="X662" s="20"/>
      <c r="Y662" s="20"/>
      <c r="Z662" s="20"/>
    </row>
    <row r="663" ht="13.5" customHeight="1" spans="1:26">
      <c r="A663" s="20"/>
      <c r="B663" s="20"/>
      <c r="C663" s="20"/>
      <c r="D663" s="20"/>
      <c r="E663" s="20"/>
      <c r="F663" s="20"/>
      <c r="G663" s="20"/>
      <c r="H663" s="20"/>
      <c r="I663" s="20"/>
      <c r="J663" s="20"/>
      <c r="K663" s="20"/>
      <c r="L663" s="20"/>
      <c r="M663" s="20"/>
      <c r="N663" s="20"/>
      <c r="O663" s="20"/>
      <c r="P663" s="20"/>
      <c r="Q663" s="20"/>
      <c r="R663" s="20"/>
      <c r="S663" s="20"/>
      <c r="T663" s="20"/>
      <c r="U663" s="20"/>
      <c r="V663" s="20"/>
      <c r="W663" s="20"/>
      <c r="X663" s="20"/>
      <c r="Y663" s="20"/>
      <c r="Z663" s="20"/>
    </row>
    <row r="664" ht="13.5" customHeight="1" spans="1:26">
      <c r="A664" s="20"/>
      <c r="B664" s="20"/>
      <c r="C664" s="20"/>
      <c r="D664" s="20"/>
      <c r="E664" s="20"/>
      <c r="F664" s="20"/>
      <c r="G664" s="20"/>
      <c r="H664" s="20"/>
      <c r="I664" s="20"/>
      <c r="J664" s="20"/>
      <c r="K664" s="20"/>
      <c r="L664" s="20"/>
      <c r="M664" s="20"/>
      <c r="N664" s="20"/>
      <c r="O664" s="20"/>
      <c r="P664" s="20"/>
      <c r="Q664" s="20"/>
      <c r="R664" s="20"/>
      <c r="S664" s="20"/>
      <c r="T664" s="20"/>
      <c r="U664" s="20"/>
      <c r="V664" s="20"/>
      <c r="W664" s="20"/>
      <c r="X664" s="20"/>
      <c r="Y664" s="20"/>
      <c r="Z664" s="20"/>
    </row>
    <row r="665" ht="13.5" customHeight="1" spans="1:26">
      <c r="A665" s="20"/>
      <c r="B665" s="20"/>
      <c r="C665" s="20"/>
      <c r="D665" s="20"/>
      <c r="E665" s="20"/>
      <c r="F665" s="20"/>
      <c r="G665" s="20"/>
      <c r="H665" s="20"/>
      <c r="I665" s="20"/>
      <c r="J665" s="20"/>
      <c r="K665" s="20"/>
      <c r="L665" s="20"/>
      <c r="M665" s="20"/>
      <c r="N665" s="20"/>
      <c r="O665" s="20"/>
      <c r="P665" s="20"/>
      <c r="Q665" s="20"/>
      <c r="R665" s="20"/>
      <c r="S665" s="20"/>
      <c r="T665" s="20"/>
      <c r="U665" s="20"/>
      <c r="V665" s="20"/>
      <c r="W665" s="20"/>
      <c r="X665" s="20"/>
      <c r="Y665" s="20"/>
      <c r="Z665" s="20"/>
    </row>
    <row r="666" ht="13.5" customHeight="1" spans="1:26">
      <c r="A666" s="20"/>
      <c r="B666" s="20"/>
      <c r="C666" s="20"/>
      <c r="D666" s="20"/>
      <c r="E666" s="20"/>
      <c r="F666" s="20"/>
      <c r="G666" s="20"/>
      <c r="H666" s="20"/>
      <c r="I666" s="20"/>
      <c r="J666" s="20"/>
      <c r="K666" s="20"/>
      <c r="L666" s="20"/>
      <c r="M666" s="20"/>
      <c r="N666" s="20"/>
      <c r="O666" s="20"/>
      <c r="P666" s="20"/>
      <c r="Q666" s="20"/>
      <c r="R666" s="20"/>
      <c r="S666" s="20"/>
      <c r="T666" s="20"/>
      <c r="U666" s="20"/>
      <c r="V666" s="20"/>
      <c r="W666" s="20"/>
      <c r="X666" s="20"/>
      <c r="Y666" s="20"/>
      <c r="Z666" s="20"/>
    </row>
    <row r="667" ht="13.5" customHeight="1" spans="1:26">
      <c r="A667" s="20"/>
      <c r="B667" s="20"/>
      <c r="C667" s="20"/>
      <c r="D667" s="20"/>
      <c r="E667" s="20"/>
      <c r="F667" s="20"/>
      <c r="G667" s="20"/>
      <c r="H667" s="20"/>
      <c r="I667" s="20"/>
      <c r="J667" s="20"/>
      <c r="K667" s="20"/>
      <c r="L667" s="20"/>
      <c r="M667" s="20"/>
      <c r="N667" s="20"/>
      <c r="O667" s="20"/>
      <c r="P667" s="20"/>
      <c r="Q667" s="20"/>
      <c r="R667" s="20"/>
      <c r="S667" s="20"/>
      <c r="T667" s="20"/>
      <c r="U667" s="20"/>
      <c r="V667" s="20"/>
      <c r="W667" s="20"/>
      <c r="X667" s="20"/>
      <c r="Y667" s="20"/>
      <c r="Z667" s="20"/>
    </row>
    <row r="668" ht="13.5" customHeight="1" spans="1:26">
      <c r="A668" s="20"/>
      <c r="B668" s="20"/>
      <c r="C668" s="20"/>
      <c r="D668" s="20"/>
      <c r="E668" s="20"/>
      <c r="F668" s="20"/>
      <c r="G668" s="20"/>
      <c r="H668" s="20"/>
      <c r="I668" s="20"/>
      <c r="J668" s="20"/>
      <c r="K668" s="20"/>
      <c r="L668" s="20"/>
      <c r="M668" s="20"/>
      <c r="N668" s="20"/>
      <c r="O668" s="20"/>
      <c r="P668" s="20"/>
      <c r="Q668" s="20"/>
      <c r="R668" s="20"/>
      <c r="S668" s="20"/>
      <c r="T668" s="20"/>
      <c r="U668" s="20"/>
      <c r="V668" s="20"/>
      <c r="W668" s="20"/>
      <c r="X668" s="20"/>
      <c r="Y668" s="20"/>
      <c r="Z668" s="20"/>
    </row>
    <row r="669" ht="13.5" customHeight="1" spans="1:26">
      <c r="A669" s="20"/>
      <c r="B669" s="20"/>
      <c r="C669" s="20"/>
      <c r="D669" s="20"/>
      <c r="E669" s="20"/>
      <c r="F669" s="20"/>
      <c r="G669" s="20"/>
      <c r="H669" s="20"/>
      <c r="I669" s="20"/>
      <c r="J669" s="20"/>
      <c r="K669" s="20"/>
      <c r="L669" s="20"/>
      <c r="M669" s="20"/>
      <c r="N669" s="20"/>
      <c r="O669" s="20"/>
      <c r="P669" s="20"/>
      <c r="Q669" s="20"/>
      <c r="R669" s="20"/>
      <c r="S669" s="20"/>
      <c r="T669" s="20"/>
      <c r="U669" s="20"/>
      <c r="V669" s="20"/>
      <c r="W669" s="20"/>
      <c r="X669" s="20"/>
      <c r="Y669" s="20"/>
      <c r="Z669" s="20"/>
    </row>
    <row r="670" ht="13.5" customHeight="1" spans="1:26">
      <c r="A670" s="20"/>
      <c r="B670" s="20"/>
      <c r="C670" s="20"/>
      <c r="D670" s="20"/>
      <c r="E670" s="20"/>
      <c r="F670" s="20"/>
      <c r="G670" s="20"/>
      <c r="H670" s="20"/>
      <c r="I670" s="20"/>
      <c r="J670" s="20"/>
      <c r="K670" s="20"/>
      <c r="L670" s="20"/>
      <c r="M670" s="20"/>
      <c r="N670" s="20"/>
      <c r="O670" s="20"/>
      <c r="P670" s="20"/>
      <c r="Q670" s="20"/>
      <c r="R670" s="20"/>
      <c r="S670" s="20"/>
      <c r="T670" s="20"/>
      <c r="U670" s="20"/>
      <c r="V670" s="20"/>
      <c r="W670" s="20"/>
      <c r="X670" s="20"/>
      <c r="Y670" s="20"/>
      <c r="Z670" s="20"/>
    </row>
    <row r="671" ht="13.5" customHeight="1" spans="1:26">
      <c r="A671" s="20"/>
      <c r="B671" s="20"/>
      <c r="C671" s="20"/>
      <c r="D671" s="20"/>
      <c r="E671" s="20"/>
      <c r="F671" s="20"/>
      <c r="G671" s="20"/>
      <c r="H671" s="20"/>
      <c r="I671" s="20"/>
      <c r="J671" s="20"/>
      <c r="K671" s="20"/>
      <c r="L671" s="20"/>
      <c r="M671" s="20"/>
      <c r="N671" s="20"/>
      <c r="O671" s="20"/>
      <c r="P671" s="20"/>
      <c r="Q671" s="20"/>
      <c r="R671" s="20"/>
      <c r="S671" s="20"/>
      <c r="T671" s="20"/>
      <c r="U671" s="20"/>
      <c r="V671" s="20"/>
      <c r="W671" s="20"/>
      <c r="X671" s="20"/>
      <c r="Y671" s="20"/>
      <c r="Z671" s="20"/>
    </row>
    <row r="672" ht="13.5" customHeight="1" spans="1:26">
      <c r="A672" s="20"/>
      <c r="B672" s="20"/>
      <c r="C672" s="20"/>
      <c r="D672" s="20"/>
      <c r="E672" s="20"/>
      <c r="F672" s="20"/>
      <c r="G672" s="20"/>
      <c r="H672" s="20"/>
      <c r="I672" s="20"/>
      <c r="J672" s="20"/>
      <c r="K672" s="20"/>
      <c r="L672" s="20"/>
      <c r="M672" s="20"/>
      <c r="N672" s="20"/>
      <c r="O672" s="20"/>
      <c r="P672" s="20"/>
      <c r="Q672" s="20"/>
      <c r="R672" s="20"/>
      <c r="S672" s="20"/>
      <c r="T672" s="20"/>
      <c r="U672" s="20"/>
      <c r="V672" s="20"/>
      <c r="W672" s="20"/>
      <c r="X672" s="20"/>
      <c r="Y672" s="20"/>
      <c r="Z672" s="20"/>
    </row>
    <row r="673" ht="13.5" customHeight="1" spans="1:26">
      <c r="A673" s="20"/>
      <c r="B673" s="20"/>
      <c r="C673" s="20"/>
      <c r="D673" s="20"/>
      <c r="E673" s="20"/>
      <c r="F673" s="20"/>
      <c r="G673" s="20"/>
      <c r="H673" s="20"/>
      <c r="I673" s="20"/>
      <c r="J673" s="20"/>
      <c r="K673" s="20"/>
      <c r="L673" s="20"/>
      <c r="M673" s="20"/>
      <c r="N673" s="20"/>
      <c r="O673" s="20"/>
      <c r="P673" s="20"/>
      <c r="Q673" s="20"/>
      <c r="R673" s="20"/>
      <c r="S673" s="20"/>
      <c r="T673" s="20"/>
      <c r="U673" s="20"/>
      <c r="V673" s="20"/>
      <c r="W673" s="20"/>
      <c r="X673" s="20"/>
      <c r="Y673" s="20"/>
      <c r="Z673" s="20"/>
    </row>
    <row r="674" ht="13.5" customHeight="1" spans="1:26">
      <c r="A674" s="20"/>
      <c r="B674" s="20"/>
      <c r="C674" s="20"/>
      <c r="D674" s="20"/>
      <c r="E674" s="20"/>
      <c r="F674" s="20"/>
      <c r="G674" s="20"/>
      <c r="H674" s="20"/>
      <c r="I674" s="20"/>
      <c r="J674" s="20"/>
      <c r="K674" s="20"/>
      <c r="L674" s="20"/>
      <c r="M674" s="20"/>
      <c r="N674" s="20"/>
      <c r="O674" s="20"/>
      <c r="P674" s="20"/>
      <c r="Q674" s="20"/>
      <c r="R674" s="20"/>
      <c r="S674" s="20"/>
      <c r="T674" s="20"/>
      <c r="U674" s="20"/>
      <c r="V674" s="20"/>
      <c r="W674" s="20"/>
      <c r="X674" s="20"/>
      <c r="Y674" s="20"/>
      <c r="Z674" s="20"/>
    </row>
    <row r="675" ht="13.5" customHeight="1" spans="1:26">
      <c r="A675" s="20"/>
      <c r="B675" s="20"/>
      <c r="C675" s="20"/>
      <c r="D675" s="20"/>
      <c r="E675" s="20"/>
      <c r="F675" s="20"/>
      <c r="G675" s="20"/>
      <c r="H675" s="20"/>
      <c r="I675" s="20"/>
      <c r="J675" s="20"/>
      <c r="K675" s="20"/>
      <c r="L675" s="20"/>
      <c r="M675" s="20"/>
      <c r="N675" s="20"/>
      <c r="O675" s="20"/>
      <c r="P675" s="20"/>
      <c r="Q675" s="20"/>
      <c r="R675" s="20"/>
      <c r="S675" s="20"/>
      <c r="T675" s="20"/>
      <c r="U675" s="20"/>
      <c r="V675" s="20"/>
      <c r="W675" s="20"/>
      <c r="X675" s="20"/>
      <c r="Y675" s="20"/>
      <c r="Z675" s="20"/>
    </row>
    <row r="676" ht="13.5" customHeight="1" spans="1:26">
      <c r="A676" s="20"/>
      <c r="B676" s="20"/>
      <c r="C676" s="20"/>
      <c r="D676" s="20"/>
      <c r="E676" s="20"/>
      <c r="F676" s="20"/>
      <c r="G676" s="20"/>
      <c r="H676" s="20"/>
      <c r="I676" s="20"/>
      <c r="J676" s="20"/>
      <c r="K676" s="20"/>
      <c r="L676" s="20"/>
      <c r="M676" s="20"/>
      <c r="N676" s="20"/>
      <c r="O676" s="20"/>
      <c r="P676" s="20"/>
      <c r="Q676" s="20"/>
      <c r="R676" s="20"/>
      <c r="S676" s="20"/>
      <c r="T676" s="20"/>
      <c r="U676" s="20"/>
      <c r="V676" s="20"/>
      <c r="W676" s="20"/>
      <c r="X676" s="20"/>
      <c r="Y676" s="20"/>
      <c r="Z676" s="20"/>
    </row>
    <row r="677" ht="13.5" customHeight="1" spans="1:26">
      <c r="A677" s="20"/>
      <c r="B677" s="20"/>
      <c r="C677" s="20"/>
      <c r="D677" s="20"/>
      <c r="E677" s="20"/>
      <c r="F677" s="20"/>
      <c r="G677" s="20"/>
      <c r="H677" s="20"/>
      <c r="I677" s="20"/>
      <c r="J677" s="20"/>
      <c r="K677" s="20"/>
      <c r="L677" s="20"/>
      <c r="M677" s="20"/>
      <c r="N677" s="20"/>
      <c r="O677" s="20"/>
      <c r="P677" s="20"/>
      <c r="Q677" s="20"/>
      <c r="R677" s="20"/>
      <c r="S677" s="20"/>
      <c r="T677" s="20"/>
      <c r="U677" s="20"/>
      <c r="V677" s="20"/>
      <c r="W677" s="20"/>
      <c r="X677" s="20"/>
      <c r="Y677" s="20"/>
      <c r="Z677" s="20"/>
    </row>
    <row r="678" ht="13.5" customHeight="1" spans="1:26">
      <c r="A678" s="20"/>
      <c r="B678" s="20"/>
      <c r="C678" s="20"/>
      <c r="D678" s="20"/>
      <c r="E678" s="20"/>
      <c r="F678" s="20"/>
      <c r="G678" s="20"/>
      <c r="H678" s="20"/>
      <c r="I678" s="20"/>
      <c r="J678" s="20"/>
      <c r="K678" s="20"/>
      <c r="L678" s="20"/>
      <c r="M678" s="20"/>
      <c r="N678" s="20"/>
      <c r="O678" s="20"/>
      <c r="P678" s="20"/>
      <c r="Q678" s="20"/>
      <c r="R678" s="20"/>
      <c r="S678" s="20"/>
      <c r="T678" s="20"/>
      <c r="U678" s="20"/>
      <c r="V678" s="20"/>
      <c r="W678" s="20"/>
      <c r="X678" s="20"/>
      <c r="Y678" s="20"/>
      <c r="Z678" s="20"/>
    </row>
    <row r="679" ht="13.5" customHeight="1" spans="1:26">
      <c r="A679" s="20"/>
      <c r="B679" s="20"/>
      <c r="C679" s="20"/>
      <c r="D679" s="20"/>
      <c r="E679" s="20"/>
      <c r="F679" s="20"/>
      <c r="G679" s="20"/>
      <c r="H679" s="20"/>
      <c r="I679" s="20"/>
      <c r="J679" s="20"/>
      <c r="K679" s="20"/>
      <c r="L679" s="20"/>
      <c r="M679" s="20"/>
      <c r="N679" s="20"/>
      <c r="O679" s="20"/>
      <c r="P679" s="20"/>
      <c r="Q679" s="20"/>
      <c r="R679" s="20"/>
      <c r="S679" s="20"/>
      <c r="T679" s="20"/>
      <c r="U679" s="20"/>
      <c r="V679" s="20"/>
      <c r="W679" s="20"/>
      <c r="X679" s="20"/>
      <c r="Y679" s="20"/>
      <c r="Z679" s="20"/>
    </row>
    <row r="680" ht="13.5" customHeight="1" spans="1:26">
      <c r="A680" s="20"/>
      <c r="B680" s="20"/>
      <c r="C680" s="20"/>
      <c r="D680" s="20"/>
      <c r="E680" s="20"/>
      <c r="F680" s="20"/>
      <c r="G680" s="20"/>
      <c r="H680" s="20"/>
      <c r="I680" s="20"/>
      <c r="J680" s="20"/>
      <c r="K680" s="20"/>
      <c r="L680" s="20"/>
      <c r="M680" s="20"/>
      <c r="N680" s="20"/>
      <c r="O680" s="20"/>
      <c r="P680" s="20"/>
      <c r="Q680" s="20"/>
      <c r="R680" s="20"/>
      <c r="S680" s="20"/>
      <c r="T680" s="20"/>
      <c r="U680" s="20"/>
      <c r="V680" s="20"/>
      <c r="W680" s="20"/>
      <c r="X680" s="20"/>
      <c r="Y680" s="20"/>
      <c r="Z680" s="20"/>
    </row>
    <row r="681" ht="13.5" customHeight="1" spans="1:26">
      <c r="A681" s="20"/>
      <c r="B681" s="20"/>
      <c r="C681" s="20"/>
      <c r="D681" s="20"/>
      <c r="E681" s="20"/>
      <c r="F681" s="20"/>
      <c r="G681" s="20"/>
      <c r="H681" s="20"/>
      <c r="I681" s="20"/>
      <c r="J681" s="20"/>
      <c r="K681" s="20"/>
      <c r="L681" s="20"/>
      <c r="M681" s="20"/>
      <c r="N681" s="20"/>
      <c r="O681" s="20"/>
      <c r="P681" s="20"/>
      <c r="Q681" s="20"/>
      <c r="R681" s="20"/>
      <c r="S681" s="20"/>
      <c r="T681" s="20"/>
      <c r="U681" s="20"/>
      <c r="V681" s="20"/>
      <c r="W681" s="20"/>
      <c r="X681" s="20"/>
      <c r="Y681" s="20"/>
      <c r="Z681" s="20"/>
    </row>
    <row r="682" ht="13.5" customHeight="1" spans="1:26">
      <c r="A682" s="20"/>
      <c r="B682" s="20"/>
      <c r="C682" s="20"/>
      <c r="D682" s="20"/>
      <c r="E682" s="20"/>
      <c r="F682" s="20"/>
      <c r="G682" s="20"/>
      <c r="H682" s="20"/>
      <c r="I682" s="20"/>
      <c r="J682" s="20"/>
      <c r="K682" s="20"/>
      <c r="L682" s="20"/>
      <c r="M682" s="20"/>
      <c r="N682" s="20"/>
      <c r="O682" s="20"/>
      <c r="P682" s="20"/>
      <c r="Q682" s="20"/>
      <c r="R682" s="20"/>
      <c r="S682" s="20"/>
      <c r="T682" s="20"/>
      <c r="U682" s="20"/>
      <c r="V682" s="20"/>
      <c r="W682" s="20"/>
      <c r="X682" s="20"/>
      <c r="Y682" s="20"/>
      <c r="Z682" s="20"/>
    </row>
    <row r="683" ht="13.5" customHeight="1" spans="1:26">
      <c r="A683" s="20"/>
      <c r="B683" s="20"/>
      <c r="C683" s="20"/>
      <c r="D683" s="20"/>
      <c r="E683" s="20"/>
      <c r="F683" s="20"/>
      <c r="G683" s="20"/>
      <c r="H683" s="20"/>
      <c r="I683" s="20"/>
      <c r="J683" s="20"/>
      <c r="K683" s="20"/>
      <c r="L683" s="20"/>
      <c r="M683" s="20"/>
      <c r="N683" s="20"/>
      <c r="O683" s="20"/>
      <c r="P683" s="20"/>
      <c r="Q683" s="20"/>
      <c r="R683" s="20"/>
      <c r="S683" s="20"/>
      <c r="T683" s="20"/>
      <c r="U683" s="20"/>
      <c r="V683" s="20"/>
      <c r="W683" s="20"/>
      <c r="X683" s="20"/>
      <c r="Y683" s="20"/>
      <c r="Z683" s="20"/>
    </row>
    <row r="684" ht="13.5" customHeight="1" spans="1:26">
      <c r="A684" s="20"/>
      <c r="B684" s="20"/>
      <c r="C684" s="20"/>
      <c r="D684" s="20"/>
      <c r="E684" s="20"/>
      <c r="F684" s="20"/>
      <c r="G684" s="20"/>
      <c r="H684" s="20"/>
      <c r="I684" s="20"/>
      <c r="J684" s="20"/>
      <c r="K684" s="20"/>
      <c r="L684" s="20"/>
      <c r="M684" s="20"/>
      <c r="N684" s="20"/>
      <c r="O684" s="20"/>
      <c r="P684" s="20"/>
      <c r="Q684" s="20"/>
      <c r="R684" s="20"/>
      <c r="S684" s="20"/>
      <c r="T684" s="20"/>
      <c r="U684" s="20"/>
      <c r="V684" s="20"/>
      <c r="W684" s="20"/>
      <c r="X684" s="20"/>
      <c r="Y684" s="20"/>
      <c r="Z684" s="20"/>
    </row>
    <row r="685" ht="13.5" customHeight="1" spans="1:26">
      <c r="A685" s="20"/>
      <c r="B685" s="20"/>
      <c r="C685" s="20"/>
      <c r="D685" s="20"/>
      <c r="E685" s="20"/>
      <c r="F685" s="20"/>
      <c r="G685" s="20"/>
      <c r="H685" s="20"/>
      <c r="I685" s="20"/>
      <c r="J685" s="20"/>
      <c r="K685" s="20"/>
      <c r="L685" s="20"/>
      <c r="M685" s="20"/>
      <c r="N685" s="20"/>
      <c r="O685" s="20"/>
      <c r="P685" s="20"/>
      <c r="Q685" s="20"/>
      <c r="R685" s="20"/>
      <c r="S685" s="20"/>
      <c r="T685" s="20"/>
      <c r="U685" s="20"/>
      <c r="V685" s="20"/>
      <c r="W685" s="20"/>
      <c r="X685" s="20"/>
      <c r="Y685" s="20"/>
      <c r="Z685" s="20"/>
    </row>
    <row r="686" ht="13.5" customHeight="1" spans="1:26">
      <c r="A686" s="20"/>
      <c r="B686" s="20"/>
      <c r="C686" s="20"/>
      <c r="D686" s="20"/>
      <c r="E686" s="20"/>
      <c r="F686" s="20"/>
      <c r="G686" s="20"/>
      <c r="H686" s="20"/>
      <c r="I686" s="20"/>
      <c r="J686" s="20"/>
      <c r="K686" s="20"/>
      <c r="L686" s="20"/>
      <c r="M686" s="20"/>
      <c r="N686" s="20"/>
      <c r="O686" s="20"/>
      <c r="P686" s="20"/>
      <c r="Q686" s="20"/>
      <c r="R686" s="20"/>
      <c r="S686" s="20"/>
      <c r="T686" s="20"/>
      <c r="U686" s="20"/>
      <c r="V686" s="20"/>
      <c r="W686" s="20"/>
      <c r="X686" s="20"/>
      <c r="Y686" s="20"/>
      <c r="Z686" s="20"/>
    </row>
    <row r="687" ht="13.5" customHeight="1" spans="1:26">
      <c r="A687" s="20"/>
      <c r="B687" s="20"/>
      <c r="C687" s="20"/>
      <c r="D687" s="20"/>
      <c r="E687" s="20"/>
      <c r="F687" s="20"/>
      <c r="G687" s="20"/>
      <c r="H687" s="20"/>
      <c r="I687" s="20"/>
      <c r="J687" s="20"/>
      <c r="K687" s="20"/>
      <c r="L687" s="20"/>
      <c r="M687" s="20"/>
      <c r="N687" s="20"/>
      <c r="O687" s="20"/>
      <c r="P687" s="20"/>
      <c r="Q687" s="20"/>
      <c r="R687" s="20"/>
      <c r="S687" s="20"/>
      <c r="T687" s="20"/>
      <c r="U687" s="20"/>
      <c r="V687" s="20"/>
      <c r="W687" s="20"/>
      <c r="X687" s="20"/>
      <c r="Y687" s="20"/>
      <c r="Z687" s="20"/>
    </row>
    <row r="688" ht="13.5" customHeight="1" spans="1:26">
      <c r="A688" s="20"/>
      <c r="B688" s="20"/>
      <c r="C688" s="20"/>
      <c r="D688" s="20"/>
      <c r="E688" s="20"/>
      <c r="F688" s="20"/>
      <c r="G688" s="20"/>
      <c r="H688" s="20"/>
      <c r="I688" s="20"/>
      <c r="J688" s="20"/>
      <c r="K688" s="20"/>
      <c r="L688" s="20"/>
      <c r="M688" s="20"/>
      <c r="N688" s="20"/>
      <c r="O688" s="20"/>
      <c r="P688" s="20"/>
      <c r="Q688" s="20"/>
      <c r="R688" s="20"/>
      <c r="S688" s="20"/>
      <c r="T688" s="20"/>
      <c r="U688" s="20"/>
      <c r="V688" s="20"/>
      <c r="W688" s="20"/>
      <c r="X688" s="20"/>
      <c r="Y688" s="20"/>
      <c r="Z688" s="20"/>
    </row>
    <row r="689" ht="13.5" customHeight="1" spans="1:26">
      <c r="A689" s="20"/>
      <c r="B689" s="20"/>
      <c r="C689" s="20"/>
      <c r="D689" s="20"/>
      <c r="E689" s="20"/>
      <c r="F689" s="20"/>
      <c r="G689" s="20"/>
      <c r="H689" s="20"/>
      <c r="I689" s="20"/>
      <c r="J689" s="20"/>
      <c r="K689" s="20"/>
      <c r="L689" s="20"/>
      <c r="M689" s="20"/>
      <c r="N689" s="20"/>
      <c r="O689" s="20"/>
      <c r="P689" s="20"/>
      <c r="Q689" s="20"/>
      <c r="R689" s="20"/>
      <c r="S689" s="20"/>
      <c r="T689" s="20"/>
      <c r="U689" s="20"/>
      <c r="V689" s="20"/>
      <c r="W689" s="20"/>
      <c r="X689" s="20"/>
      <c r="Y689" s="20"/>
      <c r="Z689" s="20"/>
    </row>
    <row r="690" ht="13.5" customHeight="1" spans="1:26">
      <c r="A690" s="20"/>
      <c r="B690" s="20"/>
      <c r="C690" s="20"/>
      <c r="D690" s="20"/>
      <c r="E690" s="20"/>
      <c r="F690" s="20"/>
      <c r="G690" s="20"/>
      <c r="H690" s="20"/>
      <c r="I690" s="20"/>
      <c r="J690" s="20"/>
      <c r="K690" s="20"/>
      <c r="L690" s="20"/>
      <c r="M690" s="20"/>
      <c r="N690" s="20"/>
      <c r="O690" s="20"/>
      <c r="P690" s="20"/>
      <c r="Q690" s="20"/>
      <c r="R690" s="20"/>
      <c r="S690" s="20"/>
      <c r="T690" s="20"/>
      <c r="U690" s="20"/>
      <c r="V690" s="20"/>
      <c r="W690" s="20"/>
      <c r="X690" s="20"/>
      <c r="Y690" s="20"/>
      <c r="Z690" s="20"/>
    </row>
    <row r="691" ht="13.5" customHeight="1" spans="1:26">
      <c r="A691" s="20"/>
      <c r="B691" s="20"/>
      <c r="C691" s="20"/>
      <c r="D691" s="20"/>
      <c r="E691" s="20"/>
      <c r="F691" s="20"/>
      <c r="G691" s="20"/>
      <c r="H691" s="20"/>
      <c r="I691" s="20"/>
      <c r="J691" s="20"/>
      <c r="K691" s="20"/>
      <c r="L691" s="20"/>
      <c r="M691" s="20"/>
      <c r="N691" s="20"/>
      <c r="O691" s="20"/>
      <c r="P691" s="20"/>
      <c r="Q691" s="20"/>
      <c r="R691" s="20"/>
      <c r="S691" s="20"/>
      <c r="T691" s="20"/>
      <c r="U691" s="20"/>
      <c r="V691" s="20"/>
      <c r="W691" s="20"/>
      <c r="X691" s="20"/>
      <c r="Y691" s="20"/>
      <c r="Z691" s="20"/>
    </row>
    <row r="692" ht="13.5" customHeight="1" spans="1:26">
      <c r="A692" s="20"/>
      <c r="B692" s="20"/>
      <c r="C692" s="20"/>
      <c r="D692" s="20"/>
      <c r="E692" s="20"/>
      <c r="F692" s="20"/>
      <c r="G692" s="20"/>
      <c r="H692" s="20"/>
      <c r="I692" s="20"/>
      <c r="J692" s="20"/>
      <c r="K692" s="20"/>
      <c r="L692" s="20"/>
      <c r="M692" s="20"/>
      <c r="N692" s="20"/>
      <c r="O692" s="20"/>
      <c r="P692" s="20"/>
      <c r="Q692" s="20"/>
      <c r="R692" s="20"/>
      <c r="S692" s="20"/>
      <c r="T692" s="20"/>
      <c r="U692" s="20"/>
      <c r="V692" s="20"/>
      <c r="W692" s="20"/>
      <c r="X692" s="20"/>
      <c r="Y692" s="20"/>
      <c r="Z692" s="20"/>
    </row>
    <row r="693" ht="13.5" customHeight="1" spans="1:26">
      <c r="A693" s="20"/>
      <c r="B693" s="20"/>
      <c r="C693" s="20"/>
      <c r="D693" s="20"/>
      <c r="E693" s="20"/>
      <c r="F693" s="20"/>
      <c r="G693" s="20"/>
      <c r="H693" s="20"/>
      <c r="I693" s="20"/>
      <c r="J693" s="20"/>
      <c r="K693" s="20"/>
      <c r="L693" s="20"/>
      <c r="M693" s="20"/>
      <c r="N693" s="20"/>
      <c r="O693" s="20"/>
      <c r="P693" s="20"/>
      <c r="Q693" s="20"/>
      <c r="R693" s="20"/>
      <c r="S693" s="20"/>
      <c r="T693" s="20"/>
      <c r="U693" s="20"/>
      <c r="V693" s="20"/>
      <c r="W693" s="20"/>
      <c r="X693" s="20"/>
      <c r="Y693" s="20"/>
      <c r="Z693" s="20"/>
    </row>
    <row r="694" ht="13.5" customHeight="1" spans="1:26">
      <c r="A694" s="20"/>
      <c r="B694" s="20"/>
      <c r="C694" s="20"/>
      <c r="D694" s="20"/>
      <c r="E694" s="20"/>
      <c r="F694" s="20"/>
      <c r="G694" s="20"/>
      <c r="H694" s="20"/>
      <c r="I694" s="20"/>
      <c r="J694" s="20"/>
      <c r="K694" s="20"/>
      <c r="L694" s="20"/>
      <c r="M694" s="20"/>
      <c r="N694" s="20"/>
      <c r="O694" s="20"/>
      <c r="P694" s="20"/>
      <c r="Q694" s="20"/>
      <c r="R694" s="20"/>
      <c r="S694" s="20"/>
      <c r="T694" s="20"/>
      <c r="U694" s="20"/>
      <c r="V694" s="20"/>
      <c r="W694" s="20"/>
      <c r="X694" s="20"/>
      <c r="Y694" s="20"/>
      <c r="Z694" s="20"/>
    </row>
    <row r="695" ht="13.5" customHeight="1" spans="1:26">
      <c r="A695" s="20"/>
      <c r="B695" s="20"/>
      <c r="C695" s="20"/>
      <c r="D695" s="20"/>
      <c r="E695" s="20"/>
      <c r="F695" s="20"/>
      <c r="G695" s="20"/>
      <c r="H695" s="20"/>
      <c r="I695" s="20"/>
      <c r="J695" s="20"/>
      <c r="K695" s="20"/>
      <c r="L695" s="20"/>
      <c r="M695" s="20"/>
      <c r="N695" s="20"/>
      <c r="O695" s="20"/>
      <c r="P695" s="20"/>
      <c r="Q695" s="20"/>
      <c r="R695" s="20"/>
      <c r="S695" s="20"/>
      <c r="T695" s="20"/>
      <c r="U695" s="20"/>
      <c r="V695" s="20"/>
      <c r="W695" s="20"/>
      <c r="X695" s="20"/>
      <c r="Y695" s="20"/>
      <c r="Z695" s="20"/>
    </row>
    <row r="696" ht="13.5" customHeight="1" spans="1:26">
      <c r="A696" s="20"/>
      <c r="B696" s="20"/>
      <c r="C696" s="20"/>
      <c r="D696" s="20"/>
      <c r="E696" s="20"/>
      <c r="F696" s="20"/>
      <c r="G696" s="20"/>
      <c r="H696" s="20"/>
      <c r="I696" s="20"/>
      <c r="J696" s="20"/>
      <c r="K696" s="20"/>
      <c r="L696" s="20"/>
      <c r="M696" s="20"/>
      <c r="N696" s="20"/>
      <c r="O696" s="20"/>
      <c r="P696" s="20"/>
      <c r="Q696" s="20"/>
      <c r="R696" s="20"/>
      <c r="S696" s="20"/>
      <c r="T696" s="20"/>
      <c r="U696" s="20"/>
      <c r="V696" s="20"/>
      <c r="W696" s="20"/>
      <c r="X696" s="20"/>
      <c r="Y696" s="20"/>
      <c r="Z696" s="20"/>
    </row>
    <row r="697" ht="13.5" customHeight="1" spans="1:26">
      <c r="A697" s="20"/>
      <c r="B697" s="20"/>
      <c r="C697" s="20"/>
      <c r="D697" s="20"/>
      <c r="E697" s="20"/>
      <c r="F697" s="20"/>
      <c r="G697" s="20"/>
      <c r="H697" s="20"/>
      <c r="I697" s="20"/>
      <c r="J697" s="20"/>
      <c r="K697" s="20"/>
      <c r="L697" s="20"/>
      <c r="M697" s="20"/>
      <c r="N697" s="20"/>
      <c r="O697" s="20"/>
      <c r="P697" s="20"/>
      <c r="Q697" s="20"/>
      <c r="R697" s="20"/>
      <c r="S697" s="20"/>
      <c r="T697" s="20"/>
      <c r="U697" s="20"/>
      <c r="V697" s="20"/>
      <c r="W697" s="20"/>
      <c r="X697" s="20"/>
      <c r="Y697" s="20"/>
      <c r="Z697" s="20"/>
    </row>
    <row r="698" ht="13.5" customHeight="1" spans="1:26">
      <c r="A698" s="20"/>
      <c r="B698" s="20"/>
      <c r="C698" s="20"/>
      <c r="D698" s="20"/>
      <c r="E698" s="20"/>
      <c r="F698" s="20"/>
      <c r="G698" s="20"/>
      <c r="H698" s="20"/>
      <c r="I698" s="20"/>
      <c r="J698" s="20"/>
      <c r="K698" s="20"/>
      <c r="L698" s="20"/>
      <c r="M698" s="20"/>
      <c r="N698" s="20"/>
      <c r="O698" s="20"/>
      <c r="P698" s="20"/>
      <c r="Q698" s="20"/>
      <c r="R698" s="20"/>
      <c r="S698" s="20"/>
      <c r="T698" s="20"/>
      <c r="U698" s="20"/>
      <c r="V698" s="20"/>
      <c r="W698" s="20"/>
      <c r="X698" s="20"/>
      <c r="Y698" s="20"/>
      <c r="Z698" s="20"/>
    </row>
    <row r="699" ht="13.5" customHeight="1" spans="1:26">
      <c r="A699" s="20"/>
      <c r="B699" s="20"/>
      <c r="C699" s="20"/>
      <c r="D699" s="20"/>
      <c r="E699" s="20"/>
      <c r="F699" s="20"/>
      <c r="G699" s="20"/>
      <c r="H699" s="20"/>
      <c r="I699" s="20"/>
      <c r="J699" s="20"/>
      <c r="K699" s="20"/>
      <c r="L699" s="20"/>
      <c r="M699" s="20"/>
      <c r="N699" s="20"/>
      <c r="O699" s="20"/>
      <c r="P699" s="20"/>
      <c r="Q699" s="20"/>
      <c r="R699" s="20"/>
      <c r="S699" s="20"/>
      <c r="T699" s="20"/>
      <c r="U699" s="20"/>
      <c r="V699" s="20"/>
      <c r="W699" s="20"/>
      <c r="X699" s="20"/>
      <c r="Y699" s="20"/>
      <c r="Z699" s="20"/>
    </row>
    <row r="700" ht="13.5" customHeight="1" spans="1:26">
      <c r="A700" s="20"/>
      <c r="B700" s="20"/>
      <c r="C700" s="20"/>
      <c r="D700" s="20"/>
      <c r="E700" s="20"/>
      <c r="F700" s="20"/>
      <c r="G700" s="20"/>
      <c r="H700" s="20"/>
      <c r="I700" s="20"/>
      <c r="J700" s="20"/>
      <c r="K700" s="20"/>
      <c r="L700" s="20"/>
      <c r="M700" s="20"/>
      <c r="N700" s="20"/>
      <c r="O700" s="20"/>
      <c r="P700" s="20"/>
      <c r="Q700" s="20"/>
      <c r="R700" s="20"/>
      <c r="S700" s="20"/>
      <c r="T700" s="20"/>
      <c r="U700" s="20"/>
      <c r="V700" s="20"/>
      <c r="W700" s="20"/>
      <c r="X700" s="20"/>
      <c r="Y700" s="20"/>
      <c r="Z700" s="20"/>
    </row>
    <row r="701" ht="13.5" customHeight="1" spans="1:26">
      <c r="A701" s="20"/>
      <c r="B701" s="20"/>
      <c r="C701" s="20"/>
      <c r="D701" s="20"/>
      <c r="E701" s="20"/>
      <c r="F701" s="20"/>
      <c r="G701" s="20"/>
      <c r="H701" s="20"/>
      <c r="I701" s="20"/>
      <c r="J701" s="20"/>
      <c r="K701" s="20"/>
      <c r="L701" s="20"/>
      <c r="M701" s="20"/>
      <c r="N701" s="20"/>
      <c r="O701" s="20"/>
      <c r="P701" s="20"/>
      <c r="Q701" s="20"/>
      <c r="R701" s="20"/>
      <c r="S701" s="20"/>
      <c r="T701" s="20"/>
      <c r="U701" s="20"/>
      <c r="V701" s="20"/>
      <c r="W701" s="20"/>
      <c r="X701" s="20"/>
      <c r="Y701" s="20"/>
      <c r="Z701" s="20"/>
    </row>
    <row r="702" ht="13.5" customHeight="1" spans="1:26">
      <c r="A702" s="20"/>
      <c r="B702" s="20"/>
      <c r="C702" s="20"/>
      <c r="D702" s="20"/>
      <c r="E702" s="20"/>
      <c r="F702" s="20"/>
      <c r="G702" s="20"/>
      <c r="H702" s="20"/>
      <c r="I702" s="20"/>
      <c r="J702" s="20"/>
      <c r="K702" s="20"/>
      <c r="L702" s="20"/>
      <c r="M702" s="20"/>
      <c r="N702" s="20"/>
      <c r="O702" s="20"/>
      <c r="P702" s="20"/>
      <c r="Q702" s="20"/>
      <c r="R702" s="20"/>
      <c r="S702" s="20"/>
      <c r="T702" s="20"/>
      <c r="U702" s="20"/>
      <c r="V702" s="20"/>
      <c r="W702" s="20"/>
      <c r="X702" s="20"/>
      <c r="Y702" s="20"/>
      <c r="Z702" s="20"/>
    </row>
    <row r="703" ht="13.5" customHeight="1" spans="1:26">
      <c r="A703" s="20"/>
      <c r="B703" s="20"/>
      <c r="C703" s="20"/>
      <c r="D703" s="20"/>
      <c r="E703" s="20"/>
      <c r="F703" s="20"/>
      <c r="G703" s="20"/>
      <c r="H703" s="20"/>
      <c r="I703" s="20"/>
      <c r="J703" s="20"/>
      <c r="K703" s="20"/>
      <c r="L703" s="20"/>
      <c r="M703" s="20"/>
      <c r="N703" s="20"/>
      <c r="O703" s="20"/>
      <c r="P703" s="20"/>
      <c r="Q703" s="20"/>
      <c r="R703" s="20"/>
      <c r="S703" s="20"/>
      <c r="T703" s="20"/>
      <c r="U703" s="20"/>
      <c r="V703" s="20"/>
      <c r="W703" s="20"/>
      <c r="X703" s="20"/>
      <c r="Y703" s="20"/>
      <c r="Z703" s="20"/>
    </row>
    <row r="704" ht="13.5" customHeight="1" spans="1:26">
      <c r="A704" s="20"/>
      <c r="B704" s="20"/>
      <c r="C704" s="20"/>
      <c r="D704" s="20"/>
      <c r="E704" s="20"/>
      <c r="F704" s="20"/>
      <c r="G704" s="20"/>
      <c r="H704" s="20"/>
      <c r="I704" s="20"/>
      <c r="J704" s="20"/>
      <c r="K704" s="20"/>
      <c r="L704" s="20"/>
      <c r="M704" s="20"/>
      <c r="N704" s="20"/>
      <c r="O704" s="20"/>
      <c r="P704" s="20"/>
      <c r="Q704" s="20"/>
      <c r="R704" s="20"/>
      <c r="S704" s="20"/>
      <c r="T704" s="20"/>
      <c r="U704" s="20"/>
      <c r="V704" s="20"/>
      <c r="W704" s="20"/>
      <c r="X704" s="20"/>
      <c r="Y704" s="20"/>
      <c r="Z704" s="20"/>
    </row>
    <row r="705" ht="13.5" customHeight="1" spans="1:26">
      <c r="A705" s="20"/>
      <c r="B705" s="20"/>
      <c r="C705" s="20"/>
      <c r="D705" s="20"/>
      <c r="E705" s="20"/>
      <c r="F705" s="20"/>
      <c r="G705" s="20"/>
      <c r="H705" s="20"/>
      <c r="I705" s="20"/>
      <c r="J705" s="20"/>
      <c r="K705" s="20"/>
      <c r="L705" s="20"/>
      <c r="M705" s="20"/>
      <c r="N705" s="20"/>
      <c r="O705" s="20"/>
      <c r="P705" s="20"/>
      <c r="Q705" s="20"/>
      <c r="R705" s="20"/>
      <c r="S705" s="20"/>
      <c r="T705" s="20"/>
      <c r="U705" s="20"/>
      <c r="V705" s="20"/>
      <c r="W705" s="20"/>
      <c r="X705" s="20"/>
      <c r="Y705" s="20"/>
      <c r="Z705" s="20"/>
    </row>
    <row r="706" ht="13.5" customHeight="1" spans="1:26">
      <c r="A706" s="20"/>
      <c r="B706" s="20"/>
      <c r="C706" s="20"/>
      <c r="D706" s="20"/>
      <c r="E706" s="20"/>
      <c r="F706" s="20"/>
      <c r="G706" s="20"/>
      <c r="H706" s="20"/>
      <c r="I706" s="20"/>
      <c r="J706" s="20"/>
      <c r="K706" s="20"/>
      <c r="L706" s="20"/>
      <c r="M706" s="20"/>
      <c r="N706" s="20"/>
      <c r="O706" s="20"/>
      <c r="P706" s="20"/>
      <c r="Q706" s="20"/>
      <c r="R706" s="20"/>
      <c r="S706" s="20"/>
      <c r="T706" s="20"/>
      <c r="U706" s="20"/>
      <c r="V706" s="20"/>
      <c r="W706" s="20"/>
      <c r="X706" s="20"/>
      <c r="Y706" s="20"/>
      <c r="Z706" s="20"/>
    </row>
    <row r="707" ht="13.5" customHeight="1" spans="1:26">
      <c r="A707" s="20"/>
      <c r="B707" s="20"/>
      <c r="C707" s="20"/>
      <c r="D707" s="20"/>
      <c r="E707" s="20"/>
      <c r="F707" s="20"/>
      <c r="G707" s="20"/>
      <c r="H707" s="20"/>
      <c r="I707" s="20"/>
      <c r="J707" s="20"/>
      <c r="K707" s="20"/>
      <c r="L707" s="20"/>
      <c r="M707" s="20"/>
      <c r="N707" s="20"/>
      <c r="O707" s="20"/>
      <c r="P707" s="20"/>
      <c r="Q707" s="20"/>
      <c r="R707" s="20"/>
      <c r="S707" s="20"/>
      <c r="T707" s="20"/>
      <c r="U707" s="20"/>
      <c r="V707" s="20"/>
      <c r="W707" s="20"/>
      <c r="X707" s="20"/>
      <c r="Y707" s="20"/>
      <c r="Z707" s="20"/>
    </row>
    <row r="708" ht="13.5" customHeight="1" spans="1:26">
      <c r="A708" s="20"/>
      <c r="B708" s="20"/>
      <c r="C708" s="20"/>
      <c r="D708" s="20"/>
      <c r="E708" s="20"/>
      <c r="F708" s="20"/>
      <c r="G708" s="20"/>
      <c r="H708" s="20"/>
      <c r="I708" s="20"/>
      <c r="J708" s="20"/>
      <c r="K708" s="20"/>
      <c r="L708" s="20"/>
      <c r="M708" s="20"/>
      <c r="N708" s="20"/>
      <c r="O708" s="20"/>
      <c r="P708" s="20"/>
      <c r="Q708" s="20"/>
      <c r="R708" s="20"/>
      <c r="S708" s="20"/>
      <c r="T708" s="20"/>
      <c r="U708" s="20"/>
      <c r="V708" s="20"/>
      <c r="W708" s="20"/>
      <c r="X708" s="20"/>
      <c r="Y708" s="20"/>
      <c r="Z708" s="20"/>
    </row>
    <row r="709" ht="13.5" customHeight="1" spans="1:26">
      <c r="A709" s="20"/>
      <c r="B709" s="20"/>
      <c r="C709" s="20"/>
      <c r="D709" s="20"/>
      <c r="E709" s="20"/>
      <c r="F709" s="20"/>
      <c r="G709" s="20"/>
      <c r="H709" s="20"/>
      <c r="I709" s="20"/>
      <c r="J709" s="20"/>
      <c r="K709" s="20"/>
      <c r="L709" s="20"/>
      <c r="M709" s="20"/>
      <c r="N709" s="20"/>
      <c r="O709" s="20"/>
      <c r="P709" s="20"/>
      <c r="Q709" s="20"/>
      <c r="R709" s="20"/>
      <c r="S709" s="20"/>
      <c r="T709" s="20"/>
      <c r="U709" s="20"/>
      <c r="V709" s="20"/>
      <c r="W709" s="20"/>
      <c r="X709" s="20"/>
      <c r="Y709" s="20"/>
      <c r="Z709" s="20"/>
    </row>
    <row r="710" ht="13.5" customHeight="1" spans="1:26">
      <c r="A710" s="20"/>
      <c r="B710" s="20"/>
      <c r="C710" s="20"/>
      <c r="D710" s="20"/>
      <c r="E710" s="20"/>
      <c r="F710" s="20"/>
      <c r="G710" s="20"/>
      <c r="H710" s="20"/>
      <c r="I710" s="20"/>
      <c r="J710" s="20"/>
      <c r="K710" s="20"/>
      <c r="L710" s="20"/>
      <c r="M710" s="20"/>
      <c r="N710" s="20"/>
      <c r="O710" s="20"/>
      <c r="P710" s="20"/>
      <c r="Q710" s="20"/>
      <c r="R710" s="20"/>
      <c r="S710" s="20"/>
      <c r="T710" s="20"/>
      <c r="U710" s="20"/>
      <c r="V710" s="20"/>
      <c r="W710" s="20"/>
      <c r="X710" s="20"/>
      <c r="Y710" s="20"/>
      <c r="Z710" s="20"/>
    </row>
    <row r="711" ht="13.5" customHeight="1" spans="1:26">
      <c r="A711" s="20"/>
      <c r="B711" s="20"/>
      <c r="C711" s="20"/>
      <c r="D711" s="20"/>
      <c r="E711" s="20"/>
      <c r="F711" s="20"/>
      <c r="G711" s="20"/>
      <c r="H711" s="20"/>
      <c r="I711" s="20"/>
      <c r="J711" s="20"/>
      <c r="K711" s="20"/>
      <c r="L711" s="20"/>
      <c r="M711" s="20"/>
      <c r="N711" s="20"/>
      <c r="O711" s="20"/>
      <c r="P711" s="20"/>
      <c r="Q711" s="20"/>
      <c r="R711" s="20"/>
      <c r="S711" s="20"/>
      <c r="T711" s="20"/>
      <c r="U711" s="20"/>
      <c r="V711" s="20"/>
      <c r="W711" s="20"/>
      <c r="X711" s="20"/>
      <c r="Y711" s="20"/>
      <c r="Z711" s="20"/>
    </row>
    <row r="712" ht="13.5" customHeight="1" spans="1:26">
      <c r="A712" s="20"/>
      <c r="B712" s="20"/>
      <c r="C712" s="20"/>
      <c r="D712" s="20"/>
      <c r="E712" s="20"/>
      <c r="F712" s="20"/>
      <c r="G712" s="20"/>
      <c r="H712" s="20"/>
      <c r="I712" s="20"/>
      <c r="J712" s="20"/>
      <c r="K712" s="20"/>
      <c r="L712" s="20"/>
      <c r="M712" s="20"/>
      <c r="N712" s="20"/>
      <c r="O712" s="20"/>
      <c r="P712" s="20"/>
      <c r="Q712" s="20"/>
      <c r="R712" s="20"/>
      <c r="S712" s="20"/>
      <c r="T712" s="20"/>
      <c r="U712" s="20"/>
      <c r="V712" s="20"/>
      <c r="W712" s="20"/>
      <c r="X712" s="20"/>
      <c r="Y712" s="20"/>
      <c r="Z712" s="20"/>
    </row>
    <row r="713" ht="13.5" customHeight="1" spans="1:26">
      <c r="A713" s="20"/>
      <c r="B713" s="20"/>
      <c r="C713" s="20"/>
      <c r="D713" s="20"/>
      <c r="E713" s="20"/>
      <c r="F713" s="20"/>
      <c r="G713" s="20"/>
      <c r="H713" s="20"/>
      <c r="I713" s="20"/>
      <c r="J713" s="20"/>
      <c r="K713" s="20"/>
      <c r="L713" s="20"/>
      <c r="M713" s="20"/>
      <c r="N713" s="20"/>
      <c r="O713" s="20"/>
      <c r="P713" s="20"/>
      <c r="Q713" s="20"/>
      <c r="R713" s="20"/>
      <c r="S713" s="20"/>
      <c r="T713" s="20"/>
      <c r="U713" s="20"/>
      <c r="V713" s="20"/>
      <c r="W713" s="20"/>
      <c r="X713" s="20"/>
      <c r="Y713" s="20"/>
      <c r="Z713" s="20"/>
    </row>
    <row r="714" ht="13.5" customHeight="1" spans="1:26">
      <c r="A714" s="20"/>
      <c r="B714" s="20"/>
      <c r="C714" s="20"/>
      <c r="D714" s="20"/>
      <c r="E714" s="20"/>
      <c r="F714" s="20"/>
      <c r="G714" s="20"/>
      <c r="H714" s="20"/>
      <c r="I714" s="20"/>
      <c r="J714" s="20"/>
      <c r="K714" s="20"/>
      <c r="L714" s="20"/>
      <c r="M714" s="20"/>
      <c r="N714" s="20"/>
      <c r="O714" s="20"/>
      <c r="P714" s="20"/>
      <c r="Q714" s="20"/>
      <c r="R714" s="20"/>
      <c r="S714" s="20"/>
      <c r="T714" s="20"/>
      <c r="U714" s="20"/>
      <c r="V714" s="20"/>
      <c r="W714" s="20"/>
      <c r="X714" s="20"/>
      <c r="Y714" s="20"/>
      <c r="Z714" s="20"/>
    </row>
    <row r="715" ht="13.5" customHeight="1" spans="1:26">
      <c r="A715" s="20"/>
      <c r="B715" s="20"/>
      <c r="C715" s="20"/>
      <c r="D715" s="20"/>
      <c r="E715" s="20"/>
      <c r="F715" s="20"/>
      <c r="G715" s="20"/>
      <c r="H715" s="20"/>
      <c r="I715" s="20"/>
      <c r="J715" s="20"/>
      <c r="K715" s="20"/>
      <c r="L715" s="20"/>
      <c r="M715" s="20"/>
      <c r="N715" s="20"/>
      <c r="O715" s="20"/>
      <c r="P715" s="20"/>
      <c r="Q715" s="20"/>
      <c r="R715" s="20"/>
      <c r="S715" s="20"/>
      <c r="T715" s="20"/>
      <c r="U715" s="20"/>
      <c r="V715" s="20"/>
      <c r="W715" s="20"/>
      <c r="X715" s="20"/>
      <c r="Y715" s="20"/>
      <c r="Z715" s="20"/>
    </row>
    <row r="716" ht="13.5" customHeight="1" spans="1:26">
      <c r="A716" s="20"/>
      <c r="B716" s="20"/>
      <c r="C716" s="20"/>
      <c r="D716" s="20"/>
      <c r="E716" s="20"/>
      <c r="F716" s="20"/>
      <c r="G716" s="20"/>
      <c r="H716" s="20"/>
      <c r="I716" s="20"/>
      <c r="J716" s="20"/>
      <c r="K716" s="20"/>
      <c r="L716" s="20"/>
      <c r="M716" s="20"/>
      <c r="N716" s="20"/>
      <c r="O716" s="20"/>
      <c r="P716" s="20"/>
      <c r="Q716" s="20"/>
      <c r="R716" s="20"/>
      <c r="S716" s="20"/>
      <c r="T716" s="20"/>
      <c r="U716" s="20"/>
      <c r="V716" s="20"/>
      <c r="W716" s="20"/>
      <c r="X716" s="20"/>
      <c r="Y716" s="20"/>
      <c r="Z716" s="20"/>
    </row>
    <row r="717" ht="13.5" customHeight="1" spans="1:26">
      <c r="A717" s="20"/>
      <c r="B717" s="20"/>
      <c r="C717" s="20"/>
      <c r="D717" s="20"/>
      <c r="E717" s="20"/>
      <c r="F717" s="20"/>
      <c r="G717" s="20"/>
      <c r="H717" s="20"/>
      <c r="I717" s="20"/>
      <c r="J717" s="20"/>
      <c r="K717" s="20"/>
      <c r="L717" s="20"/>
      <c r="M717" s="20"/>
      <c r="N717" s="20"/>
      <c r="O717" s="20"/>
      <c r="P717" s="20"/>
      <c r="Q717" s="20"/>
      <c r="R717" s="20"/>
      <c r="S717" s="20"/>
      <c r="T717" s="20"/>
      <c r="U717" s="20"/>
      <c r="V717" s="20"/>
      <c r="W717" s="20"/>
      <c r="X717" s="20"/>
      <c r="Y717" s="20"/>
      <c r="Z717" s="20"/>
    </row>
    <row r="718" ht="13.5" customHeight="1" spans="1:26">
      <c r="A718" s="20"/>
      <c r="B718" s="20"/>
      <c r="C718" s="20"/>
      <c r="D718" s="20"/>
      <c r="E718" s="20"/>
      <c r="F718" s="20"/>
      <c r="G718" s="20"/>
      <c r="H718" s="20"/>
      <c r="I718" s="20"/>
      <c r="J718" s="20"/>
      <c r="K718" s="20"/>
      <c r="L718" s="20"/>
      <c r="M718" s="20"/>
      <c r="N718" s="20"/>
      <c r="O718" s="20"/>
      <c r="P718" s="20"/>
      <c r="Q718" s="20"/>
      <c r="R718" s="20"/>
      <c r="S718" s="20"/>
      <c r="T718" s="20"/>
      <c r="U718" s="20"/>
      <c r="V718" s="20"/>
      <c r="W718" s="20"/>
      <c r="X718" s="20"/>
      <c r="Y718" s="20"/>
      <c r="Z718" s="20"/>
    </row>
    <row r="719" ht="13.5" customHeight="1" spans="1:26">
      <c r="A719" s="20"/>
      <c r="B719" s="20"/>
      <c r="C719" s="20"/>
      <c r="D719" s="20"/>
      <c r="E719" s="20"/>
      <c r="F719" s="20"/>
      <c r="G719" s="20"/>
      <c r="H719" s="20"/>
      <c r="I719" s="20"/>
      <c r="J719" s="20"/>
      <c r="K719" s="20"/>
      <c r="L719" s="20"/>
      <c r="M719" s="20"/>
      <c r="N719" s="20"/>
      <c r="O719" s="20"/>
      <c r="P719" s="20"/>
      <c r="Q719" s="20"/>
      <c r="R719" s="20"/>
      <c r="S719" s="20"/>
      <c r="T719" s="20"/>
      <c r="U719" s="20"/>
      <c r="V719" s="20"/>
      <c r="W719" s="20"/>
      <c r="X719" s="20"/>
      <c r="Y719" s="20"/>
      <c r="Z719" s="20"/>
    </row>
    <row r="720" ht="13.5" customHeight="1" spans="1:26">
      <c r="A720" s="20"/>
      <c r="B720" s="20"/>
      <c r="C720" s="20"/>
      <c r="D720" s="20"/>
      <c r="E720" s="20"/>
      <c r="F720" s="20"/>
      <c r="G720" s="20"/>
      <c r="H720" s="20"/>
      <c r="I720" s="20"/>
      <c r="J720" s="20"/>
      <c r="K720" s="20"/>
      <c r="L720" s="20"/>
      <c r="M720" s="20"/>
      <c r="N720" s="20"/>
      <c r="O720" s="20"/>
      <c r="P720" s="20"/>
      <c r="Q720" s="20"/>
      <c r="R720" s="20"/>
      <c r="S720" s="20"/>
      <c r="T720" s="20"/>
      <c r="U720" s="20"/>
      <c r="V720" s="20"/>
      <c r="W720" s="20"/>
      <c r="X720" s="20"/>
      <c r="Y720" s="20"/>
      <c r="Z720" s="20"/>
    </row>
    <row r="721" ht="13.5" customHeight="1" spans="1:26">
      <c r="A721" s="20"/>
      <c r="B721" s="20"/>
      <c r="C721" s="20"/>
      <c r="D721" s="20"/>
      <c r="E721" s="20"/>
      <c r="F721" s="20"/>
      <c r="G721" s="20"/>
      <c r="H721" s="20"/>
      <c r="I721" s="20"/>
      <c r="J721" s="20"/>
      <c r="K721" s="20"/>
      <c r="L721" s="20"/>
      <c r="M721" s="20"/>
      <c r="N721" s="20"/>
      <c r="O721" s="20"/>
      <c r="P721" s="20"/>
      <c r="Q721" s="20"/>
      <c r="R721" s="20"/>
      <c r="S721" s="20"/>
      <c r="T721" s="20"/>
      <c r="U721" s="20"/>
      <c r="V721" s="20"/>
      <c r="W721" s="20"/>
      <c r="X721" s="20"/>
      <c r="Y721" s="20"/>
      <c r="Z721" s="20"/>
    </row>
    <row r="722" ht="13.5" customHeight="1" spans="1:26">
      <c r="A722" s="20"/>
      <c r="B722" s="20"/>
      <c r="C722" s="20"/>
      <c r="D722" s="20"/>
      <c r="E722" s="20"/>
      <c r="F722" s="20"/>
      <c r="G722" s="20"/>
      <c r="H722" s="20"/>
      <c r="I722" s="20"/>
      <c r="J722" s="20"/>
      <c r="K722" s="20"/>
      <c r="L722" s="20"/>
      <c r="M722" s="20"/>
      <c r="N722" s="20"/>
      <c r="O722" s="20"/>
      <c r="P722" s="20"/>
      <c r="Q722" s="20"/>
      <c r="R722" s="20"/>
      <c r="S722" s="20"/>
      <c r="T722" s="20"/>
      <c r="U722" s="20"/>
      <c r="V722" s="20"/>
      <c r="W722" s="20"/>
      <c r="X722" s="20"/>
      <c r="Y722" s="20"/>
      <c r="Z722" s="20"/>
    </row>
    <row r="723" ht="13.5" customHeight="1" spans="1:26">
      <c r="A723" s="20"/>
      <c r="B723" s="20"/>
      <c r="C723" s="20"/>
      <c r="D723" s="20"/>
      <c r="E723" s="20"/>
      <c r="F723" s="20"/>
      <c r="G723" s="20"/>
      <c r="H723" s="20"/>
      <c r="I723" s="20"/>
      <c r="J723" s="20"/>
      <c r="K723" s="20"/>
      <c r="L723" s="20"/>
      <c r="M723" s="20"/>
      <c r="N723" s="20"/>
      <c r="O723" s="20"/>
      <c r="P723" s="20"/>
      <c r="Q723" s="20"/>
      <c r="R723" s="20"/>
      <c r="S723" s="20"/>
      <c r="T723" s="20"/>
      <c r="U723" s="20"/>
      <c r="V723" s="20"/>
      <c r="W723" s="20"/>
      <c r="X723" s="20"/>
      <c r="Y723" s="20"/>
      <c r="Z723" s="20"/>
    </row>
    <row r="724" ht="13.5" customHeight="1" spans="1:26">
      <c r="A724" s="20"/>
      <c r="B724" s="20"/>
      <c r="C724" s="20"/>
      <c r="D724" s="20"/>
      <c r="E724" s="20"/>
      <c r="F724" s="20"/>
      <c r="G724" s="20"/>
      <c r="H724" s="20"/>
      <c r="I724" s="20"/>
      <c r="J724" s="20"/>
      <c r="K724" s="20"/>
      <c r="L724" s="20"/>
      <c r="M724" s="20"/>
      <c r="N724" s="20"/>
      <c r="O724" s="20"/>
      <c r="P724" s="20"/>
      <c r="Q724" s="20"/>
      <c r="R724" s="20"/>
      <c r="S724" s="20"/>
      <c r="T724" s="20"/>
      <c r="U724" s="20"/>
      <c r="V724" s="20"/>
      <c r="W724" s="20"/>
      <c r="X724" s="20"/>
      <c r="Y724" s="20"/>
      <c r="Z724" s="20"/>
    </row>
    <row r="725" ht="13.5" customHeight="1" spans="1:26">
      <c r="A725" s="20"/>
      <c r="B725" s="20"/>
      <c r="C725" s="20"/>
      <c r="D725" s="20"/>
      <c r="E725" s="20"/>
      <c r="F725" s="20"/>
      <c r="G725" s="20"/>
      <c r="H725" s="20"/>
      <c r="I725" s="20"/>
      <c r="J725" s="20"/>
      <c r="K725" s="20"/>
      <c r="L725" s="20"/>
      <c r="M725" s="20"/>
      <c r="N725" s="20"/>
      <c r="O725" s="20"/>
      <c r="P725" s="20"/>
      <c r="Q725" s="20"/>
      <c r="R725" s="20"/>
      <c r="S725" s="20"/>
      <c r="T725" s="20"/>
      <c r="U725" s="20"/>
      <c r="V725" s="20"/>
      <c r="W725" s="20"/>
      <c r="X725" s="20"/>
      <c r="Y725" s="20"/>
      <c r="Z725" s="20"/>
    </row>
    <row r="726" ht="13.5" customHeight="1" spans="1:26">
      <c r="A726" s="20"/>
      <c r="B726" s="20"/>
      <c r="C726" s="20"/>
      <c r="D726" s="20"/>
      <c r="E726" s="20"/>
      <c r="F726" s="20"/>
      <c r="G726" s="20"/>
      <c r="H726" s="20"/>
      <c r="I726" s="20"/>
      <c r="J726" s="20"/>
      <c r="K726" s="20"/>
      <c r="L726" s="20"/>
      <c r="M726" s="20"/>
      <c r="N726" s="20"/>
      <c r="O726" s="20"/>
      <c r="P726" s="20"/>
      <c r="Q726" s="20"/>
      <c r="R726" s="20"/>
      <c r="S726" s="20"/>
      <c r="T726" s="20"/>
      <c r="U726" s="20"/>
      <c r="V726" s="20"/>
      <c r="W726" s="20"/>
      <c r="X726" s="20"/>
      <c r="Y726" s="20"/>
      <c r="Z726" s="20"/>
    </row>
    <row r="727" ht="13.5" customHeight="1" spans="1:26">
      <c r="A727" s="20"/>
      <c r="B727" s="20"/>
      <c r="C727" s="20"/>
      <c r="D727" s="20"/>
      <c r="E727" s="20"/>
      <c r="F727" s="20"/>
      <c r="G727" s="20"/>
      <c r="H727" s="20"/>
      <c r="I727" s="20"/>
      <c r="J727" s="20"/>
      <c r="K727" s="20"/>
      <c r="L727" s="20"/>
      <c r="M727" s="20"/>
      <c r="N727" s="20"/>
      <c r="O727" s="20"/>
      <c r="P727" s="20"/>
      <c r="Q727" s="20"/>
      <c r="R727" s="20"/>
      <c r="S727" s="20"/>
      <c r="T727" s="20"/>
      <c r="U727" s="20"/>
      <c r="V727" s="20"/>
      <c r="W727" s="20"/>
      <c r="X727" s="20"/>
      <c r="Y727" s="20"/>
      <c r="Z727" s="20"/>
    </row>
    <row r="728" ht="13.5" customHeight="1" spans="1:26">
      <c r="A728" s="20"/>
      <c r="B728" s="20"/>
      <c r="C728" s="20"/>
      <c r="D728" s="20"/>
      <c r="E728" s="20"/>
      <c r="F728" s="20"/>
      <c r="G728" s="20"/>
      <c r="H728" s="20"/>
      <c r="I728" s="20"/>
      <c r="J728" s="20"/>
      <c r="K728" s="20"/>
      <c r="L728" s="20"/>
      <c r="M728" s="20"/>
      <c r="N728" s="20"/>
      <c r="O728" s="20"/>
      <c r="P728" s="20"/>
      <c r="Q728" s="20"/>
      <c r="R728" s="20"/>
      <c r="S728" s="20"/>
      <c r="T728" s="20"/>
      <c r="U728" s="20"/>
      <c r="V728" s="20"/>
      <c r="W728" s="20"/>
      <c r="X728" s="20"/>
      <c r="Y728" s="20"/>
      <c r="Z728" s="20"/>
    </row>
    <row r="729" ht="13.5" customHeight="1" spans="1:26">
      <c r="A729" s="20"/>
      <c r="B729" s="20"/>
      <c r="C729" s="20"/>
      <c r="D729" s="20"/>
      <c r="E729" s="20"/>
      <c r="F729" s="20"/>
      <c r="G729" s="20"/>
      <c r="H729" s="20"/>
      <c r="I729" s="20"/>
      <c r="J729" s="20"/>
      <c r="K729" s="20"/>
      <c r="L729" s="20"/>
      <c r="M729" s="20"/>
      <c r="N729" s="20"/>
      <c r="O729" s="20"/>
      <c r="P729" s="20"/>
      <c r="Q729" s="20"/>
      <c r="R729" s="20"/>
      <c r="S729" s="20"/>
      <c r="T729" s="20"/>
      <c r="U729" s="20"/>
      <c r="V729" s="20"/>
      <c r="W729" s="20"/>
      <c r="X729" s="20"/>
      <c r="Y729" s="20"/>
      <c r="Z729" s="20"/>
    </row>
    <row r="730" ht="13.5" customHeight="1" spans="1:26">
      <c r="A730" s="20"/>
      <c r="B730" s="20"/>
      <c r="C730" s="20"/>
      <c r="D730" s="20"/>
      <c r="E730" s="20"/>
      <c r="F730" s="20"/>
      <c r="G730" s="20"/>
      <c r="H730" s="20"/>
      <c r="I730" s="20"/>
      <c r="J730" s="20"/>
      <c r="K730" s="20"/>
      <c r="L730" s="20"/>
      <c r="M730" s="20"/>
      <c r="N730" s="20"/>
      <c r="O730" s="20"/>
      <c r="P730" s="20"/>
      <c r="Q730" s="20"/>
      <c r="R730" s="20"/>
      <c r="S730" s="20"/>
      <c r="T730" s="20"/>
      <c r="U730" s="20"/>
      <c r="V730" s="20"/>
      <c r="W730" s="20"/>
      <c r="X730" s="20"/>
      <c r="Y730" s="20"/>
      <c r="Z730" s="20"/>
    </row>
    <row r="731" ht="13.5" customHeight="1" spans="1:26">
      <c r="A731" s="20"/>
      <c r="B731" s="20"/>
      <c r="C731" s="20"/>
      <c r="D731" s="20"/>
      <c r="E731" s="20"/>
      <c r="F731" s="20"/>
      <c r="G731" s="20"/>
      <c r="H731" s="20"/>
      <c r="I731" s="20"/>
      <c r="J731" s="20"/>
      <c r="K731" s="20"/>
      <c r="L731" s="20"/>
      <c r="M731" s="20"/>
      <c r="N731" s="20"/>
      <c r="O731" s="20"/>
      <c r="P731" s="20"/>
      <c r="Q731" s="20"/>
      <c r="R731" s="20"/>
      <c r="S731" s="20"/>
      <c r="T731" s="20"/>
      <c r="U731" s="20"/>
      <c r="V731" s="20"/>
      <c r="W731" s="20"/>
      <c r="X731" s="20"/>
      <c r="Y731" s="20"/>
      <c r="Z731" s="20"/>
    </row>
    <row r="732" ht="13.5" customHeight="1" spans="1:26">
      <c r="A732" s="20"/>
      <c r="B732" s="20"/>
      <c r="C732" s="20"/>
      <c r="D732" s="20"/>
      <c r="E732" s="20"/>
      <c r="F732" s="20"/>
      <c r="G732" s="20"/>
      <c r="H732" s="20"/>
      <c r="I732" s="20"/>
      <c r="J732" s="20"/>
      <c r="K732" s="20"/>
      <c r="L732" s="20"/>
      <c r="M732" s="20"/>
      <c r="N732" s="20"/>
      <c r="O732" s="20"/>
      <c r="P732" s="20"/>
      <c r="Q732" s="20"/>
      <c r="R732" s="20"/>
      <c r="S732" s="20"/>
      <c r="T732" s="20"/>
      <c r="U732" s="20"/>
      <c r="V732" s="20"/>
      <c r="W732" s="20"/>
      <c r="X732" s="20"/>
      <c r="Y732" s="20"/>
      <c r="Z732" s="20"/>
    </row>
    <row r="733" ht="13.5" customHeight="1" spans="1:26">
      <c r="A733" s="20"/>
      <c r="B733" s="20"/>
      <c r="C733" s="20"/>
      <c r="D733" s="20"/>
      <c r="E733" s="20"/>
      <c r="F733" s="20"/>
      <c r="G733" s="20"/>
      <c r="H733" s="20"/>
      <c r="I733" s="20"/>
      <c r="J733" s="20"/>
      <c r="K733" s="20"/>
      <c r="L733" s="20"/>
      <c r="M733" s="20"/>
      <c r="N733" s="20"/>
      <c r="O733" s="20"/>
      <c r="P733" s="20"/>
      <c r="Q733" s="20"/>
      <c r="R733" s="20"/>
      <c r="S733" s="20"/>
      <c r="T733" s="20"/>
      <c r="U733" s="20"/>
      <c r="V733" s="20"/>
      <c r="W733" s="20"/>
      <c r="X733" s="20"/>
      <c r="Y733" s="20"/>
      <c r="Z733" s="20"/>
    </row>
    <row r="734" ht="13.5" customHeight="1" spans="1:26">
      <c r="A734" s="20"/>
      <c r="B734" s="20"/>
      <c r="C734" s="20"/>
      <c r="D734" s="20"/>
      <c r="E734" s="20"/>
      <c r="F734" s="20"/>
      <c r="G734" s="20"/>
      <c r="H734" s="20"/>
      <c r="I734" s="20"/>
      <c r="J734" s="20"/>
      <c r="K734" s="20"/>
      <c r="L734" s="20"/>
      <c r="M734" s="20"/>
      <c r="N734" s="20"/>
      <c r="O734" s="20"/>
      <c r="P734" s="20"/>
      <c r="Q734" s="20"/>
      <c r="R734" s="20"/>
      <c r="S734" s="20"/>
      <c r="T734" s="20"/>
      <c r="U734" s="20"/>
      <c r="V734" s="20"/>
      <c r="W734" s="20"/>
      <c r="X734" s="20"/>
      <c r="Y734" s="20"/>
      <c r="Z734" s="20"/>
    </row>
    <row r="735" ht="13.5" customHeight="1" spans="1:26">
      <c r="A735" s="20"/>
      <c r="B735" s="20"/>
      <c r="C735" s="20"/>
      <c r="D735" s="20"/>
      <c r="E735" s="20"/>
      <c r="F735" s="20"/>
      <c r="G735" s="20"/>
      <c r="H735" s="20"/>
      <c r="I735" s="20"/>
      <c r="J735" s="20"/>
      <c r="K735" s="20"/>
      <c r="L735" s="20"/>
      <c r="M735" s="20"/>
      <c r="N735" s="20"/>
      <c r="O735" s="20"/>
      <c r="P735" s="20"/>
      <c r="Q735" s="20"/>
      <c r="R735" s="20"/>
      <c r="S735" s="20"/>
      <c r="T735" s="20"/>
      <c r="U735" s="20"/>
      <c r="V735" s="20"/>
      <c r="W735" s="20"/>
      <c r="X735" s="20"/>
      <c r="Y735" s="20"/>
      <c r="Z735" s="20"/>
    </row>
    <row r="736" ht="13.5" customHeight="1" spans="1:26">
      <c r="A736" s="20"/>
      <c r="B736" s="20"/>
      <c r="C736" s="20"/>
      <c r="D736" s="20"/>
      <c r="E736" s="20"/>
      <c r="F736" s="20"/>
      <c r="G736" s="20"/>
      <c r="H736" s="20"/>
      <c r="I736" s="20"/>
      <c r="J736" s="20"/>
      <c r="K736" s="20"/>
      <c r="L736" s="20"/>
      <c r="M736" s="20"/>
      <c r="N736" s="20"/>
      <c r="O736" s="20"/>
      <c r="P736" s="20"/>
      <c r="Q736" s="20"/>
      <c r="R736" s="20"/>
      <c r="S736" s="20"/>
      <c r="T736" s="20"/>
      <c r="U736" s="20"/>
      <c r="V736" s="20"/>
      <c r="W736" s="20"/>
      <c r="X736" s="20"/>
      <c r="Y736" s="20"/>
      <c r="Z736" s="20"/>
    </row>
    <row r="737" ht="13.5" customHeight="1" spans="1:26">
      <c r="A737" s="20"/>
      <c r="B737" s="20"/>
      <c r="C737" s="20"/>
      <c r="D737" s="20"/>
      <c r="E737" s="20"/>
      <c r="F737" s="20"/>
      <c r="G737" s="20"/>
      <c r="H737" s="20"/>
      <c r="I737" s="20"/>
      <c r="J737" s="20"/>
      <c r="K737" s="20"/>
      <c r="L737" s="20"/>
      <c r="M737" s="20"/>
      <c r="N737" s="20"/>
      <c r="O737" s="20"/>
      <c r="P737" s="20"/>
      <c r="Q737" s="20"/>
      <c r="R737" s="20"/>
      <c r="S737" s="20"/>
      <c r="T737" s="20"/>
      <c r="U737" s="20"/>
      <c r="V737" s="20"/>
      <c r="W737" s="20"/>
      <c r="X737" s="20"/>
      <c r="Y737" s="20"/>
      <c r="Z737" s="20"/>
    </row>
    <row r="738" ht="13.5" customHeight="1" spans="1:26">
      <c r="A738" s="20"/>
      <c r="B738" s="20"/>
      <c r="C738" s="20"/>
      <c r="D738" s="20"/>
      <c r="E738" s="20"/>
      <c r="F738" s="20"/>
      <c r="G738" s="20"/>
      <c r="H738" s="20"/>
      <c r="I738" s="20"/>
      <c r="J738" s="20"/>
      <c r="K738" s="20"/>
      <c r="L738" s="20"/>
      <c r="M738" s="20"/>
      <c r="N738" s="20"/>
      <c r="O738" s="20"/>
      <c r="P738" s="20"/>
      <c r="Q738" s="20"/>
      <c r="R738" s="20"/>
      <c r="S738" s="20"/>
      <c r="T738" s="20"/>
      <c r="U738" s="20"/>
      <c r="V738" s="20"/>
      <c r="W738" s="20"/>
      <c r="X738" s="20"/>
      <c r="Y738" s="20"/>
      <c r="Z738" s="20"/>
    </row>
    <row r="739" ht="13.5" customHeight="1" spans="1:26">
      <c r="A739" s="20"/>
      <c r="B739" s="20"/>
      <c r="C739" s="20"/>
      <c r="D739" s="20"/>
      <c r="E739" s="20"/>
      <c r="F739" s="20"/>
      <c r="G739" s="20"/>
      <c r="H739" s="20"/>
      <c r="I739" s="20"/>
      <c r="J739" s="20"/>
      <c r="K739" s="20"/>
      <c r="L739" s="20"/>
      <c r="M739" s="20"/>
      <c r="N739" s="20"/>
      <c r="O739" s="20"/>
      <c r="P739" s="20"/>
      <c r="Q739" s="20"/>
      <c r="R739" s="20"/>
      <c r="S739" s="20"/>
      <c r="T739" s="20"/>
      <c r="U739" s="20"/>
      <c r="V739" s="20"/>
      <c r="W739" s="20"/>
      <c r="X739" s="20"/>
      <c r="Y739" s="20"/>
      <c r="Z739" s="20"/>
    </row>
    <row r="740" ht="13.5" customHeight="1" spans="1:26">
      <c r="A740" s="20"/>
      <c r="B740" s="20"/>
      <c r="C740" s="20"/>
      <c r="D740" s="20"/>
      <c r="E740" s="20"/>
      <c r="F740" s="20"/>
      <c r="G740" s="20"/>
      <c r="H740" s="20"/>
      <c r="I740" s="20"/>
      <c r="J740" s="20"/>
      <c r="K740" s="20"/>
      <c r="L740" s="20"/>
      <c r="M740" s="20"/>
      <c r="N740" s="20"/>
      <c r="O740" s="20"/>
      <c r="P740" s="20"/>
      <c r="Q740" s="20"/>
      <c r="R740" s="20"/>
      <c r="S740" s="20"/>
      <c r="T740" s="20"/>
      <c r="U740" s="20"/>
      <c r="V740" s="20"/>
      <c r="W740" s="20"/>
      <c r="X740" s="20"/>
      <c r="Y740" s="20"/>
      <c r="Z740" s="20"/>
    </row>
    <row r="741" ht="13.5" customHeight="1" spans="1:26">
      <c r="A741" s="20"/>
      <c r="B741" s="20"/>
      <c r="C741" s="20"/>
      <c r="D741" s="20"/>
      <c r="E741" s="20"/>
      <c r="F741" s="20"/>
      <c r="G741" s="20"/>
      <c r="H741" s="20"/>
      <c r="I741" s="20"/>
      <c r="J741" s="20"/>
      <c r="K741" s="20"/>
      <c r="L741" s="20"/>
      <c r="M741" s="20"/>
      <c r="N741" s="20"/>
      <c r="O741" s="20"/>
      <c r="P741" s="20"/>
      <c r="Q741" s="20"/>
      <c r="R741" s="20"/>
      <c r="S741" s="20"/>
      <c r="T741" s="20"/>
      <c r="U741" s="20"/>
      <c r="V741" s="20"/>
      <c r="W741" s="20"/>
      <c r="X741" s="20"/>
      <c r="Y741" s="20"/>
      <c r="Z741" s="20"/>
    </row>
    <row r="742" ht="13.5" customHeight="1" spans="1:26">
      <c r="A742" s="20"/>
      <c r="B742" s="20"/>
      <c r="C742" s="20"/>
      <c r="D742" s="20"/>
      <c r="E742" s="20"/>
      <c r="F742" s="20"/>
      <c r="G742" s="20"/>
      <c r="H742" s="20"/>
      <c r="I742" s="20"/>
      <c r="J742" s="20"/>
      <c r="K742" s="20"/>
      <c r="L742" s="20"/>
      <c r="M742" s="20"/>
      <c r="N742" s="20"/>
      <c r="O742" s="20"/>
      <c r="P742" s="20"/>
      <c r="Q742" s="20"/>
      <c r="R742" s="20"/>
      <c r="S742" s="20"/>
      <c r="T742" s="20"/>
      <c r="U742" s="20"/>
      <c r="V742" s="20"/>
      <c r="W742" s="20"/>
      <c r="X742" s="20"/>
      <c r="Y742" s="20"/>
      <c r="Z742" s="20"/>
    </row>
    <row r="743" ht="13.5" customHeight="1" spans="1:26">
      <c r="A743" s="20"/>
      <c r="B743" s="20"/>
      <c r="C743" s="20"/>
      <c r="D743" s="20"/>
      <c r="E743" s="20"/>
      <c r="F743" s="20"/>
      <c r="G743" s="20"/>
      <c r="H743" s="20"/>
      <c r="I743" s="20"/>
      <c r="J743" s="20"/>
      <c r="K743" s="20"/>
      <c r="L743" s="20"/>
      <c r="M743" s="20"/>
      <c r="N743" s="20"/>
      <c r="O743" s="20"/>
      <c r="P743" s="20"/>
      <c r="Q743" s="20"/>
      <c r="R743" s="20"/>
      <c r="S743" s="20"/>
      <c r="T743" s="20"/>
      <c r="U743" s="20"/>
      <c r="V743" s="20"/>
      <c r="W743" s="20"/>
      <c r="X743" s="20"/>
      <c r="Y743" s="20"/>
      <c r="Z743" s="20"/>
    </row>
    <row r="744" ht="13.5" customHeight="1" spans="1:26">
      <c r="A744" s="20"/>
      <c r="B744" s="20"/>
      <c r="C744" s="20"/>
      <c r="D744" s="20"/>
      <c r="E744" s="20"/>
      <c r="F744" s="20"/>
      <c r="G744" s="20"/>
      <c r="H744" s="20"/>
      <c r="I744" s="20"/>
      <c r="J744" s="20"/>
      <c r="K744" s="20"/>
      <c r="L744" s="20"/>
      <c r="M744" s="20"/>
      <c r="N744" s="20"/>
      <c r="O744" s="20"/>
      <c r="P744" s="20"/>
      <c r="Q744" s="20"/>
      <c r="R744" s="20"/>
      <c r="S744" s="20"/>
      <c r="T744" s="20"/>
      <c r="U744" s="20"/>
      <c r="V744" s="20"/>
      <c r="W744" s="20"/>
      <c r="X744" s="20"/>
      <c r="Y744" s="20"/>
      <c r="Z744" s="20"/>
    </row>
    <row r="745" ht="13.5" customHeight="1" spans="1:26">
      <c r="A745" s="20"/>
      <c r="B745" s="20"/>
      <c r="C745" s="20"/>
      <c r="D745" s="20"/>
      <c r="E745" s="20"/>
      <c r="F745" s="20"/>
      <c r="G745" s="20"/>
      <c r="H745" s="20"/>
      <c r="I745" s="20"/>
      <c r="J745" s="20"/>
      <c r="K745" s="20"/>
      <c r="L745" s="20"/>
      <c r="M745" s="20"/>
      <c r="N745" s="20"/>
      <c r="O745" s="20"/>
      <c r="P745" s="20"/>
      <c r="Q745" s="20"/>
      <c r="R745" s="20"/>
      <c r="S745" s="20"/>
      <c r="T745" s="20"/>
      <c r="U745" s="20"/>
      <c r="V745" s="20"/>
      <c r="W745" s="20"/>
      <c r="X745" s="20"/>
      <c r="Y745" s="20"/>
      <c r="Z745" s="20"/>
    </row>
    <row r="746" ht="13.5" customHeight="1" spans="1:26">
      <c r="A746" s="20"/>
      <c r="B746" s="20"/>
      <c r="C746" s="20"/>
      <c r="D746" s="20"/>
      <c r="E746" s="20"/>
      <c r="F746" s="20"/>
      <c r="G746" s="20"/>
      <c r="H746" s="20"/>
      <c r="I746" s="20"/>
      <c r="J746" s="20"/>
      <c r="K746" s="20"/>
      <c r="L746" s="20"/>
      <c r="M746" s="20"/>
      <c r="N746" s="20"/>
      <c r="O746" s="20"/>
      <c r="P746" s="20"/>
      <c r="Q746" s="20"/>
      <c r="R746" s="20"/>
      <c r="S746" s="20"/>
      <c r="T746" s="20"/>
      <c r="U746" s="20"/>
      <c r="V746" s="20"/>
      <c r="W746" s="20"/>
      <c r="X746" s="20"/>
      <c r="Y746" s="20"/>
      <c r="Z746" s="20"/>
    </row>
    <row r="747" ht="13.5" customHeight="1" spans="1:26">
      <c r="A747" s="20"/>
      <c r="B747" s="20"/>
      <c r="C747" s="20"/>
      <c r="D747" s="20"/>
      <c r="E747" s="20"/>
      <c r="F747" s="20"/>
      <c r="G747" s="20"/>
      <c r="H747" s="20"/>
      <c r="I747" s="20"/>
      <c r="J747" s="20"/>
      <c r="K747" s="20"/>
      <c r="L747" s="20"/>
      <c r="M747" s="20"/>
      <c r="N747" s="20"/>
      <c r="O747" s="20"/>
      <c r="P747" s="20"/>
      <c r="Q747" s="20"/>
      <c r="R747" s="20"/>
      <c r="S747" s="20"/>
      <c r="T747" s="20"/>
      <c r="U747" s="20"/>
      <c r="V747" s="20"/>
      <c r="W747" s="20"/>
      <c r="X747" s="20"/>
      <c r="Y747" s="20"/>
      <c r="Z747" s="20"/>
    </row>
    <row r="748" ht="13.5" customHeight="1" spans="1:26">
      <c r="A748" s="20"/>
      <c r="B748" s="20"/>
      <c r="C748" s="20"/>
      <c r="D748" s="20"/>
      <c r="E748" s="20"/>
      <c r="F748" s="20"/>
      <c r="G748" s="20"/>
      <c r="H748" s="20"/>
      <c r="I748" s="20"/>
      <c r="J748" s="20"/>
      <c r="K748" s="20"/>
      <c r="L748" s="20"/>
      <c r="M748" s="20"/>
      <c r="N748" s="20"/>
      <c r="O748" s="20"/>
      <c r="P748" s="20"/>
      <c r="Q748" s="20"/>
      <c r="R748" s="20"/>
      <c r="S748" s="20"/>
      <c r="T748" s="20"/>
      <c r="U748" s="20"/>
      <c r="V748" s="20"/>
      <c r="W748" s="20"/>
      <c r="X748" s="20"/>
      <c r="Y748" s="20"/>
      <c r="Z748" s="20"/>
    </row>
    <row r="749" ht="13.5" customHeight="1" spans="1:26">
      <c r="A749" s="20"/>
      <c r="B749" s="20"/>
      <c r="C749" s="20"/>
      <c r="D749" s="20"/>
      <c r="E749" s="20"/>
      <c r="F749" s="20"/>
      <c r="G749" s="20"/>
      <c r="H749" s="20"/>
      <c r="I749" s="20"/>
      <c r="J749" s="20"/>
      <c r="K749" s="20"/>
      <c r="L749" s="20"/>
      <c r="M749" s="20"/>
      <c r="N749" s="20"/>
      <c r="O749" s="20"/>
      <c r="P749" s="20"/>
      <c r="Q749" s="20"/>
      <c r="R749" s="20"/>
      <c r="S749" s="20"/>
      <c r="T749" s="20"/>
      <c r="U749" s="20"/>
      <c r="V749" s="20"/>
      <c r="W749" s="20"/>
      <c r="X749" s="20"/>
      <c r="Y749" s="20"/>
      <c r="Z749" s="20"/>
    </row>
    <row r="750" ht="13.5" customHeight="1" spans="1:26">
      <c r="A750" s="20"/>
      <c r="B750" s="20"/>
      <c r="C750" s="20"/>
      <c r="D750" s="20"/>
      <c r="E750" s="20"/>
      <c r="F750" s="20"/>
      <c r="G750" s="20"/>
      <c r="H750" s="20"/>
      <c r="I750" s="20"/>
      <c r="J750" s="20"/>
      <c r="K750" s="20"/>
      <c r="L750" s="20"/>
      <c r="M750" s="20"/>
      <c r="N750" s="20"/>
      <c r="O750" s="20"/>
      <c r="P750" s="20"/>
      <c r="Q750" s="20"/>
      <c r="R750" s="20"/>
      <c r="S750" s="20"/>
      <c r="T750" s="20"/>
      <c r="U750" s="20"/>
      <c r="V750" s="20"/>
      <c r="W750" s="20"/>
      <c r="X750" s="20"/>
      <c r="Y750" s="20"/>
      <c r="Z750" s="20"/>
    </row>
    <row r="751" ht="13.5" customHeight="1" spans="1:26">
      <c r="A751" s="20"/>
      <c r="B751" s="20"/>
      <c r="C751" s="20"/>
      <c r="D751" s="20"/>
      <c r="E751" s="20"/>
      <c r="F751" s="20"/>
      <c r="G751" s="20"/>
      <c r="H751" s="20"/>
      <c r="I751" s="20"/>
      <c r="J751" s="20"/>
      <c r="K751" s="20"/>
      <c r="L751" s="20"/>
      <c r="M751" s="20"/>
      <c r="N751" s="20"/>
      <c r="O751" s="20"/>
      <c r="P751" s="20"/>
      <c r="Q751" s="20"/>
      <c r="R751" s="20"/>
      <c r="S751" s="20"/>
      <c r="T751" s="20"/>
      <c r="U751" s="20"/>
      <c r="V751" s="20"/>
      <c r="W751" s="20"/>
      <c r="X751" s="20"/>
      <c r="Y751" s="20"/>
      <c r="Z751" s="20"/>
    </row>
    <row r="752" ht="13.5" customHeight="1" spans="1:26">
      <c r="A752" s="20"/>
      <c r="B752" s="20"/>
      <c r="C752" s="20"/>
      <c r="D752" s="20"/>
      <c r="E752" s="20"/>
      <c r="F752" s="20"/>
      <c r="G752" s="20"/>
      <c r="H752" s="20"/>
      <c r="I752" s="20"/>
      <c r="J752" s="20"/>
      <c r="K752" s="20"/>
      <c r="L752" s="20"/>
      <c r="M752" s="20"/>
      <c r="N752" s="20"/>
      <c r="O752" s="20"/>
      <c r="P752" s="20"/>
      <c r="Q752" s="20"/>
      <c r="R752" s="20"/>
      <c r="S752" s="20"/>
      <c r="T752" s="20"/>
      <c r="U752" s="20"/>
      <c r="V752" s="20"/>
      <c r="W752" s="20"/>
      <c r="X752" s="20"/>
      <c r="Y752" s="20"/>
      <c r="Z752" s="20"/>
    </row>
    <row r="753" ht="13.5" customHeight="1" spans="1:26">
      <c r="A753" s="20"/>
      <c r="B753" s="20"/>
      <c r="C753" s="20"/>
      <c r="D753" s="20"/>
      <c r="E753" s="20"/>
      <c r="F753" s="20"/>
      <c r="G753" s="20"/>
      <c r="H753" s="20"/>
      <c r="I753" s="20"/>
      <c r="J753" s="20"/>
      <c r="K753" s="20"/>
      <c r="L753" s="20"/>
      <c r="M753" s="20"/>
      <c r="N753" s="20"/>
      <c r="O753" s="20"/>
      <c r="P753" s="20"/>
      <c r="Q753" s="20"/>
      <c r="R753" s="20"/>
      <c r="S753" s="20"/>
      <c r="T753" s="20"/>
      <c r="U753" s="20"/>
      <c r="V753" s="20"/>
      <c r="W753" s="20"/>
      <c r="X753" s="20"/>
      <c r="Y753" s="20"/>
      <c r="Z753" s="20"/>
    </row>
    <row r="754" ht="13.5" customHeight="1" spans="1:26">
      <c r="A754" s="20"/>
      <c r="B754" s="20"/>
      <c r="C754" s="20"/>
      <c r="D754" s="20"/>
      <c r="E754" s="20"/>
      <c r="F754" s="20"/>
      <c r="G754" s="20"/>
      <c r="H754" s="20"/>
      <c r="I754" s="20"/>
      <c r="J754" s="20"/>
      <c r="K754" s="20"/>
      <c r="L754" s="20"/>
      <c r="M754" s="20"/>
      <c r="N754" s="20"/>
      <c r="O754" s="20"/>
      <c r="P754" s="20"/>
      <c r="Q754" s="20"/>
      <c r="R754" s="20"/>
      <c r="S754" s="20"/>
      <c r="T754" s="20"/>
      <c r="U754" s="20"/>
      <c r="V754" s="20"/>
      <c r="W754" s="20"/>
      <c r="X754" s="20"/>
      <c r="Y754" s="20"/>
      <c r="Z754" s="20"/>
    </row>
    <row r="755" ht="13.5" customHeight="1" spans="1:26">
      <c r="A755" s="20"/>
      <c r="B755" s="20"/>
      <c r="C755" s="20"/>
      <c r="D755" s="20"/>
      <c r="E755" s="20"/>
      <c r="F755" s="20"/>
      <c r="G755" s="20"/>
      <c r="H755" s="20"/>
      <c r="I755" s="20"/>
      <c r="J755" s="20"/>
      <c r="K755" s="20"/>
      <c r="L755" s="20"/>
      <c r="M755" s="20"/>
      <c r="N755" s="20"/>
      <c r="O755" s="20"/>
      <c r="P755" s="20"/>
      <c r="Q755" s="20"/>
      <c r="R755" s="20"/>
      <c r="S755" s="20"/>
      <c r="T755" s="20"/>
      <c r="U755" s="20"/>
      <c r="V755" s="20"/>
      <c r="W755" s="20"/>
      <c r="X755" s="20"/>
      <c r="Y755" s="20"/>
      <c r="Z755" s="20"/>
    </row>
    <row r="756" ht="13.5" customHeight="1" spans="1:26">
      <c r="A756" s="20"/>
      <c r="B756" s="20"/>
      <c r="C756" s="20"/>
      <c r="D756" s="20"/>
      <c r="E756" s="20"/>
      <c r="F756" s="20"/>
      <c r="G756" s="20"/>
      <c r="H756" s="20"/>
      <c r="I756" s="20"/>
      <c r="J756" s="20"/>
      <c r="K756" s="20"/>
      <c r="L756" s="20"/>
      <c r="M756" s="20"/>
      <c r="N756" s="20"/>
      <c r="O756" s="20"/>
      <c r="P756" s="20"/>
      <c r="Q756" s="20"/>
      <c r="R756" s="20"/>
      <c r="S756" s="20"/>
      <c r="T756" s="20"/>
      <c r="U756" s="20"/>
      <c r="V756" s="20"/>
      <c r="W756" s="20"/>
      <c r="X756" s="20"/>
      <c r="Y756" s="20"/>
      <c r="Z756" s="20"/>
    </row>
    <row r="757" ht="13.5" customHeight="1" spans="1:26">
      <c r="A757" s="20"/>
      <c r="B757" s="20"/>
      <c r="C757" s="20"/>
      <c r="D757" s="20"/>
      <c r="E757" s="20"/>
      <c r="F757" s="20"/>
      <c r="G757" s="20"/>
      <c r="H757" s="20"/>
      <c r="I757" s="20"/>
      <c r="J757" s="20"/>
      <c r="K757" s="20"/>
      <c r="L757" s="20"/>
      <c r="M757" s="20"/>
      <c r="N757" s="20"/>
      <c r="O757" s="20"/>
      <c r="P757" s="20"/>
      <c r="Q757" s="20"/>
      <c r="R757" s="20"/>
      <c r="S757" s="20"/>
      <c r="T757" s="20"/>
      <c r="U757" s="20"/>
      <c r="V757" s="20"/>
      <c r="W757" s="20"/>
      <c r="X757" s="20"/>
      <c r="Y757" s="20"/>
      <c r="Z757" s="20"/>
    </row>
    <row r="758" ht="13.5" customHeight="1" spans="1:26">
      <c r="A758" s="20"/>
      <c r="B758" s="20"/>
      <c r="C758" s="20"/>
      <c r="D758" s="20"/>
      <c r="E758" s="20"/>
      <c r="F758" s="20"/>
      <c r="G758" s="20"/>
      <c r="H758" s="20"/>
      <c r="I758" s="20"/>
      <c r="J758" s="20"/>
      <c r="K758" s="20"/>
      <c r="L758" s="20"/>
      <c r="M758" s="20"/>
      <c r="N758" s="20"/>
      <c r="O758" s="20"/>
      <c r="P758" s="20"/>
      <c r="Q758" s="20"/>
      <c r="R758" s="20"/>
      <c r="S758" s="20"/>
      <c r="T758" s="20"/>
      <c r="U758" s="20"/>
      <c r="V758" s="20"/>
      <c r="W758" s="20"/>
      <c r="X758" s="20"/>
      <c r="Y758" s="20"/>
      <c r="Z758" s="20"/>
    </row>
    <row r="759" ht="13.5" customHeight="1" spans="1:26">
      <c r="A759" s="20"/>
      <c r="B759" s="20"/>
      <c r="C759" s="20"/>
      <c r="D759" s="20"/>
      <c r="E759" s="20"/>
      <c r="F759" s="20"/>
      <c r="G759" s="20"/>
      <c r="H759" s="20"/>
      <c r="I759" s="20"/>
      <c r="J759" s="20"/>
      <c r="K759" s="20"/>
      <c r="L759" s="20"/>
      <c r="M759" s="20"/>
      <c r="N759" s="20"/>
      <c r="O759" s="20"/>
      <c r="P759" s="20"/>
      <c r="Q759" s="20"/>
      <c r="R759" s="20"/>
      <c r="S759" s="20"/>
      <c r="T759" s="20"/>
      <c r="U759" s="20"/>
      <c r="V759" s="20"/>
      <c r="W759" s="20"/>
      <c r="X759" s="20"/>
      <c r="Y759" s="20"/>
      <c r="Z759" s="20"/>
    </row>
    <row r="760" ht="13.5" customHeight="1" spans="1:26">
      <c r="A760" s="20"/>
      <c r="B760" s="20"/>
      <c r="C760" s="20"/>
      <c r="D760" s="20"/>
      <c r="E760" s="20"/>
      <c r="F760" s="20"/>
      <c r="G760" s="20"/>
      <c r="H760" s="20"/>
      <c r="I760" s="20"/>
      <c r="J760" s="20"/>
      <c r="K760" s="20"/>
      <c r="L760" s="20"/>
      <c r="M760" s="20"/>
      <c r="N760" s="20"/>
      <c r="O760" s="20"/>
      <c r="P760" s="20"/>
      <c r="Q760" s="20"/>
      <c r="R760" s="20"/>
      <c r="S760" s="20"/>
      <c r="T760" s="20"/>
      <c r="U760" s="20"/>
      <c r="V760" s="20"/>
      <c r="W760" s="20"/>
      <c r="X760" s="20"/>
      <c r="Y760" s="20"/>
      <c r="Z760" s="20"/>
    </row>
    <row r="761" ht="13.5" customHeight="1" spans="1:26">
      <c r="A761" s="20"/>
      <c r="B761" s="20"/>
      <c r="C761" s="20"/>
      <c r="D761" s="20"/>
      <c r="E761" s="20"/>
      <c r="F761" s="20"/>
      <c r="G761" s="20"/>
      <c r="H761" s="20"/>
      <c r="I761" s="20"/>
      <c r="J761" s="20"/>
      <c r="K761" s="20"/>
      <c r="L761" s="20"/>
      <c r="M761" s="20"/>
      <c r="N761" s="20"/>
      <c r="O761" s="20"/>
      <c r="P761" s="20"/>
      <c r="Q761" s="20"/>
      <c r="R761" s="20"/>
      <c r="S761" s="20"/>
      <c r="T761" s="20"/>
      <c r="U761" s="20"/>
      <c r="V761" s="20"/>
      <c r="W761" s="20"/>
      <c r="X761" s="20"/>
      <c r="Y761" s="20"/>
      <c r="Z761" s="20"/>
    </row>
    <row r="762" ht="13.5" customHeight="1" spans="1:26">
      <c r="A762" s="20"/>
      <c r="B762" s="20"/>
      <c r="C762" s="20"/>
      <c r="D762" s="20"/>
      <c r="E762" s="20"/>
      <c r="F762" s="20"/>
      <c r="G762" s="20"/>
      <c r="H762" s="20"/>
      <c r="I762" s="20"/>
      <c r="J762" s="20"/>
      <c r="K762" s="20"/>
      <c r="L762" s="20"/>
      <c r="M762" s="20"/>
      <c r="N762" s="20"/>
      <c r="O762" s="20"/>
      <c r="P762" s="20"/>
      <c r="Q762" s="20"/>
      <c r="R762" s="20"/>
      <c r="S762" s="20"/>
      <c r="T762" s="20"/>
      <c r="U762" s="20"/>
      <c r="V762" s="20"/>
      <c r="W762" s="20"/>
      <c r="X762" s="20"/>
      <c r="Y762" s="20"/>
      <c r="Z762" s="20"/>
    </row>
    <row r="763" ht="13.5" customHeight="1" spans="1:26">
      <c r="A763" s="20"/>
      <c r="B763" s="20"/>
      <c r="C763" s="20"/>
      <c r="D763" s="20"/>
      <c r="E763" s="20"/>
      <c r="F763" s="20"/>
      <c r="G763" s="20"/>
      <c r="H763" s="20"/>
      <c r="I763" s="20"/>
      <c r="J763" s="20"/>
      <c r="K763" s="20"/>
      <c r="L763" s="20"/>
      <c r="M763" s="20"/>
      <c r="N763" s="20"/>
      <c r="O763" s="20"/>
      <c r="P763" s="20"/>
      <c r="Q763" s="20"/>
      <c r="R763" s="20"/>
      <c r="S763" s="20"/>
      <c r="T763" s="20"/>
      <c r="U763" s="20"/>
      <c r="V763" s="20"/>
      <c r="W763" s="20"/>
      <c r="X763" s="20"/>
      <c r="Y763" s="20"/>
      <c r="Z763" s="20"/>
    </row>
    <row r="764" ht="13.5" customHeight="1" spans="1:26">
      <c r="A764" s="20"/>
      <c r="B764" s="20"/>
      <c r="C764" s="20"/>
      <c r="D764" s="20"/>
      <c r="E764" s="20"/>
      <c r="F764" s="20"/>
      <c r="G764" s="20"/>
      <c r="H764" s="20"/>
      <c r="I764" s="20"/>
      <c r="J764" s="20"/>
      <c r="K764" s="20"/>
      <c r="L764" s="20"/>
      <c r="M764" s="20"/>
      <c r="N764" s="20"/>
      <c r="O764" s="20"/>
      <c r="P764" s="20"/>
      <c r="Q764" s="20"/>
      <c r="R764" s="20"/>
      <c r="S764" s="20"/>
      <c r="T764" s="20"/>
      <c r="U764" s="20"/>
      <c r="V764" s="20"/>
      <c r="W764" s="20"/>
      <c r="X764" s="20"/>
      <c r="Y764" s="20"/>
      <c r="Z764" s="20"/>
    </row>
    <row r="765" ht="13.5" customHeight="1" spans="1:26">
      <c r="A765" s="20"/>
      <c r="B765" s="20"/>
      <c r="C765" s="20"/>
      <c r="D765" s="20"/>
      <c r="E765" s="20"/>
      <c r="F765" s="20"/>
      <c r="G765" s="20"/>
      <c r="H765" s="20"/>
      <c r="I765" s="20"/>
      <c r="J765" s="20"/>
      <c r="K765" s="20"/>
      <c r="L765" s="20"/>
      <c r="M765" s="20"/>
      <c r="N765" s="20"/>
      <c r="O765" s="20"/>
      <c r="P765" s="20"/>
      <c r="Q765" s="20"/>
      <c r="R765" s="20"/>
      <c r="S765" s="20"/>
      <c r="T765" s="20"/>
      <c r="U765" s="20"/>
      <c r="V765" s="20"/>
      <c r="W765" s="20"/>
      <c r="X765" s="20"/>
      <c r="Y765" s="20"/>
      <c r="Z765" s="20"/>
    </row>
    <row r="766" ht="13.5" customHeight="1" spans="1:26">
      <c r="A766" s="20"/>
      <c r="B766" s="20"/>
      <c r="C766" s="20"/>
      <c r="D766" s="20"/>
      <c r="E766" s="20"/>
      <c r="F766" s="20"/>
      <c r="G766" s="20"/>
      <c r="H766" s="20"/>
      <c r="I766" s="20"/>
      <c r="J766" s="20"/>
      <c r="K766" s="20"/>
      <c r="L766" s="20"/>
      <c r="M766" s="20"/>
      <c r="N766" s="20"/>
      <c r="O766" s="20"/>
      <c r="P766" s="20"/>
      <c r="Q766" s="20"/>
      <c r="R766" s="20"/>
      <c r="S766" s="20"/>
      <c r="T766" s="20"/>
      <c r="U766" s="20"/>
      <c r="V766" s="20"/>
      <c r="W766" s="20"/>
      <c r="X766" s="20"/>
      <c r="Y766" s="20"/>
      <c r="Z766" s="20"/>
    </row>
    <row r="767" ht="13.5" customHeight="1" spans="1:26">
      <c r="A767" s="20"/>
      <c r="B767" s="20"/>
      <c r="C767" s="20"/>
      <c r="D767" s="20"/>
      <c r="E767" s="20"/>
      <c r="F767" s="20"/>
      <c r="G767" s="20"/>
      <c r="H767" s="20"/>
      <c r="I767" s="20"/>
      <c r="J767" s="20"/>
      <c r="K767" s="20"/>
      <c r="L767" s="20"/>
      <c r="M767" s="20"/>
      <c r="N767" s="20"/>
      <c r="O767" s="20"/>
      <c r="P767" s="20"/>
      <c r="Q767" s="20"/>
      <c r="R767" s="20"/>
      <c r="S767" s="20"/>
      <c r="T767" s="20"/>
      <c r="U767" s="20"/>
      <c r="V767" s="20"/>
      <c r="W767" s="20"/>
      <c r="X767" s="20"/>
      <c r="Y767" s="20"/>
      <c r="Z767" s="20"/>
    </row>
    <row r="768" ht="13.5" customHeight="1" spans="1:26">
      <c r="A768" s="20"/>
      <c r="B768" s="20"/>
      <c r="C768" s="20"/>
      <c r="D768" s="20"/>
      <c r="E768" s="20"/>
      <c r="F768" s="20"/>
      <c r="G768" s="20"/>
      <c r="H768" s="20"/>
      <c r="I768" s="20"/>
      <c r="J768" s="20"/>
      <c r="K768" s="20"/>
      <c r="L768" s="20"/>
      <c r="M768" s="20"/>
      <c r="N768" s="20"/>
      <c r="O768" s="20"/>
      <c r="P768" s="20"/>
      <c r="Q768" s="20"/>
      <c r="R768" s="20"/>
      <c r="S768" s="20"/>
      <c r="T768" s="20"/>
      <c r="U768" s="20"/>
      <c r="V768" s="20"/>
      <c r="W768" s="20"/>
      <c r="X768" s="20"/>
      <c r="Y768" s="20"/>
      <c r="Z768" s="20"/>
    </row>
    <row r="769" ht="13.5" customHeight="1" spans="1:26">
      <c r="A769" s="20"/>
      <c r="B769" s="20"/>
      <c r="C769" s="20"/>
      <c r="D769" s="20"/>
      <c r="E769" s="20"/>
      <c r="F769" s="20"/>
      <c r="G769" s="20"/>
      <c r="H769" s="20"/>
      <c r="I769" s="20"/>
      <c r="J769" s="20"/>
      <c r="K769" s="20"/>
      <c r="L769" s="20"/>
      <c r="M769" s="20"/>
      <c r="N769" s="20"/>
      <c r="O769" s="20"/>
      <c r="P769" s="20"/>
      <c r="Q769" s="20"/>
      <c r="R769" s="20"/>
      <c r="S769" s="20"/>
      <c r="T769" s="20"/>
      <c r="U769" s="20"/>
      <c r="V769" s="20"/>
      <c r="W769" s="20"/>
      <c r="X769" s="20"/>
      <c r="Y769" s="20"/>
      <c r="Z769" s="20"/>
    </row>
    <row r="770" ht="13.5" customHeight="1" spans="1:26">
      <c r="A770" s="20"/>
      <c r="B770" s="20"/>
      <c r="C770" s="20"/>
      <c r="D770" s="20"/>
      <c r="E770" s="20"/>
      <c r="F770" s="20"/>
      <c r="G770" s="20"/>
      <c r="H770" s="20"/>
      <c r="I770" s="20"/>
      <c r="J770" s="20"/>
      <c r="K770" s="20"/>
      <c r="L770" s="20"/>
      <c r="M770" s="20"/>
      <c r="N770" s="20"/>
      <c r="O770" s="20"/>
      <c r="P770" s="20"/>
      <c r="Q770" s="20"/>
      <c r="R770" s="20"/>
      <c r="S770" s="20"/>
      <c r="T770" s="20"/>
      <c r="U770" s="20"/>
      <c r="V770" s="20"/>
      <c r="W770" s="20"/>
      <c r="X770" s="20"/>
      <c r="Y770" s="20"/>
      <c r="Z770" s="20"/>
    </row>
    <row r="771" ht="13.5" customHeight="1" spans="1:26">
      <c r="A771" s="20"/>
      <c r="B771" s="20"/>
      <c r="C771" s="20"/>
      <c r="D771" s="20"/>
      <c r="E771" s="20"/>
      <c r="F771" s="20"/>
      <c r="G771" s="20"/>
      <c r="H771" s="20"/>
      <c r="I771" s="20"/>
      <c r="J771" s="20"/>
      <c r="K771" s="20"/>
      <c r="L771" s="20"/>
      <c r="M771" s="20"/>
      <c r="N771" s="20"/>
      <c r="O771" s="20"/>
      <c r="P771" s="20"/>
      <c r="Q771" s="20"/>
      <c r="R771" s="20"/>
      <c r="S771" s="20"/>
      <c r="T771" s="20"/>
      <c r="U771" s="20"/>
      <c r="V771" s="20"/>
      <c r="W771" s="20"/>
      <c r="X771" s="20"/>
      <c r="Y771" s="20"/>
      <c r="Z771" s="20"/>
    </row>
    <row r="772" ht="13.5" customHeight="1" spans="1:26">
      <c r="A772" s="20"/>
      <c r="B772" s="20"/>
      <c r="C772" s="20"/>
      <c r="D772" s="20"/>
      <c r="E772" s="20"/>
      <c r="F772" s="20"/>
      <c r="G772" s="20"/>
      <c r="H772" s="20"/>
      <c r="I772" s="20"/>
      <c r="J772" s="20"/>
      <c r="K772" s="20"/>
      <c r="L772" s="20"/>
      <c r="M772" s="20"/>
      <c r="N772" s="20"/>
      <c r="O772" s="20"/>
      <c r="P772" s="20"/>
      <c r="Q772" s="20"/>
      <c r="R772" s="20"/>
      <c r="S772" s="20"/>
      <c r="T772" s="20"/>
      <c r="U772" s="20"/>
      <c r="V772" s="20"/>
      <c r="W772" s="20"/>
      <c r="X772" s="20"/>
      <c r="Y772" s="20"/>
      <c r="Z772" s="20"/>
    </row>
    <row r="773" ht="13.5" customHeight="1" spans="1:26">
      <c r="A773" s="20"/>
      <c r="B773" s="20"/>
      <c r="C773" s="20"/>
      <c r="D773" s="20"/>
      <c r="E773" s="20"/>
      <c r="F773" s="20"/>
      <c r="G773" s="20"/>
      <c r="H773" s="20"/>
      <c r="I773" s="20"/>
      <c r="J773" s="20"/>
      <c r="K773" s="20"/>
      <c r="L773" s="20"/>
      <c r="M773" s="20"/>
      <c r="N773" s="20"/>
      <c r="O773" s="20"/>
      <c r="P773" s="20"/>
      <c r="Q773" s="20"/>
      <c r="R773" s="20"/>
      <c r="S773" s="20"/>
      <c r="T773" s="20"/>
      <c r="U773" s="20"/>
      <c r="V773" s="20"/>
      <c r="W773" s="20"/>
      <c r="X773" s="20"/>
      <c r="Y773" s="20"/>
      <c r="Z773" s="20"/>
    </row>
    <row r="774" ht="13.5" customHeight="1" spans="1:26">
      <c r="A774" s="20"/>
      <c r="B774" s="20"/>
      <c r="C774" s="20"/>
      <c r="D774" s="20"/>
      <c r="E774" s="20"/>
      <c r="F774" s="20"/>
      <c r="G774" s="20"/>
      <c r="H774" s="20"/>
      <c r="I774" s="20"/>
      <c r="J774" s="20"/>
      <c r="K774" s="20"/>
      <c r="L774" s="20"/>
      <c r="M774" s="20"/>
      <c r="N774" s="20"/>
      <c r="O774" s="20"/>
      <c r="P774" s="20"/>
      <c r="Q774" s="20"/>
      <c r="R774" s="20"/>
      <c r="S774" s="20"/>
      <c r="T774" s="20"/>
      <c r="U774" s="20"/>
      <c r="V774" s="20"/>
      <c r="W774" s="20"/>
      <c r="X774" s="20"/>
      <c r="Y774" s="20"/>
      <c r="Z774" s="20"/>
    </row>
    <row r="775" ht="13.5" customHeight="1" spans="1:26">
      <c r="A775" s="20"/>
      <c r="B775" s="20"/>
      <c r="C775" s="20"/>
      <c r="D775" s="20"/>
      <c r="E775" s="20"/>
      <c r="F775" s="20"/>
      <c r="G775" s="20"/>
      <c r="H775" s="20"/>
      <c r="I775" s="20"/>
      <c r="J775" s="20"/>
      <c r="K775" s="20"/>
      <c r="L775" s="20"/>
      <c r="M775" s="20"/>
      <c r="N775" s="20"/>
      <c r="O775" s="20"/>
      <c r="P775" s="20"/>
      <c r="Q775" s="20"/>
      <c r="R775" s="20"/>
      <c r="S775" s="20"/>
      <c r="T775" s="20"/>
      <c r="U775" s="20"/>
      <c r="V775" s="20"/>
      <c r="W775" s="20"/>
      <c r="X775" s="20"/>
      <c r="Y775" s="20"/>
      <c r="Z775" s="20"/>
    </row>
    <row r="776" ht="13.5" customHeight="1" spans="1:26">
      <c r="A776" s="20"/>
      <c r="B776" s="20"/>
      <c r="C776" s="20"/>
      <c r="D776" s="20"/>
      <c r="E776" s="20"/>
      <c r="F776" s="20"/>
      <c r="G776" s="20"/>
      <c r="H776" s="20"/>
      <c r="I776" s="20"/>
      <c r="J776" s="20"/>
      <c r="K776" s="20"/>
      <c r="L776" s="20"/>
      <c r="M776" s="20"/>
      <c r="N776" s="20"/>
      <c r="O776" s="20"/>
      <c r="P776" s="20"/>
      <c r="Q776" s="20"/>
      <c r="R776" s="20"/>
      <c r="S776" s="20"/>
      <c r="T776" s="20"/>
      <c r="U776" s="20"/>
      <c r="V776" s="20"/>
      <c r="W776" s="20"/>
      <c r="X776" s="20"/>
      <c r="Y776" s="20"/>
      <c r="Z776" s="20"/>
    </row>
    <row r="777" ht="13.5" customHeight="1" spans="1:26">
      <c r="A777" s="20"/>
      <c r="B777" s="20"/>
      <c r="C777" s="20"/>
      <c r="D777" s="20"/>
      <c r="E777" s="20"/>
      <c r="F777" s="20"/>
      <c r="G777" s="20"/>
      <c r="H777" s="20"/>
      <c r="I777" s="20"/>
      <c r="J777" s="20"/>
      <c r="K777" s="20"/>
      <c r="L777" s="20"/>
      <c r="M777" s="20"/>
      <c r="N777" s="20"/>
      <c r="O777" s="20"/>
      <c r="P777" s="20"/>
      <c r="Q777" s="20"/>
      <c r="R777" s="20"/>
      <c r="S777" s="20"/>
      <c r="T777" s="20"/>
      <c r="U777" s="20"/>
      <c r="V777" s="20"/>
      <c r="W777" s="20"/>
      <c r="X777" s="20"/>
      <c r="Y777" s="20"/>
      <c r="Z777" s="20"/>
    </row>
    <row r="778" ht="13.5" customHeight="1" spans="1:26">
      <c r="A778" s="20"/>
      <c r="B778" s="20"/>
      <c r="C778" s="20"/>
      <c r="D778" s="20"/>
      <c r="E778" s="20"/>
      <c r="F778" s="20"/>
      <c r="G778" s="20"/>
      <c r="H778" s="20"/>
      <c r="I778" s="20"/>
      <c r="J778" s="20"/>
      <c r="K778" s="20"/>
      <c r="L778" s="20"/>
      <c r="M778" s="20"/>
      <c r="N778" s="20"/>
      <c r="O778" s="20"/>
      <c r="P778" s="20"/>
      <c r="Q778" s="20"/>
      <c r="R778" s="20"/>
      <c r="S778" s="20"/>
      <c r="T778" s="20"/>
      <c r="U778" s="20"/>
      <c r="V778" s="20"/>
      <c r="W778" s="20"/>
      <c r="X778" s="20"/>
      <c r="Y778" s="20"/>
      <c r="Z778" s="20"/>
    </row>
    <row r="779" ht="13.5" customHeight="1" spans="1:26">
      <c r="A779" s="20"/>
      <c r="B779" s="20"/>
      <c r="C779" s="20"/>
      <c r="D779" s="20"/>
      <c r="E779" s="20"/>
      <c r="F779" s="20"/>
      <c r="G779" s="20"/>
      <c r="H779" s="20"/>
      <c r="I779" s="20"/>
      <c r="J779" s="20"/>
      <c r="K779" s="20"/>
      <c r="L779" s="20"/>
      <c r="M779" s="20"/>
      <c r="N779" s="20"/>
      <c r="O779" s="20"/>
      <c r="P779" s="20"/>
      <c r="Q779" s="20"/>
      <c r="R779" s="20"/>
      <c r="S779" s="20"/>
      <c r="T779" s="20"/>
      <c r="U779" s="20"/>
      <c r="V779" s="20"/>
      <c r="W779" s="20"/>
      <c r="X779" s="20"/>
      <c r="Y779" s="20"/>
      <c r="Z779" s="20"/>
    </row>
    <row r="780" ht="13.5" customHeight="1" spans="1:26">
      <c r="A780" s="20"/>
      <c r="B780" s="20"/>
      <c r="C780" s="20"/>
      <c r="D780" s="20"/>
      <c r="E780" s="20"/>
      <c r="F780" s="20"/>
      <c r="G780" s="20"/>
      <c r="H780" s="20"/>
      <c r="I780" s="20"/>
      <c r="J780" s="20"/>
      <c r="K780" s="20"/>
      <c r="L780" s="20"/>
      <c r="M780" s="20"/>
      <c r="N780" s="20"/>
      <c r="O780" s="20"/>
      <c r="P780" s="20"/>
      <c r="Q780" s="20"/>
      <c r="R780" s="20"/>
      <c r="S780" s="20"/>
      <c r="T780" s="20"/>
      <c r="U780" s="20"/>
      <c r="V780" s="20"/>
      <c r="W780" s="20"/>
      <c r="X780" s="20"/>
      <c r="Y780" s="20"/>
      <c r="Z780" s="20"/>
    </row>
    <row r="781" ht="13.5" customHeight="1" spans="1:26">
      <c r="A781" s="20"/>
      <c r="B781" s="20"/>
      <c r="C781" s="20"/>
      <c r="D781" s="20"/>
      <c r="E781" s="20"/>
      <c r="F781" s="20"/>
      <c r="G781" s="20"/>
      <c r="H781" s="20"/>
      <c r="I781" s="20"/>
      <c r="J781" s="20"/>
      <c r="K781" s="20"/>
      <c r="L781" s="20"/>
      <c r="M781" s="20"/>
      <c r="N781" s="20"/>
      <c r="O781" s="20"/>
      <c r="P781" s="20"/>
      <c r="Q781" s="20"/>
      <c r="R781" s="20"/>
      <c r="S781" s="20"/>
      <c r="T781" s="20"/>
      <c r="U781" s="20"/>
      <c r="V781" s="20"/>
      <c r="W781" s="20"/>
      <c r="X781" s="20"/>
      <c r="Y781" s="20"/>
      <c r="Z781" s="20"/>
    </row>
    <row r="782" ht="13.5" customHeight="1" spans="1:26">
      <c r="A782" s="20"/>
      <c r="B782" s="20"/>
      <c r="C782" s="20"/>
      <c r="D782" s="20"/>
      <c r="E782" s="20"/>
      <c r="F782" s="20"/>
      <c r="G782" s="20"/>
      <c r="H782" s="20"/>
      <c r="I782" s="20"/>
      <c r="J782" s="20"/>
      <c r="K782" s="20"/>
      <c r="L782" s="20"/>
      <c r="M782" s="20"/>
      <c r="N782" s="20"/>
      <c r="O782" s="20"/>
      <c r="P782" s="20"/>
      <c r="Q782" s="20"/>
      <c r="R782" s="20"/>
      <c r="S782" s="20"/>
      <c r="T782" s="20"/>
      <c r="U782" s="20"/>
      <c r="V782" s="20"/>
      <c r="W782" s="20"/>
      <c r="X782" s="20"/>
      <c r="Y782" s="20"/>
      <c r="Z782" s="20"/>
    </row>
    <row r="783" ht="13.5" customHeight="1" spans="1:26">
      <c r="A783" s="20"/>
      <c r="B783" s="20"/>
      <c r="C783" s="20"/>
      <c r="D783" s="20"/>
      <c r="E783" s="20"/>
      <c r="F783" s="20"/>
      <c r="G783" s="20"/>
      <c r="H783" s="20"/>
      <c r="I783" s="20"/>
      <c r="J783" s="20"/>
      <c r="K783" s="20"/>
      <c r="L783" s="20"/>
      <c r="M783" s="20"/>
      <c r="N783" s="20"/>
      <c r="O783" s="20"/>
      <c r="P783" s="20"/>
      <c r="Q783" s="20"/>
      <c r="R783" s="20"/>
      <c r="S783" s="20"/>
      <c r="T783" s="20"/>
      <c r="U783" s="20"/>
      <c r="V783" s="20"/>
      <c r="W783" s="20"/>
      <c r="X783" s="20"/>
      <c r="Y783" s="20"/>
      <c r="Z783" s="20"/>
    </row>
    <row r="784" ht="13.5" customHeight="1" spans="1:26">
      <c r="A784" s="20"/>
      <c r="B784" s="20"/>
      <c r="C784" s="20"/>
      <c r="D784" s="20"/>
      <c r="E784" s="20"/>
      <c r="F784" s="20"/>
      <c r="G784" s="20"/>
      <c r="H784" s="20"/>
      <c r="I784" s="20"/>
      <c r="J784" s="20"/>
      <c r="K784" s="20"/>
      <c r="L784" s="20"/>
      <c r="M784" s="20"/>
      <c r="N784" s="20"/>
      <c r="O784" s="20"/>
      <c r="P784" s="20"/>
      <c r="Q784" s="20"/>
      <c r="R784" s="20"/>
      <c r="S784" s="20"/>
      <c r="T784" s="20"/>
      <c r="U784" s="20"/>
      <c r="V784" s="20"/>
      <c r="W784" s="20"/>
      <c r="X784" s="20"/>
      <c r="Y784" s="20"/>
      <c r="Z784" s="20"/>
    </row>
    <row r="785" ht="13.5" customHeight="1" spans="1:26">
      <c r="A785" s="20"/>
      <c r="B785" s="20"/>
      <c r="C785" s="20"/>
      <c r="D785" s="20"/>
      <c r="E785" s="20"/>
      <c r="F785" s="20"/>
      <c r="G785" s="20"/>
      <c r="H785" s="20"/>
      <c r="I785" s="20"/>
      <c r="J785" s="20"/>
      <c r="K785" s="20"/>
      <c r="L785" s="20"/>
      <c r="M785" s="20"/>
      <c r="N785" s="20"/>
      <c r="O785" s="20"/>
      <c r="P785" s="20"/>
      <c r="Q785" s="20"/>
      <c r="R785" s="20"/>
      <c r="S785" s="20"/>
      <c r="T785" s="20"/>
      <c r="U785" s="20"/>
      <c r="V785" s="20"/>
      <c r="W785" s="20"/>
      <c r="X785" s="20"/>
      <c r="Y785" s="20"/>
      <c r="Z785" s="20"/>
    </row>
    <row r="786" ht="13.5" customHeight="1" spans="1:26">
      <c r="A786" s="20"/>
      <c r="B786" s="20"/>
      <c r="C786" s="20"/>
      <c r="D786" s="20"/>
      <c r="E786" s="20"/>
      <c r="F786" s="20"/>
      <c r="G786" s="20"/>
      <c r="H786" s="20"/>
      <c r="I786" s="20"/>
      <c r="J786" s="20"/>
      <c r="K786" s="20"/>
      <c r="L786" s="20"/>
      <c r="M786" s="20"/>
      <c r="N786" s="20"/>
      <c r="O786" s="20"/>
      <c r="P786" s="20"/>
      <c r="Q786" s="20"/>
      <c r="R786" s="20"/>
      <c r="S786" s="20"/>
      <c r="T786" s="20"/>
      <c r="U786" s="20"/>
      <c r="V786" s="20"/>
      <c r="W786" s="20"/>
      <c r="X786" s="20"/>
      <c r="Y786" s="20"/>
      <c r="Z786" s="20"/>
    </row>
    <row r="787" ht="13.5" customHeight="1" spans="1:26">
      <c r="A787" s="20"/>
      <c r="B787" s="20"/>
      <c r="C787" s="20"/>
      <c r="D787" s="20"/>
      <c r="E787" s="20"/>
      <c r="F787" s="20"/>
      <c r="G787" s="20"/>
      <c r="H787" s="20"/>
      <c r="I787" s="20"/>
      <c r="J787" s="20"/>
      <c r="K787" s="20"/>
      <c r="L787" s="20"/>
      <c r="M787" s="20"/>
      <c r="N787" s="20"/>
      <c r="O787" s="20"/>
      <c r="P787" s="20"/>
      <c r="Q787" s="20"/>
      <c r="R787" s="20"/>
      <c r="S787" s="20"/>
      <c r="T787" s="20"/>
      <c r="U787" s="20"/>
      <c r="V787" s="20"/>
      <c r="W787" s="20"/>
      <c r="X787" s="20"/>
      <c r="Y787" s="20"/>
      <c r="Z787" s="20"/>
    </row>
    <row r="788" ht="13.5" customHeight="1" spans="1:26">
      <c r="A788" s="20"/>
      <c r="B788" s="20"/>
      <c r="C788" s="20"/>
      <c r="D788" s="20"/>
      <c r="E788" s="20"/>
      <c r="F788" s="20"/>
      <c r="G788" s="20"/>
      <c r="H788" s="20"/>
      <c r="I788" s="20"/>
      <c r="J788" s="20"/>
      <c r="K788" s="20"/>
      <c r="L788" s="20"/>
      <c r="M788" s="20"/>
      <c r="N788" s="20"/>
      <c r="O788" s="20"/>
      <c r="P788" s="20"/>
      <c r="Q788" s="20"/>
      <c r="R788" s="20"/>
      <c r="S788" s="20"/>
      <c r="T788" s="20"/>
      <c r="U788" s="20"/>
      <c r="V788" s="20"/>
      <c r="W788" s="20"/>
      <c r="X788" s="20"/>
      <c r="Y788" s="20"/>
      <c r="Z788" s="20"/>
    </row>
    <row r="789" ht="13.5" customHeight="1" spans="1:26">
      <c r="A789" s="20"/>
      <c r="B789" s="20"/>
      <c r="C789" s="20"/>
      <c r="D789" s="20"/>
      <c r="E789" s="20"/>
      <c r="F789" s="20"/>
      <c r="G789" s="20"/>
      <c r="H789" s="20"/>
      <c r="I789" s="20"/>
      <c r="J789" s="20"/>
      <c r="K789" s="20"/>
      <c r="L789" s="20"/>
      <c r="M789" s="20"/>
      <c r="N789" s="20"/>
      <c r="O789" s="20"/>
      <c r="P789" s="20"/>
      <c r="Q789" s="20"/>
      <c r="R789" s="20"/>
      <c r="S789" s="20"/>
      <c r="T789" s="20"/>
      <c r="U789" s="20"/>
      <c r="V789" s="20"/>
      <c r="W789" s="20"/>
      <c r="X789" s="20"/>
      <c r="Y789" s="20"/>
      <c r="Z789" s="20"/>
    </row>
    <row r="790" ht="13.5" customHeight="1" spans="1:26">
      <c r="A790" s="20"/>
      <c r="B790" s="20"/>
      <c r="C790" s="20"/>
      <c r="D790" s="20"/>
      <c r="E790" s="20"/>
      <c r="F790" s="20"/>
      <c r="G790" s="20"/>
      <c r="H790" s="20"/>
      <c r="I790" s="20"/>
      <c r="J790" s="20"/>
      <c r="K790" s="20"/>
      <c r="L790" s="20"/>
      <c r="M790" s="20"/>
      <c r="N790" s="20"/>
      <c r="O790" s="20"/>
      <c r="P790" s="20"/>
      <c r="Q790" s="20"/>
      <c r="R790" s="20"/>
      <c r="S790" s="20"/>
      <c r="T790" s="20"/>
      <c r="U790" s="20"/>
      <c r="V790" s="20"/>
      <c r="W790" s="20"/>
      <c r="X790" s="20"/>
      <c r="Y790" s="20"/>
      <c r="Z790" s="20"/>
    </row>
    <row r="791" ht="13.5" customHeight="1" spans="1:26">
      <c r="A791" s="20"/>
      <c r="B791" s="20"/>
      <c r="C791" s="20"/>
      <c r="D791" s="20"/>
      <c r="E791" s="20"/>
      <c r="F791" s="20"/>
      <c r="G791" s="20"/>
      <c r="H791" s="20"/>
      <c r="I791" s="20"/>
      <c r="J791" s="20"/>
      <c r="K791" s="20"/>
      <c r="L791" s="20"/>
      <c r="M791" s="20"/>
      <c r="N791" s="20"/>
      <c r="O791" s="20"/>
      <c r="P791" s="20"/>
      <c r="Q791" s="20"/>
      <c r="R791" s="20"/>
      <c r="S791" s="20"/>
      <c r="T791" s="20"/>
      <c r="U791" s="20"/>
      <c r="V791" s="20"/>
      <c r="W791" s="20"/>
      <c r="X791" s="20"/>
      <c r="Y791" s="20"/>
      <c r="Z791" s="20"/>
    </row>
    <row r="792" ht="13.5" customHeight="1" spans="1:26">
      <c r="A792" s="20"/>
      <c r="B792" s="20"/>
      <c r="C792" s="20"/>
      <c r="D792" s="20"/>
      <c r="E792" s="20"/>
      <c r="F792" s="20"/>
      <c r="G792" s="20"/>
      <c r="H792" s="20"/>
      <c r="I792" s="20"/>
      <c r="J792" s="20"/>
      <c r="K792" s="20"/>
      <c r="L792" s="20"/>
      <c r="M792" s="20"/>
      <c r="N792" s="20"/>
      <c r="O792" s="20"/>
      <c r="P792" s="20"/>
      <c r="Q792" s="20"/>
      <c r="R792" s="20"/>
      <c r="S792" s="20"/>
      <c r="T792" s="20"/>
      <c r="U792" s="20"/>
      <c r="V792" s="20"/>
      <c r="W792" s="20"/>
      <c r="X792" s="20"/>
      <c r="Y792" s="20"/>
      <c r="Z792" s="20"/>
    </row>
    <row r="793" ht="13.5" customHeight="1" spans="1:26">
      <c r="A793" s="20"/>
      <c r="B793" s="20"/>
      <c r="C793" s="20"/>
      <c r="D793" s="20"/>
      <c r="E793" s="20"/>
      <c r="F793" s="20"/>
      <c r="G793" s="20"/>
      <c r="H793" s="20"/>
      <c r="I793" s="20"/>
      <c r="J793" s="20"/>
      <c r="K793" s="20"/>
      <c r="L793" s="20"/>
      <c r="M793" s="20"/>
      <c r="N793" s="20"/>
      <c r="O793" s="20"/>
      <c r="P793" s="20"/>
      <c r="Q793" s="20"/>
      <c r="R793" s="20"/>
      <c r="S793" s="20"/>
      <c r="T793" s="20"/>
      <c r="U793" s="20"/>
      <c r="V793" s="20"/>
      <c r="W793" s="20"/>
      <c r="X793" s="20"/>
      <c r="Y793" s="20"/>
      <c r="Z793" s="20"/>
    </row>
    <row r="794" ht="13.5" customHeight="1" spans="1:26">
      <c r="A794" s="20"/>
      <c r="B794" s="20"/>
      <c r="C794" s="20"/>
      <c r="D794" s="20"/>
      <c r="E794" s="20"/>
      <c r="F794" s="20"/>
      <c r="G794" s="20"/>
      <c r="H794" s="20"/>
      <c r="I794" s="20"/>
      <c r="J794" s="20"/>
      <c r="K794" s="20"/>
      <c r="L794" s="20"/>
      <c r="M794" s="20"/>
      <c r="N794" s="20"/>
      <c r="O794" s="20"/>
      <c r="P794" s="20"/>
      <c r="Q794" s="20"/>
      <c r="R794" s="20"/>
      <c r="S794" s="20"/>
      <c r="T794" s="20"/>
      <c r="U794" s="20"/>
      <c r="V794" s="20"/>
      <c r="W794" s="20"/>
      <c r="X794" s="20"/>
      <c r="Y794" s="20"/>
      <c r="Z794" s="20"/>
    </row>
    <row r="795" ht="13.5" customHeight="1" spans="1:26">
      <c r="A795" s="20"/>
      <c r="B795" s="20"/>
      <c r="C795" s="20"/>
      <c r="D795" s="20"/>
      <c r="E795" s="20"/>
      <c r="F795" s="20"/>
      <c r="G795" s="20"/>
      <c r="H795" s="20"/>
      <c r="I795" s="20"/>
      <c r="J795" s="20"/>
      <c r="K795" s="20"/>
      <c r="L795" s="20"/>
      <c r="M795" s="20"/>
      <c r="N795" s="20"/>
      <c r="O795" s="20"/>
      <c r="P795" s="20"/>
      <c r="Q795" s="20"/>
      <c r="R795" s="20"/>
      <c r="S795" s="20"/>
      <c r="T795" s="20"/>
      <c r="U795" s="20"/>
      <c r="V795" s="20"/>
      <c r="W795" s="20"/>
      <c r="X795" s="20"/>
      <c r="Y795" s="20"/>
      <c r="Z795" s="20"/>
    </row>
    <row r="796" ht="13.5" customHeight="1" spans="1:26">
      <c r="A796" s="20"/>
      <c r="B796" s="20"/>
      <c r="C796" s="20"/>
      <c r="D796" s="20"/>
      <c r="E796" s="20"/>
      <c r="F796" s="20"/>
      <c r="G796" s="20"/>
      <c r="H796" s="20"/>
      <c r="I796" s="20"/>
      <c r="J796" s="20"/>
      <c r="K796" s="20"/>
      <c r="L796" s="20"/>
      <c r="M796" s="20"/>
      <c r="N796" s="20"/>
      <c r="O796" s="20"/>
      <c r="P796" s="20"/>
      <c r="Q796" s="20"/>
      <c r="R796" s="20"/>
      <c r="S796" s="20"/>
      <c r="T796" s="20"/>
      <c r="U796" s="20"/>
      <c r="V796" s="20"/>
      <c r="W796" s="20"/>
      <c r="X796" s="20"/>
      <c r="Y796" s="20"/>
      <c r="Z796" s="20"/>
    </row>
    <row r="797" ht="13.5" customHeight="1" spans="1:26">
      <c r="A797" s="20"/>
      <c r="B797" s="20"/>
      <c r="C797" s="20"/>
      <c r="D797" s="20"/>
      <c r="E797" s="20"/>
      <c r="F797" s="20"/>
      <c r="G797" s="20"/>
      <c r="H797" s="20"/>
      <c r="I797" s="20"/>
      <c r="J797" s="20"/>
      <c r="K797" s="20"/>
      <c r="L797" s="20"/>
      <c r="M797" s="20"/>
      <c r="N797" s="20"/>
      <c r="O797" s="20"/>
      <c r="P797" s="20"/>
      <c r="Q797" s="20"/>
      <c r="R797" s="20"/>
      <c r="S797" s="20"/>
      <c r="T797" s="20"/>
      <c r="U797" s="20"/>
      <c r="V797" s="20"/>
      <c r="W797" s="20"/>
      <c r="X797" s="20"/>
      <c r="Y797" s="20"/>
      <c r="Z797" s="20"/>
    </row>
    <row r="798" ht="13.5" customHeight="1" spans="1:26">
      <c r="A798" s="20"/>
      <c r="B798" s="20"/>
      <c r="C798" s="20"/>
      <c r="D798" s="20"/>
      <c r="E798" s="20"/>
      <c r="F798" s="20"/>
      <c r="G798" s="20"/>
      <c r="H798" s="20"/>
      <c r="I798" s="20"/>
      <c r="J798" s="20"/>
      <c r="K798" s="20"/>
      <c r="L798" s="20"/>
      <c r="M798" s="20"/>
      <c r="N798" s="20"/>
      <c r="O798" s="20"/>
      <c r="P798" s="20"/>
      <c r="Q798" s="20"/>
      <c r="R798" s="20"/>
      <c r="S798" s="20"/>
      <c r="T798" s="20"/>
      <c r="U798" s="20"/>
      <c r="V798" s="20"/>
      <c r="W798" s="20"/>
      <c r="X798" s="20"/>
      <c r="Y798" s="20"/>
      <c r="Z798" s="20"/>
    </row>
    <row r="799" ht="13.5" customHeight="1" spans="1:26">
      <c r="A799" s="20"/>
      <c r="B799" s="20"/>
      <c r="C799" s="20"/>
      <c r="D799" s="20"/>
      <c r="E799" s="20"/>
      <c r="F799" s="20"/>
      <c r="G799" s="20"/>
      <c r="H799" s="20"/>
      <c r="I799" s="20"/>
      <c r="J799" s="20"/>
      <c r="K799" s="20"/>
      <c r="L799" s="20"/>
      <c r="M799" s="20"/>
      <c r="N799" s="20"/>
      <c r="O799" s="20"/>
      <c r="P799" s="20"/>
      <c r="Q799" s="20"/>
      <c r="R799" s="20"/>
      <c r="S799" s="20"/>
      <c r="T799" s="20"/>
      <c r="U799" s="20"/>
      <c r="V799" s="20"/>
      <c r="W799" s="20"/>
      <c r="X799" s="20"/>
      <c r="Y799" s="20"/>
      <c r="Z799" s="20"/>
    </row>
    <row r="800" ht="13.5" customHeight="1" spans="1:26">
      <c r="A800" s="20"/>
      <c r="B800" s="20"/>
      <c r="C800" s="20"/>
      <c r="D800" s="20"/>
      <c r="E800" s="20"/>
      <c r="F800" s="20"/>
      <c r="G800" s="20"/>
      <c r="H800" s="20"/>
      <c r="I800" s="20"/>
      <c r="J800" s="20"/>
      <c r="K800" s="20"/>
      <c r="L800" s="20"/>
      <c r="M800" s="20"/>
      <c r="N800" s="20"/>
      <c r="O800" s="20"/>
      <c r="P800" s="20"/>
      <c r="Q800" s="20"/>
      <c r="R800" s="20"/>
      <c r="S800" s="20"/>
      <c r="T800" s="20"/>
      <c r="U800" s="20"/>
      <c r="V800" s="20"/>
      <c r="W800" s="20"/>
      <c r="X800" s="20"/>
      <c r="Y800" s="20"/>
      <c r="Z800" s="20"/>
    </row>
    <row r="801" ht="13.5" customHeight="1" spans="1:26">
      <c r="A801" s="20"/>
      <c r="B801" s="20"/>
      <c r="C801" s="20"/>
      <c r="D801" s="20"/>
      <c r="E801" s="20"/>
      <c r="F801" s="20"/>
      <c r="G801" s="20"/>
      <c r="H801" s="20"/>
      <c r="I801" s="20"/>
      <c r="J801" s="20"/>
      <c r="K801" s="20"/>
      <c r="L801" s="20"/>
      <c r="M801" s="20"/>
      <c r="N801" s="20"/>
      <c r="O801" s="20"/>
      <c r="P801" s="20"/>
      <c r="Q801" s="20"/>
      <c r="R801" s="20"/>
      <c r="S801" s="20"/>
      <c r="T801" s="20"/>
      <c r="U801" s="20"/>
      <c r="V801" s="20"/>
      <c r="W801" s="20"/>
      <c r="X801" s="20"/>
      <c r="Y801" s="20"/>
      <c r="Z801" s="20"/>
    </row>
    <row r="802" ht="13.5" customHeight="1" spans="1:26">
      <c r="A802" s="20"/>
      <c r="B802" s="20"/>
      <c r="C802" s="20"/>
      <c r="D802" s="20"/>
      <c r="E802" s="20"/>
      <c r="F802" s="20"/>
      <c r="G802" s="20"/>
      <c r="H802" s="20"/>
      <c r="I802" s="20"/>
      <c r="J802" s="20"/>
      <c r="K802" s="20"/>
      <c r="L802" s="20"/>
      <c r="M802" s="20"/>
      <c r="N802" s="20"/>
      <c r="O802" s="20"/>
      <c r="P802" s="20"/>
      <c r="Q802" s="20"/>
      <c r="R802" s="20"/>
      <c r="S802" s="20"/>
      <c r="T802" s="20"/>
      <c r="U802" s="20"/>
      <c r="V802" s="20"/>
      <c r="W802" s="20"/>
      <c r="X802" s="20"/>
      <c r="Y802" s="20"/>
      <c r="Z802" s="20"/>
    </row>
    <row r="803" ht="13.5" customHeight="1" spans="1:26">
      <c r="A803" s="20"/>
      <c r="B803" s="20"/>
      <c r="C803" s="20"/>
      <c r="D803" s="20"/>
      <c r="E803" s="20"/>
      <c r="F803" s="20"/>
      <c r="G803" s="20"/>
      <c r="H803" s="20"/>
      <c r="I803" s="20"/>
      <c r="J803" s="20"/>
      <c r="K803" s="20"/>
      <c r="L803" s="20"/>
      <c r="M803" s="20"/>
      <c r="N803" s="20"/>
      <c r="O803" s="20"/>
      <c r="P803" s="20"/>
      <c r="Q803" s="20"/>
      <c r="R803" s="20"/>
      <c r="S803" s="20"/>
      <c r="T803" s="20"/>
      <c r="U803" s="20"/>
      <c r="V803" s="20"/>
      <c r="W803" s="20"/>
      <c r="X803" s="20"/>
      <c r="Y803" s="20"/>
      <c r="Z803" s="20"/>
    </row>
    <row r="804" ht="13.5" customHeight="1" spans="1:26">
      <c r="A804" s="20"/>
      <c r="B804" s="20"/>
      <c r="C804" s="20"/>
      <c r="D804" s="20"/>
      <c r="E804" s="20"/>
      <c r="F804" s="20"/>
      <c r="G804" s="20"/>
      <c r="H804" s="20"/>
      <c r="I804" s="20"/>
      <c r="J804" s="20"/>
      <c r="K804" s="20"/>
      <c r="L804" s="20"/>
      <c r="M804" s="20"/>
      <c r="N804" s="20"/>
      <c r="O804" s="20"/>
      <c r="P804" s="20"/>
      <c r="Q804" s="20"/>
      <c r="R804" s="20"/>
      <c r="S804" s="20"/>
      <c r="T804" s="20"/>
      <c r="U804" s="20"/>
      <c r="V804" s="20"/>
      <c r="W804" s="20"/>
      <c r="X804" s="20"/>
      <c r="Y804" s="20"/>
      <c r="Z804" s="20"/>
    </row>
    <row r="805" ht="13.5" customHeight="1" spans="1:26">
      <c r="A805" s="20"/>
      <c r="B805" s="20"/>
      <c r="C805" s="20"/>
      <c r="D805" s="20"/>
      <c r="E805" s="20"/>
      <c r="F805" s="20"/>
      <c r="G805" s="20"/>
      <c r="H805" s="20"/>
      <c r="I805" s="20"/>
      <c r="J805" s="20"/>
      <c r="K805" s="20"/>
      <c r="L805" s="20"/>
      <c r="M805" s="20"/>
      <c r="N805" s="20"/>
      <c r="O805" s="20"/>
      <c r="P805" s="20"/>
      <c r="Q805" s="20"/>
      <c r="R805" s="20"/>
      <c r="S805" s="20"/>
      <c r="T805" s="20"/>
      <c r="U805" s="20"/>
      <c r="V805" s="20"/>
      <c r="W805" s="20"/>
      <c r="X805" s="20"/>
      <c r="Y805" s="20"/>
      <c r="Z805" s="20"/>
    </row>
    <row r="806" ht="13.5" customHeight="1" spans="1:26">
      <c r="A806" s="20"/>
      <c r="B806" s="20"/>
      <c r="C806" s="20"/>
      <c r="D806" s="20"/>
      <c r="E806" s="20"/>
      <c r="F806" s="20"/>
      <c r="G806" s="20"/>
      <c r="H806" s="20"/>
      <c r="I806" s="20"/>
      <c r="J806" s="20"/>
      <c r="K806" s="20"/>
      <c r="L806" s="20"/>
      <c r="M806" s="20"/>
      <c r="N806" s="20"/>
      <c r="O806" s="20"/>
      <c r="P806" s="20"/>
      <c r="Q806" s="20"/>
      <c r="R806" s="20"/>
      <c r="S806" s="20"/>
      <c r="T806" s="20"/>
      <c r="U806" s="20"/>
      <c r="V806" s="20"/>
      <c r="W806" s="20"/>
      <c r="X806" s="20"/>
      <c r="Y806" s="20"/>
      <c r="Z806" s="20"/>
    </row>
    <row r="807" ht="13.5" customHeight="1" spans="1:26">
      <c r="A807" s="20"/>
      <c r="B807" s="20"/>
      <c r="C807" s="20"/>
      <c r="D807" s="20"/>
      <c r="E807" s="20"/>
      <c r="F807" s="20"/>
      <c r="G807" s="20"/>
      <c r="H807" s="20"/>
      <c r="I807" s="20"/>
      <c r="J807" s="20"/>
      <c r="K807" s="20"/>
      <c r="L807" s="20"/>
      <c r="M807" s="20"/>
      <c r="N807" s="20"/>
      <c r="O807" s="20"/>
      <c r="P807" s="20"/>
      <c r="Q807" s="20"/>
      <c r="R807" s="20"/>
      <c r="S807" s="20"/>
      <c r="T807" s="20"/>
      <c r="U807" s="20"/>
      <c r="V807" s="20"/>
      <c r="W807" s="20"/>
      <c r="X807" s="20"/>
      <c r="Y807" s="20"/>
      <c r="Z807" s="20"/>
    </row>
    <row r="808" ht="13.5" customHeight="1" spans="1:26">
      <c r="A808" s="20"/>
      <c r="B808" s="20"/>
      <c r="C808" s="20"/>
      <c r="D808" s="20"/>
      <c r="E808" s="20"/>
      <c r="F808" s="20"/>
      <c r="G808" s="20"/>
      <c r="H808" s="20"/>
      <c r="I808" s="20"/>
      <c r="J808" s="20"/>
      <c r="K808" s="20"/>
      <c r="L808" s="20"/>
      <c r="M808" s="20"/>
      <c r="N808" s="20"/>
      <c r="O808" s="20"/>
      <c r="P808" s="20"/>
      <c r="Q808" s="20"/>
      <c r="R808" s="20"/>
      <c r="S808" s="20"/>
      <c r="T808" s="20"/>
      <c r="U808" s="20"/>
      <c r="V808" s="20"/>
      <c r="W808" s="20"/>
      <c r="X808" s="20"/>
      <c r="Y808" s="20"/>
      <c r="Z808" s="20"/>
    </row>
    <row r="809" ht="13.5" customHeight="1" spans="1:26">
      <c r="A809" s="20"/>
      <c r="B809" s="20"/>
      <c r="C809" s="20"/>
      <c r="D809" s="20"/>
      <c r="E809" s="20"/>
      <c r="F809" s="20"/>
      <c r="G809" s="20"/>
      <c r="H809" s="20"/>
      <c r="I809" s="20"/>
      <c r="J809" s="20"/>
      <c r="K809" s="20"/>
      <c r="L809" s="20"/>
      <c r="M809" s="20"/>
      <c r="N809" s="20"/>
      <c r="O809" s="20"/>
      <c r="P809" s="20"/>
      <c r="Q809" s="20"/>
      <c r="R809" s="20"/>
      <c r="S809" s="20"/>
      <c r="T809" s="20"/>
      <c r="U809" s="20"/>
      <c r="V809" s="20"/>
      <c r="W809" s="20"/>
      <c r="X809" s="20"/>
      <c r="Y809" s="20"/>
      <c r="Z809" s="20"/>
    </row>
    <row r="810" ht="13.5" customHeight="1" spans="1:26">
      <c r="A810" s="20"/>
      <c r="B810" s="20"/>
      <c r="C810" s="20"/>
      <c r="D810" s="20"/>
      <c r="E810" s="20"/>
      <c r="F810" s="20"/>
      <c r="G810" s="20"/>
      <c r="H810" s="20"/>
      <c r="I810" s="20"/>
      <c r="J810" s="20"/>
      <c r="K810" s="20"/>
      <c r="L810" s="20"/>
      <c r="M810" s="20"/>
      <c r="N810" s="20"/>
      <c r="O810" s="20"/>
      <c r="P810" s="20"/>
      <c r="Q810" s="20"/>
      <c r="R810" s="20"/>
      <c r="S810" s="20"/>
      <c r="T810" s="20"/>
      <c r="U810" s="20"/>
      <c r="V810" s="20"/>
      <c r="W810" s="20"/>
      <c r="X810" s="20"/>
      <c r="Y810" s="20"/>
      <c r="Z810" s="20"/>
    </row>
    <row r="811" ht="13.5" customHeight="1" spans="1:26">
      <c r="A811" s="20"/>
      <c r="B811" s="20"/>
      <c r="C811" s="20"/>
      <c r="D811" s="20"/>
      <c r="E811" s="20"/>
      <c r="F811" s="20"/>
      <c r="G811" s="20"/>
      <c r="H811" s="20"/>
      <c r="I811" s="20"/>
      <c r="J811" s="20"/>
      <c r="K811" s="20"/>
      <c r="L811" s="20"/>
      <c r="M811" s="20"/>
      <c r="N811" s="20"/>
      <c r="O811" s="20"/>
      <c r="P811" s="20"/>
      <c r="Q811" s="20"/>
      <c r="R811" s="20"/>
      <c r="S811" s="20"/>
      <c r="T811" s="20"/>
      <c r="U811" s="20"/>
      <c r="V811" s="20"/>
      <c r="W811" s="20"/>
      <c r="X811" s="20"/>
      <c r="Y811" s="20"/>
      <c r="Z811" s="20"/>
    </row>
    <row r="812" ht="13.5" customHeight="1" spans="1:26">
      <c r="A812" s="20"/>
      <c r="B812" s="20"/>
      <c r="C812" s="20"/>
      <c r="D812" s="20"/>
      <c r="E812" s="20"/>
      <c r="F812" s="20"/>
      <c r="G812" s="20"/>
      <c r="H812" s="20"/>
      <c r="I812" s="20"/>
      <c r="J812" s="20"/>
      <c r="K812" s="20"/>
      <c r="L812" s="20"/>
      <c r="M812" s="20"/>
      <c r="N812" s="20"/>
      <c r="O812" s="20"/>
      <c r="P812" s="20"/>
      <c r="Q812" s="20"/>
      <c r="R812" s="20"/>
      <c r="S812" s="20"/>
      <c r="T812" s="20"/>
      <c r="U812" s="20"/>
      <c r="V812" s="20"/>
      <c r="W812" s="20"/>
      <c r="X812" s="20"/>
      <c r="Y812" s="20"/>
      <c r="Z812" s="20"/>
    </row>
    <row r="813" ht="13.5" customHeight="1" spans="1:26">
      <c r="A813" s="20"/>
      <c r="B813" s="20"/>
      <c r="C813" s="20"/>
      <c r="D813" s="20"/>
      <c r="E813" s="20"/>
      <c r="F813" s="20"/>
      <c r="G813" s="20"/>
      <c r="H813" s="20"/>
      <c r="I813" s="20"/>
      <c r="J813" s="20"/>
      <c r="K813" s="20"/>
      <c r="L813" s="20"/>
      <c r="M813" s="20"/>
      <c r="N813" s="20"/>
      <c r="O813" s="20"/>
      <c r="P813" s="20"/>
      <c r="Q813" s="20"/>
      <c r="R813" s="20"/>
      <c r="S813" s="20"/>
      <c r="T813" s="20"/>
      <c r="U813" s="20"/>
      <c r="V813" s="20"/>
      <c r="W813" s="20"/>
      <c r="X813" s="20"/>
      <c r="Y813" s="20"/>
      <c r="Z813" s="20"/>
    </row>
    <row r="814" ht="13.5" customHeight="1" spans="1:26">
      <c r="A814" s="20"/>
      <c r="B814" s="20"/>
      <c r="C814" s="20"/>
      <c r="D814" s="20"/>
      <c r="E814" s="20"/>
      <c r="F814" s="20"/>
      <c r="G814" s="20"/>
      <c r="H814" s="20"/>
      <c r="I814" s="20"/>
      <c r="J814" s="20"/>
      <c r="K814" s="20"/>
      <c r="L814" s="20"/>
      <c r="M814" s="20"/>
      <c r="N814" s="20"/>
      <c r="O814" s="20"/>
      <c r="P814" s="20"/>
      <c r="Q814" s="20"/>
      <c r="R814" s="20"/>
      <c r="S814" s="20"/>
      <c r="T814" s="20"/>
      <c r="U814" s="20"/>
      <c r="V814" s="20"/>
      <c r="W814" s="20"/>
      <c r="X814" s="20"/>
      <c r="Y814" s="20"/>
      <c r="Z814" s="20"/>
    </row>
    <row r="815" ht="13.5" customHeight="1" spans="1:26">
      <c r="A815" s="20"/>
      <c r="B815" s="20"/>
      <c r="C815" s="20"/>
      <c r="D815" s="20"/>
      <c r="E815" s="20"/>
      <c r="F815" s="20"/>
      <c r="G815" s="20"/>
      <c r="H815" s="20"/>
      <c r="I815" s="20"/>
      <c r="J815" s="20"/>
      <c r="K815" s="20"/>
      <c r="L815" s="20"/>
      <c r="M815" s="20"/>
      <c r="N815" s="20"/>
      <c r="O815" s="20"/>
      <c r="P815" s="20"/>
      <c r="Q815" s="20"/>
      <c r="R815" s="20"/>
      <c r="S815" s="20"/>
      <c r="T815" s="20"/>
      <c r="U815" s="20"/>
      <c r="V815" s="20"/>
      <c r="W815" s="20"/>
      <c r="X815" s="20"/>
      <c r="Y815" s="20"/>
      <c r="Z815" s="20"/>
    </row>
    <row r="816" ht="13.5" customHeight="1" spans="1:26">
      <c r="A816" s="20"/>
      <c r="B816" s="20"/>
      <c r="C816" s="20"/>
      <c r="D816" s="20"/>
      <c r="E816" s="20"/>
      <c r="F816" s="20"/>
      <c r="G816" s="20"/>
      <c r="H816" s="20"/>
      <c r="I816" s="20"/>
      <c r="J816" s="20"/>
      <c r="K816" s="20"/>
      <c r="L816" s="20"/>
      <c r="M816" s="20"/>
      <c r="N816" s="20"/>
      <c r="O816" s="20"/>
      <c r="P816" s="20"/>
      <c r="Q816" s="20"/>
      <c r="R816" s="20"/>
      <c r="S816" s="20"/>
      <c r="T816" s="20"/>
      <c r="U816" s="20"/>
      <c r="V816" s="20"/>
      <c r="W816" s="20"/>
      <c r="X816" s="20"/>
      <c r="Y816" s="20"/>
      <c r="Z816" s="20"/>
    </row>
    <row r="817" ht="13.5" customHeight="1" spans="1:26">
      <c r="A817" s="20"/>
      <c r="B817" s="20"/>
      <c r="C817" s="20"/>
      <c r="D817" s="20"/>
      <c r="E817" s="20"/>
      <c r="F817" s="20"/>
      <c r="G817" s="20"/>
      <c r="H817" s="20"/>
      <c r="I817" s="20"/>
      <c r="J817" s="20"/>
      <c r="K817" s="20"/>
      <c r="L817" s="20"/>
      <c r="M817" s="20"/>
      <c r="N817" s="20"/>
      <c r="O817" s="20"/>
      <c r="P817" s="20"/>
      <c r="Q817" s="20"/>
      <c r="R817" s="20"/>
      <c r="S817" s="20"/>
      <c r="T817" s="20"/>
      <c r="U817" s="20"/>
      <c r="V817" s="20"/>
      <c r="W817" s="20"/>
      <c r="X817" s="20"/>
      <c r="Y817" s="20"/>
      <c r="Z817" s="20"/>
    </row>
    <row r="818" ht="13.5" customHeight="1" spans="1:26">
      <c r="A818" s="20"/>
      <c r="B818" s="20"/>
      <c r="C818" s="20"/>
      <c r="D818" s="20"/>
      <c r="E818" s="20"/>
      <c r="F818" s="20"/>
      <c r="G818" s="20"/>
      <c r="H818" s="20"/>
      <c r="I818" s="20"/>
      <c r="J818" s="20"/>
      <c r="K818" s="20"/>
      <c r="L818" s="20"/>
      <c r="M818" s="20"/>
      <c r="N818" s="20"/>
      <c r="O818" s="20"/>
      <c r="P818" s="20"/>
      <c r="Q818" s="20"/>
      <c r="R818" s="20"/>
      <c r="S818" s="20"/>
      <c r="T818" s="20"/>
      <c r="U818" s="20"/>
      <c r="V818" s="20"/>
      <c r="W818" s="20"/>
      <c r="X818" s="20"/>
      <c r="Y818" s="20"/>
      <c r="Z818" s="20"/>
    </row>
    <row r="819" ht="13.5" customHeight="1" spans="1:26">
      <c r="A819" s="20"/>
      <c r="B819" s="20"/>
      <c r="C819" s="20"/>
      <c r="D819" s="20"/>
      <c r="E819" s="20"/>
      <c r="F819" s="20"/>
      <c r="G819" s="20"/>
      <c r="H819" s="20"/>
      <c r="I819" s="20"/>
      <c r="J819" s="20"/>
      <c r="K819" s="20"/>
      <c r="L819" s="20"/>
      <c r="M819" s="20"/>
      <c r="N819" s="20"/>
      <c r="O819" s="20"/>
      <c r="P819" s="20"/>
      <c r="Q819" s="20"/>
      <c r="R819" s="20"/>
      <c r="S819" s="20"/>
      <c r="T819" s="20"/>
      <c r="U819" s="20"/>
      <c r="V819" s="20"/>
      <c r="W819" s="20"/>
      <c r="X819" s="20"/>
      <c r="Y819" s="20"/>
      <c r="Z819" s="20"/>
    </row>
    <row r="820" ht="13.5" customHeight="1" spans="1:26">
      <c r="A820" s="20"/>
      <c r="B820" s="20"/>
      <c r="C820" s="20"/>
      <c r="D820" s="20"/>
      <c r="E820" s="20"/>
      <c r="F820" s="20"/>
      <c r="G820" s="20"/>
      <c r="H820" s="20"/>
      <c r="I820" s="20"/>
      <c r="J820" s="20"/>
      <c r="K820" s="20"/>
      <c r="L820" s="20"/>
      <c r="M820" s="20"/>
      <c r="N820" s="20"/>
      <c r="O820" s="20"/>
      <c r="P820" s="20"/>
      <c r="Q820" s="20"/>
      <c r="R820" s="20"/>
      <c r="S820" s="20"/>
      <c r="T820" s="20"/>
      <c r="U820" s="20"/>
      <c r="V820" s="20"/>
      <c r="W820" s="20"/>
      <c r="X820" s="20"/>
      <c r="Y820" s="20"/>
      <c r="Z820" s="20"/>
    </row>
    <row r="821" ht="13.5" customHeight="1" spans="1:26">
      <c r="A821" s="20"/>
      <c r="B821" s="20"/>
      <c r="C821" s="20"/>
      <c r="D821" s="20"/>
      <c r="E821" s="20"/>
      <c r="F821" s="20"/>
      <c r="G821" s="20"/>
      <c r="H821" s="20"/>
      <c r="I821" s="20"/>
      <c r="J821" s="20"/>
      <c r="K821" s="20"/>
      <c r="L821" s="20"/>
      <c r="M821" s="20"/>
      <c r="N821" s="20"/>
      <c r="O821" s="20"/>
      <c r="P821" s="20"/>
      <c r="Q821" s="20"/>
      <c r="R821" s="20"/>
      <c r="S821" s="20"/>
      <c r="T821" s="20"/>
      <c r="U821" s="20"/>
      <c r="V821" s="20"/>
      <c r="W821" s="20"/>
      <c r="X821" s="20"/>
      <c r="Y821" s="20"/>
      <c r="Z821" s="20"/>
    </row>
    <row r="822" ht="13.5" customHeight="1" spans="1:26">
      <c r="A822" s="20"/>
      <c r="B822" s="20"/>
      <c r="C822" s="20"/>
      <c r="D822" s="20"/>
      <c r="E822" s="20"/>
      <c r="F822" s="20"/>
      <c r="G822" s="20"/>
      <c r="H822" s="20"/>
      <c r="I822" s="20"/>
      <c r="J822" s="20"/>
      <c r="K822" s="20"/>
      <c r="L822" s="20"/>
      <c r="M822" s="20"/>
      <c r="N822" s="20"/>
      <c r="O822" s="20"/>
      <c r="P822" s="20"/>
      <c r="Q822" s="20"/>
      <c r="R822" s="20"/>
      <c r="S822" s="20"/>
      <c r="T822" s="20"/>
      <c r="U822" s="20"/>
      <c r="V822" s="20"/>
      <c r="W822" s="20"/>
      <c r="X822" s="20"/>
      <c r="Y822" s="20"/>
      <c r="Z822" s="20"/>
    </row>
    <row r="823" ht="13.5" customHeight="1" spans="1:26">
      <c r="A823" s="20"/>
      <c r="B823" s="20"/>
      <c r="C823" s="20"/>
      <c r="D823" s="20"/>
      <c r="E823" s="20"/>
      <c r="F823" s="20"/>
      <c r="G823" s="20"/>
      <c r="H823" s="20"/>
      <c r="I823" s="20"/>
      <c r="J823" s="20"/>
      <c r="K823" s="20"/>
      <c r="L823" s="20"/>
      <c r="M823" s="20"/>
      <c r="N823" s="20"/>
      <c r="O823" s="20"/>
      <c r="P823" s="20"/>
      <c r="Q823" s="20"/>
      <c r="R823" s="20"/>
      <c r="S823" s="20"/>
      <c r="T823" s="20"/>
      <c r="U823" s="20"/>
      <c r="V823" s="20"/>
      <c r="W823" s="20"/>
      <c r="X823" s="20"/>
      <c r="Y823" s="20"/>
      <c r="Z823" s="20"/>
    </row>
    <row r="824" ht="13.5" customHeight="1" spans="1:26">
      <c r="A824" s="20"/>
      <c r="B824" s="20"/>
      <c r="C824" s="20"/>
      <c r="D824" s="20"/>
      <c r="E824" s="20"/>
      <c r="F824" s="20"/>
      <c r="G824" s="20"/>
      <c r="H824" s="20"/>
      <c r="I824" s="20"/>
      <c r="J824" s="20"/>
      <c r="K824" s="20"/>
      <c r="L824" s="20"/>
      <c r="M824" s="20"/>
      <c r="N824" s="20"/>
      <c r="O824" s="20"/>
      <c r="P824" s="20"/>
      <c r="Q824" s="20"/>
      <c r="R824" s="20"/>
      <c r="S824" s="20"/>
      <c r="T824" s="20"/>
      <c r="U824" s="20"/>
      <c r="V824" s="20"/>
      <c r="W824" s="20"/>
      <c r="X824" s="20"/>
      <c r="Y824" s="20"/>
      <c r="Z824" s="20"/>
    </row>
    <row r="825" ht="13.5" customHeight="1" spans="1:26">
      <c r="A825" s="20"/>
      <c r="B825" s="20"/>
      <c r="C825" s="20"/>
      <c r="D825" s="20"/>
      <c r="E825" s="20"/>
      <c r="F825" s="20"/>
      <c r="G825" s="20"/>
      <c r="H825" s="20"/>
      <c r="I825" s="20"/>
      <c r="J825" s="20"/>
      <c r="K825" s="20"/>
      <c r="L825" s="20"/>
      <c r="M825" s="20"/>
      <c r="N825" s="20"/>
      <c r="O825" s="20"/>
      <c r="P825" s="20"/>
      <c r="Q825" s="20"/>
      <c r="R825" s="20"/>
      <c r="S825" s="20"/>
      <c r="T825" s="20"/>
      <c r="U825" s="20"/>
      <c r="V825" s="20"/>
      <c r="W825" s="20"/>
      <c r="X825" s="20"/>
      <c r="Y825" s="20"/>
      <c r="Z825" s="20"/>
    </row>
    <row r="826" ht="13.5" customHeight="1" spans="1:26">
      <c r="A826" s="20"/>
      <c r="B826" s="20"/>
      <c r="C826" s="20"/>
      <c r="D826" s="20"/>
      <c r="E826" s="20"/>
      <c r="F826" s="20"/>
      <c r="G826" s="20"/>
      <c r="H826" s="20"/>
      <c r="I826" s="20"/>
      <c r="J826" s="20"/>
      <c r="K826" s="20"/>
      <c r="L826" s="20"/>
      <c r="M826" s="20"/>
      <c r="N826" s="20"/>
      <c r="O826" s="20"/>
      <c r="P826" s="20"/>
      <c r="Q826" s="20"/>
      <c r="R826" s="20"/>
      <c r="S826" s="20"/>
      <c r="T826" s="20"/>
      <c r="U826" s="20"/>
      <c r="V826" s="20"/>
      <c r="W826" s="20"/>
      <c r="X826" s="20"/>
      <c r="Y826" s="20"/>
      <c r="Z826" s="20"/>
    </row>
    <row r="827" ht="13.5" customHeight="1" spans="1:26">
      <c r="A827" s="20"/>
      <c r="B827" s="20"/>
      <c r="C827" s="20"/>
      <c r="D827" s="20"/>
      <c r="E827" s="20"/>
      <c r="F827" s="20"/>
      <c r="G827" s="20"/>
      <c r="H827" s="20"/>
      <c r="I827" s="20"/>
      <c r="J827" s="20"/>
      <c r="K827" s="20"/>
      <c r="L827" s="20"/>
      <c r="M827" s="20"/>
      <c r="N827" s="20"/>
      <c r="O827" s="20"/>
      <c r="P827" s="20"/>
      <c r="Q827" s="20"/>
      <c r="R827" s="20"/>
      <c r="S827" s="20"/>
      <c r="T827" s="20"/>
      <c r="U827" s="20"/>
      <c r="V827" s="20"/>
      <c r="W827" s="20"/>
      <c r="X827" s="20"/>
      <c r="Y827" s="20"/>
      <c r="Z827" s="20"/>
    </row>
    <row r="828" ht="13.5" customHeight="1" spans="1:26">
      <c r="A828" s="20"/>
      <c r="B828" s="20"/>
      <c r="C828" s="20"/>
      <c r="D828" s="20"/>
      <c r="E828" s="20"/>
      <c r="F828" s="20"/>
      <c r="G828" s="20"/>
      <c r="H828" s="20"/>
      <c r="I828" s="20"/>
      <c r="J828" s="20"/>
      <c r="K828" s="20"/>
      <c r="L828" s="20"/>
      <c r="M828" s="20"/>
      <c r="N828" s="20"/>
      <c r="O828" s="20"/>
      <c r="P828" s="20"/>
      <c r="Q828" s="20"/>
      <c r="R828" s="20"/>
      <c r="S828" s="20"/>
      <c r="T828" s="20"/>
      <c r="U828" s="20"/>
      <c r="V828" s="20"/>
      <c r="W828" s="20"/>
      <c r="X828" s="20"/>
      <c r="Y828" s="20"/>
      <c r="Z828" s="20"/>
    </row>
    <row r="829" ht="13.5" customHeight="1" spans="1:26">
      <c r="A829" s="20"/>
      <c r="B829" s="20"/>
      <c r="C829" s="20"/>
      <c r="D829" s="20"/>
      <c r="E829" s="20"/>
      <c r="F829" s="20"/>
      <c r="G829" s="20"/>
      <c r="H829" s="20"/>
      <c r="I829" s="20"/>
      <c r="J829" s="20"/>
      <c r="K829" s="20"/>
      <c r="L829" s="20"/>
      <c r="M829" s="20"/>
      <c r="N829" s="20"/>
      <c r="O829" s="20"/>
      <c r="P829" s="20"/>
      <c r="Q829" s="20"/>
      <c r="R829" s="20"/>
      <c r="S829" s="20"/>
      <c r="T829" s="20"/>
      <c r="U829" s="20"/>
      <c r="V829" s="20"/>
      <c r="W829" s="20"/>
      <c r="X829" s="20"/>
      <c r="Y829" s="20"/>
      <c r="Z829" s="20"/>
    </row>
    <row r="830" ht="13.5" customHeight="1" spans="1:26">
      <c r="A830" s="20"/>
      <c r="B830" s="20"/>
      <c r="C830" s="20"/>
      <c r="D830" s="20"/>
      <c r="E830" s="20"/>
      <c r="F830" s="20"/>
      <c r="G830" s="20"/>
      <c r="H830" s="20"/>
      <c r="I830" s="20"/>
      <c r="J830" s="20"/>
      <c r="K830" s="20"/>
      <c r="L830" s="20"/>
      <c r="M830" s="20"/>
      <c r="N830" s="20"/>
      <c r="O830" s="20"/>
      <c r="P830" s="20"/>
      <c r="Q830" s="20"/>
      <c r="R830" s="20"/>
      <c r="S830" s="20"/>
      <c r="T830" s="20"/>
      <c r="U830" s="20"/>
      <c r="V830" s="20"/>
      <c r="W830" s="20"/>
      <c r="X830" s="20"/>
      <c r="Y830" s="20"/>
      <c r="Z830" s="20"/>
    </row>
    <row r="831" ht="13.5" customHeight="1" spans="1:26">
      <c r="A831" s="20"/>
      <c r="B831" s="20"/>
      <c r="C831" s="20"/>
      <c r="D831" s="20"/>
      <c r="E831" s="20"/>
      <c r="F831" s="20"/>
      <c r="G831" s="20"/>
      <c r="H831" s="20"/>
      <c r="I831" s="20"/>
      <c r="J831" s="20"/>
      <c r="K831" s="20"/>
      <c r="L831" s="20"/>
      <c r="M831" s="20"/>
      <c r="N831" s="20"/>
      <c r="O831" s="20"/>
      <c r="P831" s="20"/>
      <c r="Q831" s="20"/>
      <c r="R831" s="20"/>
      <c r="S831" s="20"/>
      <c r="T831" s="20"/>
      <c r="U831" s="20"/>
      <c r="V831" s="20"/>
      <c r="W831" s="20"/>
      <c r="X831" s="20"/>
      <c r="Y831" s="20"/>
      <c r="Z831" s="20"/>
    </row>
    <row r="832" ht="13.5" customHeight="1" spans="1:26">
      <c r="A832" s="20"/>
      <c r="B832" s="20"/>
      <c r="C832" s="20"/>
      <c r="D832" s="20"/>
      <c r="E832" s="20"/>
      <c r="F832" s="20"/>
      <c r="G832" s="20"/>
      <c r="H832" s="20"/>
      <c r="I832" s="20"/>
      <c r="J832" s="20"/>
      <c r="K832" s="20"/>
      <c r="L832" s="20"/>
      <c r="M832" s="20"/>
      <c r="N832" s="20"/>
      <c r="O832" s="20"/>
      <c r="P832" s="20"/>
      <c r="Q832" s="20"/>
      <c r="R832" s="20"/>
      <c r="S832" s="20"/>
      <c r="T832" s="20"/>
      <c r="U832" s="20"/>
      <c r="V832" s="20"/>
      <c r="W832" s="20"/>
      <c r="X832" s="20"/>
      <c r="Y832" s="20"/>
      <c r="Z832" s="20"/>
    </row>
    <row r="833" ht="13.5" customHeight="1" spans="1:26">
      <c r="A833" s="20"/>
      <c r="B833" s="20"/>
      <c r="C833" s="20"/>
      <c r="D833" s="20"/>
      <c r="E833" s="20"/>
      <c r="F833" s="20"/>
      <c r="G833" s="20"/>
      <c r="H833" s="20"/>
      <c r="I833" s="20"/>
      <c r="J833" s="20"/>
      <c r="K833" s="20"/>
      <c r="L833" s="20"/>
      <c r="M833" s="20"/>
      <c r="N833" s="20"/>
      <c r="O833" s="20"/>
      <c r="P833" s="20"/>
      <c r="Q833" s="20"/>
      <c r="R833" s="20"/>
      <c r="S833" s="20"/>
      <c r="T833" s="20"/>
      <c r="U833" s="20"/>
      <c r="V833" s="20"/>
      <c r="W833" s="20"/>
      <c r="X833" s="20"/>
      <c r="Y833" s="20"/>
      <c r="Z833" s="20"/>
    </row>
    <row r="834" ht="13.5" customHeight="1" spans="1:26">
      <c r="A834" s="20"/>
      <c r="B834" s="20"/>
      <c r="C834" s="20"/>
      <c r="D834" s="20"/>
      <c r="E834" s="20"/>
      <c r="F834" s="20"/>
      <c r="G834" s="20"/>
      <c r="H834" s="20"/>
      <c r="I834" s="20"/>
      <c r="J834" s="20"/>
      <c r="K834" s="20"/>
      <c r="L834" s="20"/>
      <c r="M834" s="20"/>
      <c r="N834" s="20"/>
      <c r="O834" s="20"/>
      <c r="P834" s="20"/>
      <c r="Q834" s="20"/>
      <c r="R834" s="20"/>
      <c r="S834" s="20"/>
      <c r="T834" s="20"/>
      <c r="U834" s="20"/>
      <c r="V834" s="20"/>
      <c r="W834" s="20"/>
      <c r="X834" s="20"/>
      <c r="Y834" s="20"/>
      <c r="Z834" s="20"/>
    </row>
    <row r="835" ht="13.5" customHeight="1" spans="1:26">
      <c r="A835" s="20"/>
      <c r="B835" s="20"/>
      <c r="C835" s="20"/>
      <c r="D835" s="20"/>
      <c r="E835" s="20"/>
      <c r="F835" s="20"/>
      <c r="G835" s="20"/>
      <c r="H835" s="20"/>
      <c r="I835" s="20"/>
      <c r="J835" s="20"/>
      <c r="K835" s="20"/>
      <c r="L835" s="20"/>
      <c r="M835" s="20"/>
      <c r="N835" s="20"/>
      <c r="O835" s="20"/>
      <c r="P835" s="20"/>
      <c r="Q835" s="20"/>
      <c r="R835" s="20"/>
      <c r="S835" s="20"/>
      <c r="T835" s="20"/>
      <c r="U835" s="20"/>
      <c r="V835" s="20"/>
      <c r="W835" s="20"/>
      <c r="X835" s="20"/>
      <c r="Y835" s="20"/>
      <c r="Z835" s="20"/>
    </row>
    <row r="836" ht="13.5" customHeight="1" spans="1:26">
      <c r="A836" s="20"/>
      <c r="B836" s="20"/>
      <c r="C836" s="20"/>
      <c r="D836" s="20"/>
      <c r="E836" s="20"/>
      <c r="F836" s="20"/>
      <c r="G836" s="20"/>
      <c r="H836" s="20"/>
      <c r="I836" s="20"/>
      <c r="J836" s="20"/>
      <c r="K836" s="20"/>
      <c r="L836" s="20"/>
      <c r="M836" s="20"/>
      <c r="N836" s="20"/>
      <c r="O836" s="20"/>
      <c r="P836" s="20"/>
      <c r="Q836" s="20"/>
      <c r="R836" s="20"/>
      <c r="S836" s="20"/>
      <c r="T836" s="20"/>
      <c r="U836" s="20"/>
      <c r="V836" s="20"/>
      <c r="W836" s="20"/>
      <c r="X836" s="20"/>
      <c r="Y836" s="20"/>
      <c r="Z836" s="20"/>
    </row>
    <row r="837" ht="13.5" customHeight="1" spans="1:26">
      <c r="A837" s="20"/>
      <c r="B837" s="20"/>
      <c r="C837" s="20"/>
      <c r="D837" s="20"/>
      <c r="E837" s="20"/>
      <c r="F837" s="20"/>
      <c r="G837" s="20"/>
      <c r="H837" s="20"/>
      <c r="I837" s="20"/>
      <c r="J837" s="20"/>
      <c r="K837" s="20"/>
      <c r="L837" s="20"/>
      <c r="M837" s="20"/>
      <c r="N837" s="20"/>
      <c r="O837" s="20"/>
      <c r="P837" s="20"/>
      <c r="Q837" s="20"/>
      <c r="R837" s="20"/>
      <c r="S837" s="20"/>
      <c r="T837" s="20"/>
      <c r="U837" s="20"/>
      <c r="V837" s="20"/>
      <c r="W837" s="20"/>
      <c r="X837" s="20"/>
      <c r="Y837" s="20"/>
      <c r="Z837" s="20"/>
    </row>
    <row r="838" ht="13.5" customHeight="1" spans="1:26">
      <c r="A838" s="20"/>
      <c r="B838" s="20"/>
      <c r="C838" s="20"/>
      <c r="D838" s="20"/>
      <c r="E838" s="20"/>
      <c r="F838" s="20"/>
      <c r="G838" s="20"/>
      <c r="H838" s="20"/>
      <c r="I838" s="20"/>
      <c r="J838" s="20"/>
      <c r="K838" s="20"/>
      <c r="L838" s="20"/>
      <c r="M838" s="20"/>
      <c r="N838" s="20"/>
      <c r="O838" s="20"/>
      <c r="P838" s="20"/>
      <c r="Q838" s="20"/>
      <c r="R838" s="20"/>
      <c r="S838" s="20"/>
      <c r="T838" s="20"/>
      <c r="U838" s="20"/>
      <c r="V838" s="20"/>
      <c r="W838" s="20"/>
      <c r="X838" s="20"/>
      <c r="Y838" s="20"/>
      <c r="Z838" s="20"/>
    </row>
    <row r="839" ht="13.5" customHeight="1" spans="1:26">
      <c r="A839" s="20"/>
      <c r="B839" s="20"/>
      <c r="C839" s="20"/>
      <c r="D839" s="20"/>
      <c r="E839" s="20"/>
      <c r="F839" s="20"/>
      <c r="G839" s="20"/>
      <c r="H839" s="20"/>
      <c r="I839" s="20"/>
      <c r="J839" s="20"/>
      <c r="K839" s="20"/>
      <c r="L839" s="20"/>
      <c r="M839" s="20"/>
      <c r="N839" s="20"/>
      <c r="O839" s="20"/>
      <c r="P839" s="20"/>
      <c r="Q839" s="20"/>
      <c r="R839" s="20"/>
      <c r="S839" s="20"/>
      <c r="T839" s="20"/>
      <c r="U839" s="20"/>
      <c r="V839" s="20"/>
      <c r="W839" s="20"/>
      <c r="X839" s="20"/>
      <c r="Y839" s="20"/>
      <c r="Z839" s="20"/>
    </row>
    <row r="840" ht="13.5" customHeight="1" spans="1:26">
      <c r="A840" s="20"/>
      <c r="B840" s="20"/>
      <c r="C840" s="20"/>
      <c r="D840" s="20"/>
      <c r="E840" s="20"/>
      <c r="F840" s="20"/>
      <c r="G840" s="20"/>
      <c r="H840" s="20"/>
      <c r="I840" s="20"/>
      <c r="J840" s="20"/>
      <c r="K840" s="20"/>
      <c r="L840" s="20"/>
      <c r="M840" s="20"/>
      <c r="N840" s="20"/>
      <c r="O840" s="20"/>
      <c r="P840" s="20"/>
      <c r="Q840" s="20"/>
      <c r="R840" s="20"/>
      <c r="S840" s="20"/>
      <c r="T840" s="20"/>
      <c r="U840" s="20"/>
      <c r="V840" s="20"/>
      <c r="W840" s="20"/>
      <c r="X840" s="20"/>
      <c r="Y840" s="20"/>
      <c r="Z840" s="20"/>
    </row>
    <row r="841" ht="13.5" customHeight="1" spans="1:26">
      <c r="A841" s="20"/>
      <c r="B841" s="20"/>
      <c r="C841" s="20"/>
      <c r="D841" s="20"/>
      <c r="E841" s="20"/>
      <c r="F841" s="20"/>
      <c r="G841" s="20"/>
      <c r="H841" s="20"/>
      <c r="I841" s="20"/>
      <c r="J841" s="20"/>
      <c r="K841" s="20"/>
      <c r="L841" s="20"/>
      <c r="M841" s="20"/>
      <c r="N841" s="20"/>
      <c r="O841" s="20"/>
      <c r="P841" s="20"/>
      <c r="Q841" s="20"/>
      <c r="R841" s="20"/>
      <c r="S841" s="20"/>
      <c r="T841" s="20"/>
      <c r="U841" s="20"/>
      <c r="V841" s="20"/>
      <c r="W841" s="20"/>
      <c r="X841" s="20"/>
      <c r="Y841" s="20"/>
      <c r="Z841" s="20"/>
    </row>
    <row r="842" ht="13.5" customHeight="1" spans="1:26">
      <c r="A842" s="20"/>
      <c r="B842" s="20"/>
      <c r="C842" s="20"/>
      <c r="D842" s="20"/>
      <c r="E842" s="20"/>
      <c r="F842" s="20"/>
      <c r="G842" s="20"/>
      <c r="H842" s="20"/>
      <c r="I842" s="20"/>
      <c r="J842" s="20"/>
      <c r="K842" s="20"/>
      <c r="L842" s="20"/>
      <c r="M842" s="20"/>
      <c r="N842" s="20"/>
      <c r="O842" s="20"/>
      <c r="P842" s="20"/>
      <c r="Q842" s="20"/>
      <c r="R842" s="20"/>
      <c r="S842" s="20"/>
      <c r="T842" s="20"/>
      <c r="U842" s="20"/>
      <c r="V842" s="20"/>
      <c r="W842" s="20"/>
      <c r="X842" s="20"/>
      <c r="Y842" s="20"/>
      <c r="Z842" s="20"/>
    </row>
    <row r="843" ht="13.5" customHeight="1" spans="1:26">
      <c r="A843" s="20"/>
      <c r="B843" s="20"/>
      <c r="C843" s="20"/>
      <c r="D843" s="20"/>
      <c r="E843" s="20"/>
      <c r="F843" s="20"/>
      <c r="G843" s="20"/>
      <c r="H843" s="20"/>
      <c r="I843" s="20"/>
      <c r="J843" s="20"/>
      <c r="K843" s="20"/>
      <c r="L843" s="20"/>
      <c r="M843" s="20"/>
      <c r="N843" s="20"/>
      <c r="O843" s="20"/>
      <c r="P843" s="20"/>
      <c r="Q843" s="20"/>
      <c r="R843" s="20"/>
      <c r="S843" s="20"/>
      <c r="T843" s="20"/>
      <c r="U843" s="20"/>
      <c r="V843" s="20"/>
      <c r="W843" s="20"/>
      <c r="X843" s="20"/>
      <c r="Y843" s="20"/>
      <c r="Z843" s="20"/>
    </row>
    <row r="844" ht="13.5" customHeight="1" spans="1:26">
      <c r="A844" s="20"/>
      <c r="B844" s="20"/>
      <c r="C844" s="20"/>
      <c r="D844" s="20"/>
      <c r="E844" s="20"/>
      <c r="F844" s="20"/>
      <c r="G844" s="20"/>
      <c r="H844" s="20"/>
      <c r="I844" s="20"/>
      <c r="J844" s="20"/>
      <c r="K844" s="20"/>
      <c r="L844" s="20"/>
      <c r="M844" s="20"/>
      <c r="N844" s="20"/>
      <c r="O844" s="20"/>
      <c r="P844" s="20"/>
      <c r="Q844" s="20"/>
      <c r="R844" s="20"/>
      <c r="S844" s="20"/>
      <c r="T844" s="20"/>
      <c r="U844" s="20"/>
      <c r="V844" s="20"/>
      <c r="W844" s="20"/>
      <c r="X844" s="20"/>
      <c r="Y844" s="20"/>
      <c r="Z844" s="20"/>
    </row>
    <row r="845" ht="13.5" customHeight="1" spans="1:26">
      <c r="A845" s="20"/>
      <c r="B845" s="20"/>
      <c r="C845" s="20"/>
      <c r="D845" s="20"/>
      <c r="E845" s="20"/>
      <c r="F845" s="20"/>
      <c r="G845" s="20"/>
      <c r="H845" s="20"/>
      <c r="I845" s="20"/>
      <c r="J845" s="20"/>
      <c r="K845" s="20"/>
      <c r="L845" s="20"/>
      <c r="M845" s="20"/>
      <c r="N845" s="20"/>
      <c r="O845" s="20"/>
      <c r="P845" s="20"/>
      <c r="Q845" s="20"/>
      <c r="R845" s="20"/>
      <c r="S845" s="20"/>
      <c r="T845" s="20"/>
      <c r="U845" s="20"/>
      <c r="V845" s="20"/>
      <c r="W845" s="20"/>
      <c r="X845" s="20"/>
      <c r="Y845" s="20"/>
      <c r="Z845" s="20"/>
    </row>
    <row r="846" ht="13.5" customHeight="1" spans="1:26">
      <c r="A846" s="20"/>
      <c r="B846" s="20"/>
      <c r="C846" s="20"/>
      <c r="D846" s="20"/>
      <c r="E846" s="20"/>
      <c r="F846" s="20"/>
      <c r="G846" s="20"/>
      <c r="H846" s="20"/>
      <c r="I846" s="20"/>
      <c r="J846" s="20"/>
      <c r="K846" s="20"/>
      <c r="L846" s="20"/>
      <c r="M846" s="20"/>
      <c r="N846" s="20"/>
      <c r="O846" s="20"/>
      <c r="P846" s="20"/>
      <c r="Q846" s="20"/>
      <c r="R846" s="20"/>
      <c r="S846" s="20"/>
      <c r="T846" s="20"/>
      <c r="U846" s="20"/>
      <c r="V846" s="20"/>
      <c r="W846" s="20"/>
      <c r="X846" s="20"/>
      <c r="Y846" s="20"/>
      <c r="Z846" s="20"/>
    </row>
    <row r="847" ht="13.5" customHeight="1" spans="1:26">
      <c r="A847" s="20"/>
      <c r="B847" s="20"/>
      <c r="C847" s="20"/>
      <c r="D847" s="20"/>
      <c r="E847" s="20"/>
      <c r="F847" s="20"/>
      <c r="G847" s="20"/>
      <c r="H847" s="20"/>
      <c r="I847" s="20"/>
      <c r="J847" s="20"/>
      <c r="K847" s="20"/>
      <c r="L847" s="20"/>
      <c r="M847" s="20"/>
      <c r="N847" s="20"/>
      <c r="O847" s="20"/>
      <c r="P847" s="20"/>
      <c r="Q847" s="20"/>
      <c r="R847" s="20"/>
      <c r="S847" s="20"/>
      <c r="T847" s="20"/>
      <c r="U847" s="20"/>
      <c r="V847" s="20"/>
      <c r="W847" s="20"/>
      <c r="X847" s="20"/>
      <c r="Y847" s="20"/>
      <c r="Z847" s="20"/>
    </row>
    <row r="848" ht="13.5" customHeight="1" spans="1:26">
      <c r="A848" s="20"/>
      <c r="B848" s="20"/>
      <c r="C848" s="20"/>
      <c r="D848" s="20"/>
      <c r="E848" s="20"/>
      <c r="F848" s="20"/>
      <c r="G848" s="20"/>
      <c r="H848" s="20"/>
      <c r="I848" s="20"/>
      <c r="J848" s="20"/>
      <c r="K848" s="20"/>
      <c r="L848" s="20"/>
      <c r="M848" s="20"/>
      <c r="N848" s="20"/>
      <c r="O848" s="20"/>
      <c r="P848" s="20"/>
      <c r="Q848" s="20"/>
      <c r="R848" s="20"/>
      <c r="S848" s="20"/>
      <c r="T848" s="20"/>
      <c r="U848" s="20"/>
      <c r="V848" s="20"/>
      <c r="W848" s="20"/>
      <c r="X848" s="20"/>
      <c r="Y848" s="20"/>
      <c r="Z848" s="20"/>
    </row>
    <row r="849" ht="13.5" customHeight="1" spans="1:26">
      <c r="A849" s="20"/>
      <c r="B849" s="20"/>
      <c r="C849" s="20"/>
      <c r="D849" s="20"/>
      <c r="E849" s="20"/>
      <c r="F849" s="20"/>
      <c r="G849" s="20"/>
      <c r="H849" s="20"/>
      <c r="I849" s="20"/>
      <c r="J849" s="20"/>
      <c r="K849" s="20"/>
      <c r="L849" s="20"/>
      <c r="M849" s="20"/>
      <c r="N849" s="20"/>
      <c r="O849" s="20"/>
      <c r="P849" s="20"/>
      <c r="Q849" s="20"/>
      <c r="R849" s="20"/>
      <c r="S849" s="20"/>
      <c r="T849" s="20"/>
      <c r="U849" s="20"/>
      <c r="V849" s="20"/>
      <c r="W849" s="20"/>
      <c r="X849" s="20"/>
      <c r="Y849" s="20"/>
      <c r="Z849" s="20"/>
    </row>
    <row r="850" ht="13.5" customHeight="1" spans="1:26">
      <c r="A850" s="20"/>
      <c r="B850" s="20"/>
      <c r="C850" s="20"/>
      <c r="D850" s="20"/>
      <c r="E850" s="20"/>
      <c r="F850" s="20"/>
      <c r="G850" s="20"/>
      <c r="H850" s="20"/>
      <c r="I850" s="20"/>
      <c r="J850" s="20"/>
      <c r="K850" s="20"/>
      <c r="L850" s="20"/>
      <c r="M850" s="20"/>
      <c r="N850" s="20"/>
      <c r="O850" s="20"/>
      <c r="P850" s="20"/>
      <c r="Q850" s="20"/>
      <c r="R850" s="20"/>
      <c r="S850" s="20"/>
      <c r="T850" s="20"/>
      <c r="U850" s="20"/>
      <c r="V850" s="20"/>
      <c r="W850" s="20"/>
      <c r="X850" s="20"/>
      <c r="Y850" s="20"/>
      <c r="Z850" s="20"/>
    </row>
    <row r="851" ht="13.5" customHeight="1" spans="1:26">
      <c r="A851" s="20"/>
      <c r="B851" s="20"/>
      <c r="C851" s="20"/>
      <c r="D851" s="20"/>
      <c r="E851" s="20"/>
      <c r="F851" s="20"/>
      <c r="G851" s="20"/>
      <c r="H851" s="20"/>
      <c r="I851" s="20"/>
      <c r="J851" s="20"/>
      <c r="K851" s="20"/>
      <c r="L851" s="20"/>
      <c r="M851" s="20"/>
      <c r="N851" s="20"/>
      <c r="O851" s="20"/>
      <c r="P851" s="20"/>
      <c r="Q851" s="20"/>
      <c r="R851" s="20"/>
      <c r="S851" s="20"/>
      <c r="T851" s="20"/>
      <c r="U851" s="20"/>
      <c r="V851" s="20"/>
      <c r="W851" s="20"/>
      <c r="X851" s="20"/>
      <c r="Y851" s="20"/>
      <c r="Z851" s="20"/>
    </row>
    <row r="852" ht="13.5" customHeight="1" spans="1:26">
      <c r="A852" s="20"/>
      <c r="B852" s="20"/>
      <c r="C852" s="20"/>
      <c r="D852" s="20"/>
      <c r="E852" s="20"/>
      <c r="F852" s="20"/>
      <c r="G852" s="20"/>
      <c r="H852" s="20"/>
      <c r="I852" s="20"/>
      <c r="J852" s="20"/>
      <c r="K852" s="20"/>
      <c r="L852" s="20"/>
      <c r="M852" s="20"/>
      <c r="N852" s="20"/>
      <c r="O852" s="20"/>
      <c r="P852" s="20"/>
      <c r="Q852" s="20"/>
      <c r="R852" s="20"/>
      <c r="S852" s="20"/>
      <c r="T852" s="20"/>
      <c r="U852" s="20"/>
      <c r="V852" s="20"/>
      <c r="W852" s="20"/>
      <c r="X852" s="20"/>
      <c r="Y852" s="20"/>
      <c r="Z852" s="20"/>
    </row>
    <row r="853" ht="13.5" customHeight="1" spans="1:26">
      <c r="A853" s="20"/>
      <c r="B853" s="20"/>
      <c r="C853" s="20"/>
      <c r="D853" s="20"/>
      <c r="E853" s="20"/>
      <c r="F853" s="20"/>
      <c r="G853" s="20"/>
      <c r="H853" s="20"/>
      <c r="I853" s="20"/>
      <c r="J853" s="20"/>
      <c r="K853" s="20"/>
      <c r="L853" s="20"/>
      <c r="M853" s="20"/>
      <c r="N853" s="20"/>
      <c r="O853" s="20"/>
      <c r="P853" s="20"/>
      <c r="Q853" s="20"/>
      <c r="R853" s="20"/>
      <c r="S853" s="20"/>
      <c r="T853" s="20"/>
      <c r="U853" s="20"/>
      <c r="V853" s="20"/>
      <c r="W853" s="20"/>
      <c r="X853" s="20"/>
      <c r="Y853" s="20"/>
      <c r="Z853" s="20"/>
    </row>
    <row r="854" ht="13.5" customHeight="1" spans="1:26">
      <c r="A854" s="20"/>
      <c r="B854" s="20"/>
      <c r="C854" s="20"/>
      <c r="D854" s="20"/>
      <c r="E854" s="20"/>
      <c r="F854" s="20"/>
      <c r="G854" s="20"/>
      <c r="H854" s="20"/>
      <c r="I854" s="20"/>
      <c r="J854" s="20"/>
      <c r="K854" s="20"/>
      <c r="L854" s="20"/>
      <c r="M854" s="20"/>
      <c r="N854" s="20"/>
      <c r="O854" s="20"/>
      <c r="P854" s="20"/>
      <c r="Q854" s="20"/>
      <c r="R854" s="20"/>
      <c r="S854" s="20"/>
      <c r="T854" s="20"/>
      <c r="U854" s="20"/>
      <c r="V854" s="20"/>
      <c r="W854" s="20"/>
      <c r="X854" s="20"/>
      <c r="Y854" s="20"/>
      <c r="Z854" s="20"/>
    </row>
    <row r="855" ht="13.5" customHeight="1" spans="1:26">
      <c r="A855" s="20"/>
      <c r="B855" s="20"/>
      <c r="C855" s="20"/>
      <c r="D855" s="20"/>
      <c r="E855" s="20"/>
      <c r="F855" s="20"/>
      <c r="G855" s="20"/>
      <c r="H855" s="20"/>
      <c r="I855" s="20"/>
      <c r="J855" s="20"/>
      <c r="K855" s="20"/>
      <c r="L855" s="20"/>
      <c r="M855" s="20"/>
      <c r="N855" s="20"/>
      <c r="O855" s="20"/>
      <c r="P855" s="20"/>
      <c r="Q855" s="20"/>
      <c r="R855" s="20"/>
      <c r="S855" s="20"/>
      <c r="T855" s="20"/>
      <c r="U855" s="20"/>
      <c r="V855" s="20"/>
      <c r="W855" s="20"/>
      <c r="X855" s="20"/>
      <c r="Y855" s="20"/>
      <c r="Z855" s="20"/>
    </row>
    <row r="856" ht="13.5" customHeight="1" spans="1:26">
      <c r="A856" s="20"/>
      <c r="B856" s="20"/>
      <c r="C856" s="20"/>
      <c r="D856" s="20"/>
      <c r="E856" s="20"/>
      <c r="F856" s="20"/>
      <c r="G856" s="20"/>
      <c r="H856" s="20"/>
      <c r="I856" s="20"/>
      <c r="J856" s="20"/>
      <c r="K856" s="20"/>
      <c r="L856" s="20"/>
      <c r="M856" s="20"/>
      <c r="N856" s="20"/>
      <c r="O856" s="20"/>
      <c r="P856" s="20"/>
      <c r="Q856" s="20"/>
      <c r="R856" s="20"/>
      <c r="S856" s="20"/>
      <c r="T856" s="20"/>
      <c r="U856" s="20"/>
      <c r="V856" s="20"/>
      <c r="W856" s="20"/>
      <c r="X856" s="20"/>
      <c r="Y856" s="20"/>
      <c r="Z856" s="20"/>
    </row>
    <row r="857" ht="13.5" customHeight="1" spans="1:26">
      <c r="A857" s="20"/>
      <c r="B857" s="20"/>
      <c r="C857" s="20"/>
      <c r="D857" s="20"/>
      <c r="E857" s="20"/>
      <c r="F857" s="20"/>
      <c r="G857" s="20"/>
      <c r="H857" s="20"/>
      <c r="I857" s="20"/>
      <c r="J857" s="20"/>
      <c r="K857" s="20"/>
      <c r="L857" s="20"/>
      <c r="M857" s="20"/>
      <c r="N857" s="20"/>
      <c r="O857" s="20"/>
      <c r="P857" s="20"/>
      <c r="Q857" s="20"/>
      <c r="R857" s="20"/>
      <c r="S857" s="20"/>
      <c r="T857" s="20"/>
      <c r="U857" s="20"/>
      <c r="V857" s="20"/>
      <c r="W857" s="20"/>
      <c r="X857" s="20"/>
      <c r="Y857" s="20"/>
      <c r="Z857" s="20"/>
    </row>
    <row r="858" ht="13.5" customHeight="1" spans="1:26">
      <c r="A858" s="20"/>
      <c r="B858" s="20"/>
      <c r="C858" s="20"/>
      <c r="D858" s="20"/>
      <c r="E858" s="20"/>
      <c r="F858" s="20"/>
      <c r="G858" s="20"/>
      <c r="H858" s="20"/>
      <c r="I858" s="20"/>
      <c r="J858" s="20"/>
      <c r="K858" s="20"/>
      <c r="L858" s="20"/>
      <c r="M858" s="20"/>
      <c r="N858" s="20"/>
      <c r="O858" s="20"/>
      <c r="P858" s="20"/>
      <c r="Q858" s="20"/>
      <c r="R858" s="20"/>
      <c r="S858" s="20"/>
      <c r="T858" s="20"/>
      <c r="U858" s="20"/>
      <c r="V858" s="20"/>
      <c r="W858" s="20"/>
      <c r="X858" s="20"/>
      <c r="Y858" s="20"/>
      <c r="Z858" s="20"/>
    </row>
    <row r="859" ht="13.5" customHeight="1" spans="1:26">
      <c r="A859" s="20"/>
      <c r="B859" s="20"/>
      <c r="C859" s="20"/>
      <c r="D859" s="20"/>
      <c r="E859" s="20"/>
      <c r="F859" s="20"/>
      <c r="G859" s="20"/>
      <c r="H859" s="20"/>
      <c r="I859" s="20"/>
      <c r="J859" s="20"/>
      <c r="K859" s="20"/>
      <c r="L859" s="20"/>
      <c r="M859" s="20"/>
      <c r="N859" s="20"/>
      <c r="O859" s="20"/>
      <c r="P859" s="20"/>
      <c r="Q859" s="20"/>
      <c r="R859" s="20"/>
      <c r="S859" s="20"/>
      <c r="T859" s="20"/>
      <c r="U859" s="20"/>
      <c r="V859" s="20"/>
      <c r="W859" s="20"/>
      <c r="X859" s="20"/>
      <c r="Y859" s="20"/>
      <c r="Z859" s="20"/>
    </row>
    <row r="860" ht="13.5" customHeight="1" spans="1:26">
      <c r="A860" s="20"/>
      <c r="B860" s="20"/>
      <c r="C860" s="20"/>
      <c r="D860" s="20"/>
      <c r="E860" s="20"/>
      <c r="F860" s="20"/>
      <c r="G860" s="20"/>
      <c r="H860" s="20"/>
      <c r="I860" s="20"/>
      <c r="J860" s="20"/>
      <c r="K860" s="20"/>
      <c r="L860" s="20"/>
      <c r="M860" s="20"/>
      <c r="N860" s="20"/>
      <c r="O860" s="20"/>
      <c r="P860" s="20"/>
      <c r="Q860" s="20"/>
      <c r="R860" s="20"/>
      <c r="S860" s="20"/>
      <c r="T860" s="20"/>
      <c r="U860" s="20"/>
      <c r="V860" s="20"/>
      <c r="W860" s="20"/>
      <c r="X860" s="20"/>
      <c r="Y860" s="20"/>
      <c r="Z860" s="20"/>
    </row>
    <row r="861" ht="13.5" customHeight="1" spans="1:26">
      <c r="A861" s="20"/>
      <c r="B861" s="20"/>
      <c r="C861" s="20"/>
      <c r="D861" s="20"/>
      <c r="E861" s="20"/>
      <c r="F861" s="20"/>
      <c r="G861" s="20"/>
      <c r="H861" s="20"/>
      <c r="I861" s="20"/>
      <c r="J861" s="20"/>
      <c r="K861" s="20"/>
      <c r="L861" s="20"/>
      <c r="M861" s="20"/>
      <c r="N861" s="20"/>
      <c r="O861" s="20"/>
      <c r="P861" s="20"/>
      <c r="Q861" s="20"/>
      <c r="R861" s="20"/>
      <c r="S861" s="20"/>
      <c r="T861" s="20"/>
      <c r="U861" s="20"/>
      <c r="V861" s="20"/>
      <c r="W861" s="20"/>
      <c r="X861" s="20"/>
      <c r="Y861" s="20"/>
      <c r="Z861" s="20"/>
    </row>
    <row r="862" ht="13.5" customHeight="1" spans="1:26">
      <c r="A862" s="20"/>
      <c r="B862" s="20"/>
      <c r="C862" s="20"/>
      <c r="D862" s="20"/>
      <c r="E862" s="20"/>
      <c r="F862" s="20"/>
      <c r="G862" s="20"/>
      <c r="H862" s="20"/>
      <c r="I862" s="20"/>
      <c r="J862" s="20"/>
      <c r="K862" s="20"/>
      <c r="L862" s="20"/>
      <c r="M862" s="20"/>
      <c r="N862" s="20"/>
      <c r="O862" s="20"/>
      <c r="P862" s="20"/>
      <c r="Q862" s="20"/>
      <c r="R862" s="20"/>
      <c r="S862" s="20"/>
      <c r="T862" s="20"/>
      <c r="U862" s="20"/>
      <c r="V862" s="20"/>
      <c r="W862" s="20"/>
      <c r="X862" s="20"/>
      <c r="Y862" s="20"/>
      <c r="Z862" s="20"/>
    </row>
    <row r="863" ht="13.5" customHeight="1" spans="1:26">
      <c r="A863" s="20"/>
      <c r="B863" s="20"/>
      <c r="C863" s="20"/>
      <c r="D863" s="20"/>
      <c r="E863" s="20"/>
      <c r="F863" s="20"/>
      <c r="G863" s="20"/>
      <c r="H863" s="20"/>
      <c r="I863" s="20"/>
      <c r="J863" s="20"/>
      <c r="K863" s="20"/>
      <c r="L863" s="20"/>
      <c r="M863" s="20"/>
      <c r="N863" s="20"/>
      <c r="O863" s="20"/>
      <c r="P863" s="20"/>
      <c r="Q863" s="20"/>
      <c r="R863" s="20"/>
      <c r="S863" s="20"/>
      <c r="T863" s="20"/>
      <c r="U863" s="20"/>
      <c r="V863" s="20"/>
      <c r="W863" s="20"/>
      <c r="X863" s="20"/>
      <c r="Y863" s="20"/>
      <c r="Z863" s="20"/>
    </row>
    <row r="864" ht="13.5" customHeight="1" spans="1:26">
      <c r="A864" s="20"/>
      <c r="B864" s="20"/>
      <c r="C864" s="20"/>
      <c r="D864" s="20"/>
      <c r="E864" s="20"/>
      <c r="F864" s="20"/>
      <c r="G864" s="20"/>
      <c r="H864" s="20"/>
      <c r="I864" s="20"/>
      <c r="J864" s="20"/>
      <c r="K864" s="20"/>
      <c r="L864" s="20"/>
      <c r="M864" s="20"/>
      <c r="N864" s="20"/>
      <c r="O864" s="20"/>
      <c r="P864" s="20"/>
      <c r="Q864" s="20"/>
      <c r="R864" s="20"/>
      <c r="S864" s="20"/>
      <c r="T864" s="20"/>
      <c r="U864" s="20"/>
      <c r="V864" s="20"/>
      <c r="W864" s="20"/>
      <c r="X864" s="20"/>
      <c r="Y864" s="20"/>
      <c r="Z864" s="20"/>
    </row>
    <row r="865" ht="13.5" customHeight="1" spans="1:26">
      <c r="A865" s="20"/>
      <c r="B865" s="20"/>
      <c r="C865" s="20"/>
      <c r="D865" s="20"/>
      <c r="E865" s="20"/>
      <c r="F865" s="20"/>
      <c r="G865" s="20"/>
      <c r="H865" s="20"/>
      <c r="I865" s="20"/>
      <c r="J865" s="20"/>
      <c r="K865" s="20"/>
      <c r="L865" s="20"/>
      <c r="M865" s="20"/>
      <c r="N865" s="20"/>
      <c r="O865" s="20"/>
      <c r="P865" s="20"/>
      <c r="Q865" s="20"/>
      <c r="R865" s="20"/>
      <c r="S865" s="20"/>
      <c r="T865" s="20"/>
      <c r="U865" s="20"/>
      <c r="V865" s="20"/>
      <c r="W865" s="20"/>
      <c r="X865" s="20"/>
      <c r="Y865" s="20"/>
      <c r="Z865" s="20"/>
    </row>
    <row r="866" ht="13.5" customHeight="1" spans="1:26">
      <c r="A866" s="20"/>
      <c r="B866" s="20"/>
      <c r="C866" s="20"/>
      <c r="D866" s="20"/>
      <c r="E866" s="20"/>
      <c r="F866" s="20"/>
      <c r="G866" s="20"/>
      <c r="H866" s="20"/>
      <c r="I866" s="20"/>
      <c r="J866" s="20"/>
      <c r="K866" s="20"/>
      <c r="L866" s="20"/>
      <c r="M866" s="20"/>
      <c r="N866" s="20"/>
      <c r="O866" s="20"/>
      <c r="P866" s="20"/>
      <c r="Q866" s="20"/>
      <c r="R866" s="20"/>
      <c r="S866" s="20"/>
      <c r="T866" s="20"/>
      <c r="U866" s="20"/>
      <c r="V866" s="20"/>
      <c r="W866" s="20"/>
      <c r="X866" s="20"/>
      <c r="Y866" s="20"/>
      <c r="Z866" s="20"/>
    </row>
    <row r="867" ht="13.5" customHeight="1" spans="1:26">
      <c r="A867" s="20"/>
      <c r="B867" s="20"/>
      <c r="C867" s="20"/>
      <c r="D867" s="20"/>
      <c r="E867" s="20"/>
      <c r="F867" s="20"/>
      <c r="G867" s="20"/>
      <c r="H867" s="20"/>
      <c r="I867" s="20"/>
      <c r="J867" s="20"/>
      <c r="K867" s="20"/>
      <c r="L867" s="20"/>
      <c r="M867" s="20"/>
      <c r="N867" s="20"/>
      <c r="O867" s="20"/>
      <c r="P867" s="20"/>
      <c r="Q867" s="20"/>
      <c r="R867" s="20"/>
      <c r="S867" s="20"/>
      <c r="T867" s="20"/>
      <c r="U867" s="20"/>
      <c r="V867" s="20"/>
      <c r="W867" s="20"/>
      <c r="X867" s="20"/>
      <c r="Y867" s="20"/>
      <c r="Z867" s="20"/>
    </row>
    <row r="868" ht="13.5" customHeight="1" spans="1:26">
      <c r="A868" s="20"/>
      <c r="B868" s="20"/>
      <c r="C868" s="20"/>
      <c r="D868" s="20"/>
      <c r="E868" s="20"/>
      <c r="F868" s="20"/>
      <c r="G868" s="20"/>
      <c r="H868" s="20"/>
      <c r="I868" s="20"/>
      <c r="J868" s="20"/>
      <c r="K868" s="20"/>
      <c r="L868" s="20"/>
      <c r="M868" s="20"/>
      <c r="N868" s="20"/>
      <c r="O868" s="20"/>
      <c r="P868" s="20"/>
      <c r="Q868" s="20"/>
      <c r="R868" s="20"/>
      <c r="S868" s="20"/>
      <c r="T868" s="20"/>
      <c r="U868" s="20"/>
      <c r="V868" s="20"/>
      <c r="W868" s="20"/>
      <c r="X868" s="20"/>
      <c r="Y868" s="20"/>
      <c r="Z868" s="20"/>
    </row>
    <row r="869" ht="13.5" customHeight="1" spans="1:26">
      <c r="A869" s="20"/>
      <c r="B869" s="20"/>
      <c r="C869" s="20"/>
      <c r="D869" s="20"/>
      <c r="E869" s="20"/>
      <c r="F869" s="20"/>
      <c r="G869" s="20"/>
      <c r="H869" s="20"/>
      <c r="I869" s="20"/>
      <c r="J869" s="20"/>
      <c r="K869" s="20"/>
      <c r="L869" s="20"/>
      <c r="M869" s="20"/>
      <c r="N869" s="20"/>
      <c r="O869" s="20"/>
      <c r="P869" s="20"/>
      <c r="Q869" s="20"/>
      <c r="R869" s="20"/>
      <c r="S869" s="20"/>
      <c r="T869" s="20"/>
      <c r="U869" s="20"/>
      <c r="V869" s="20"/>
      <c r="W869" s="20"/>
      <c r="X869" s="20"/>
      <c r="Y869" s="20"/>
      <c r="Z869" s="20"/>
    </row>
    <row r="870" ht="13.5" customHeight="1" spans="1:26">
      <c r="A870" s="20"/>
      <c r="B870" s="20"/>
      <c r="C870" s="20"/>
      <c r="D870" s="20"/>
      <c r="E870" s="20"/>
      <c r="F870" s="20"/>
      <c r="G870" s="20"/>
      <c r="H870" s="20"/>
      <c r="I870" s="20"/>
      <c r="J870" s="20"/>
      <c r="K870" s="20"/>
      <c r="L870" s="20"/>
      <c r="M870" s="20"/>
      <c r="N870" s="20"/>
      <c r="O870" s="20"/>
      <c r="P870" s="20"/>
      <c r="Q870" s="20"/>
      <c r="R870" s="20"/>
      <c r="S870" s="20"/>
      <c r="T870" s="20"/>
      <c r="U870" s="20"/>
      <c r="V870" s="20"/>
      <c r="W870" s="20"/>
      <c r="X870" s="20"/>
      <c r="Y870" s="20"/>
      <c r="Z870" s="20"/>
    </row>
    <row r="871" ht="13.5" customHeight="1" spans="1:26">
      <c r="A871" s="20"/>
      <c r="B871" s="20"/>
      <c r="C871" s="20"/>
      <c r="D871" s="20"/>
      <c r="E871" s="20"/>
      <c r="F871" s="20"/>
      <c r="G871" s="20"/>
      <c r="H871" s="20"/>
      <c r="I871" s="20"/>
      <c r="J871" s="20"/>
      <c r="K871" s="20"/>
      <c r="L871" s="20"/>
      <c r="M871" s="20"/>
      <c r="N871" s="20"/>
      <c r="O871" s="20"/>
      <c r="P871" s="20"/>
      <c r="Q871" s="20"/>
      <c r="R871" s="20"/>
      <c r="S871" s="20"/>
      <c r="T871" s="20"/>
      <c r="U871" s="20"/>
      <c r="V871" s="20"/>
      <c r="W871" s="20"/>
      <c r="X871" s="20"/>
      <c r="Y871" s="20"/>
      <c r="Z871" s="20"/>
    </row>
    <row r="872" ht="13.5" customHeight="1" spans="1:26">
      <c r="A872" s="20"/>
      <c r="B872" s="20"/>
      <c r="C872" s="20"/>
      <c r="D872" s="20"/>
      <c r="E872" s="20"/>
      <c r="F872" s="20"/>
      <c r="G872" s="20"/>
      <c r="H872" s="20"/>
      <c r="I872" s="20"/>
      <c r="J872" s="20"/>
      <c r="K872" s="20"/>
      <c r="L872" s="20"/>
      <c r="M872" s="20"/>
      <c r="N872" s="20"/>
      <c r="O872" s="20"/>
      <c r="P872" s="20"/>
      <c r="Q872" s="20"/>
      <c r="R872" s="20"/>
      <c r="S872" s="20"/>
      <c r="T872" s="20"/>
      <c r="U872" s="20"/>
      <c r="V872" s="20"/>
      <c r="W872" s="20"/>
      <c r="X872" s="20"/>
      <c r="Y872" s="20"/>
      <c r="Z872" s="20"/>
    </row>
    <row r="873" ht="13.5" customHeight="1" spans="1:26">
      <c r="A873" s="20"/>
      <c r="B873" s="20"/>
      <c r="C873" s="20"/>
      <c r="D873" s="20"/>
      <c r="E873" s="20"/>
      <c r="F873" s="20"/>
      <c r="G873" s="20"/>
      <c r="H873" s="20"/>
      <c r="I873" s="20"/>
      <c r="J873" s="20"/>
      <c r="K873" s="20"/>
      <c r="L873" s="20"/>
      <c r="M873" s="20"/>
      <c r="N873" s="20"/>
      <c r="O873" s="20"/>
      <c r="P873" s="20"/>
      <c r="Q873" s="20"/>
      <c r="R873" s="20"/>
      <c r="S873" s="20"/>
      <c r="T873" s="20"/>
      <c r="U873" s="20"/>
      <c r="V873" s="20"/>
      <c r="W873" s="20"/>
      <c r="X873" s="20"/>
      <c r="Y873" s="20"/>
      <c r="Z873" s="20"/>
    </row>
    <row r="874" ht="13.5" customHeight="1" spans="1:26">
      <c r="A874" s="20"/>
      <c r="B874" s="20"/>
      <c r="C874" s="20"/>
      <c r="D874" s="20"/>
      <c r="E874" s="20"/>
      <c r="F874" s="20"/>
      <c r="G874" s="20"/>
      <c r="H874" s="20"/>
      <c r="I874" s="20"/>
      <c r="J874" s="20"/>
      <c r="K874" s="20"/>
      <c r="L874" s="20"/>
      <c r="M874" s="20"/>
      <c r="N874" s="20"/>
      <c r="O874" s="20"/>
      <c r="P874" s="20"/>
      <c r="Q874" s="20"/>
      <c r="R874" s="20"/>
      <c r="S874" s="20"/>
      <c r="T874" s="20"/>
      <c r="U874" s="20"/>
      <c r="V874" s="20"/>
      <c r="W874" s="20"/>
      <c r="X874" s="20"/>
      <c r="Y874" s="20"/>
      <c r="Z874" s="20"/>
    </row>
    <row r="875" ht="13.5" customHeight="1" spans="1:26">
      <c r="A875" s="20"/>
      <c r="B875" s="20"/>
      <c r="C875" s="20"/>
      <c r="D875" s="20"/>
      <c r="E875" s="20"/>
      <c r="F875" s="20"/>
      <c r="G875" s="20"/>
      <c r="H875" s="20"/>
      <c r="I875" s="20"/>
      <c r="J875" s="20"/>
      <c r="K875" s="20"/>
      <c r="L875" s="20"/>
      <c r="M875" s="20"/>
      <c r="N875" s="20"/>
      <c r="O875" s="20"/>
      <c r="P875" s="20"/>
      <c r="Q875" s="20"/>
      <c r="R875" s="20"/>
      <c r="S875" s="20"/>
      <c r="T875" s="20"/>
      <c r="U875" s="20"/>
      <c r="V875" s="20"/>
      <c r="W875" s="20"/>
      <c r="X875" s="20"/>
      <c r="Y875" s="20"/>
      <c r="Z875" s="20"/>
    </row>
    <row r="876" ht="13.5" customHeight="1" spans="1:26">
      <c r="A876" s="20"/>
      <c r="B876" s="20"/>
      <c r="C876" s="20"/>
      <c r="D876" s="20"/>
      <c r="E876" s="20"/>
      <c r="F876" s="20"/>
      <c r="G876" s="20"/>
      <c r="H876" s="20"/>
      <c r="I876" s="20"/>
      <c r="J876" s="20"/>
      <c r="K876" s="20"/>
      <c r="L876" s="20"/>
      <c r="M876" s="20"/>
      <c r="N876" s="20"/>
      <c r="O876" s="20"/>
      <c r="P876" s="20"/>
      <c r="Q876" s="20"/>
      <c r="R876" s="20"/>
      <c r="S876" s="20"/>
      <c r="T876" s="20"/>
      <c r="U876" s="20"/>
      <c r="V876" s="20"/>
      <c r="W876" s="20"/>
      <c r="X876" s="20"/>
      <c r="Y876" s="20"/>
      <c r="Z876" s="20"/>
    </row>
    <row r="877" ht="13.5" customHeight="1" spans="1:26">
      <c r="A877" s="20"/>
      <c r="B877" s="20"/>
      <c r="C877" s="20"/>
      <c r="D877" s="20"/>
      <c r="E877" s="20"/>
      <c r="F877" s="20"/>
      <c r="G877" s="20"/>
      <c r="H877" s="20"/>
      <c r="I877" s="20"/>
      <c r="J877" s="20"/>
      <c r="K877" s="20"/>
      <c r="L877" s="20"/>
      <c r="M877" s="20"/>
      <c r="N877" s="20"/>
      <c r="O877" s="20"/>
      <c r="P877" s="20"/>
      <c r="Q877" s="20"/>
      <c r="R877" s="20"/>
      <c r="S877" s="20"/>
      <c r="T877" s="20"/>
      <c r="U877" s="20"/>
      <c r="V877" s="20"/>
      <c r="W877" s="20"/>
      <c r="X877" s="20"/>
      <c r="Y877" s="20"/>
      <c r="Z877" s="20"/>
    </row>
    <row r="878" ht="13.5" customHeight="1" spans="1:26">
      <c r="A878" s="20"/>
      <c r="B878" s="20"/>
      <c r="C878" s="20"/>
      <c r="D878" s="20"/>
      <c r="E878" s="20"/>
      <c r="F878" s="20"/>
      <c r="G878" s="20"/>
      <c r="H878" s="20"/>
      <c r="I878" s="20"/>
      <c r="J878" s="20"/>
      <c r="K878" s="20"/>
      <c r="L878" s="20"/>
      <c r="M878" s="20"/>
      <c r="N878" s="20"/>
      <c r="O878" s="20"/>
      <c r="P878" s="20"/>
      <c r="Q878" s="20"/>
      <c r="R878" s="20"/>
      <c r="S878" s="20"/>
      <c r="T878" s="20"/>
      <c r="U878" s="20"/>
      <c r="V878" s="20"/>
      <c r="W878" s="20"/>
      <c r="X878" s="20"/>
      <c r="Y878" s="20"/>
      <c r="Z878" s="20"/>
    </row>
    <row r="879" ht="13.5" customHeight="1" spans="1:26">
      <c r="A879" s="20"/>
      <c r="B879" s="20"/>
      <c r="C879" s="20"/>
      <c r="D879" s="20"/>
      <c r="E879" s="20"/>
      <c r="F879" s="20"/>
      <c r="G879" s="20"/>
      <c r="H879" s="20"/>
      <c r="I879" s="20"/>
      <c r="J879" s="20"/>
      <c r="K879" s="20"/>
      <c r="L879" s="20"/>
      <c r="M879" s="20"/>
      <c r="N879" s="20"/>
      <c r="O879" s="20"/>
      <c r="P879" s="20"/>
      <c r="Q879" s="20"/>
      <c r="R879" s="20"/>
      <c r="S879" s="20"/>
      <c r="T879" s="20"/>
      <c r="U879" s="20"/>
      <c r="V879" s="20"/>
      <c r="W879" s="20"/>
      <c r="X879" s="20"/>
      <c r="Y879" s="20"/>
      <c r="Z879" s="20"/>
    </row>
    <row r="880" ht="13.5" customHeight="1" spans="1:26">
      <c r="A880" s="20"/>
      <c r="B880" s="20"/>
      <c r="C880" s="20"/>
      <c r="D880" s="20"/>
      <c r="E880" s="20"/>
      <c r="F880" s="20"/>
      <c r="G880" s="20"/>
      <c r="H880" s="20"/>
      <c r="I880" s="20"/>
      <c r="J880" s="20"/>
      <c r="K880" s="20"/>
      <c r="L880" s="20"/>
      <c r="M880" s="20"/>
      <c r="N880" s="20"/>
      <c r="O880" s="20"/>
      <c r="P880" s="20"/>
      <c r="Q880" s="20"/>
      <c r="R880" s="20"/>
      <c r="S880" s="20"/>
      <c r="T880" s="20"/>
      <c r="U880" s="20"/>
      <c r="V880" s="20"/>
      <c r="W880" s="20"/>
      <c r="X880" s="20"/>
      <c r="Y880" s="20"/>
      <c r="Z880" s="20"/>
    </row>
    <row r="881" ht="13.5" customHeight="1" spans="1:26">
      <c r="A881" s="20"/>
      <c r="B881" s="20"/>
      <c r="C881" s="20"/>
      <c r="D881" s="20"/>
      <c r="E881" s="20"/>
      <c r="F881" s="20"/>
      <c r="G881" s="20"/>
      <c r="H881" s="20"/>
      <c r="I881" s="20"/>
      <c r="J881" s="20"/>
      <c r="K881" s="20"/>
      <c r="L881" s="20"/>
      <c r="M881" s="20"/>
      <c r="N881" s="20"/>
      <c r="O881" s="20"/>
      <c r="P881" s="20"/>
      <c r="Q881" s="20"/>
      <c r="R881" s="20"/>
      <c r="S881" s="20"/>
      <c r="T881" s="20"/>
      <c r="U881" s="20"/>
      <c r="V881" s="20"/>
      <c r="W881" s="20"/>
      <c r="X881" s="20"/>
      <c r="Y881" s="20"/>
      <c r="Z881" s="20"/>
    </row>
    <row r="882" ht="13.5" customHeight="1" spans="1:26">
      <c r="A882" s="20"/>
      <c r="B882" s="20"/>
      <c r="C882" s="20"/>
      <c r="D882" s="20"/>
      <c r="E882" s="20"/>
      <c r="F882" s="20"/>
      <c r="G882" s="20"/>
      <c r="H882" s="20"/>
      <c r="I882" s="20"/>
      <c r="J882" s="20"/>
      <c r="K882" s="20"/>
      <c r="L882" s="20"/>
      <c r="M882" s="20"/>
      <c r="N882" s="20"/>
      <c r="O882" s="20"/>
      <c r="P882" s="20"/>
      <c r="Q882" s="20"/>
      <c r="R882" s="20"/>
      <c r="S882" s="20"/>
      <c r="T882" s="20"/>
      <c r="U882" s="20"/>
      <c r="V882" s="20"/>
      <c r="W882" s="20"/>
      <c r="X882" s="20"/>
      <c r="Y882" s="20"/>
      <c r="Z882" s="20"/>
    </row>
    <row r="883" ht="13.5" customHeight="1" spans="1:26">
      <c r="A883" s="20"/>
      <c r="B883" s="20"/>
      <c r="C883" s="20"/>
      <c r="D883" s="20"/>
      <c r="E883" s="20"/>
      <c r="F883" s="20"/>
      <c r="G883" s="20"/>
      <c r="H883" s="20"/>
      <c r="I883" s="20"/>
      <c r="J883" s="20"/>
      <c r="K883" s="20"/>
      <c r="L883" s="20"/>
      <c r="M883" s="20"/>
      <c r="N883" s="20"/>
      <c r="O883" s="20"/>
      <c r="P883" s="20"/>
      <c r="Q883" s="20"/>
      <c r="R883" s="20"/>
      <c r="S883" s="20"/>
      <c r="T883" s="20"/>
      <c r="U883" s="20"/>
      <c r="V883" s="20"/>
      <c r="W883" s="20"/>
      <c r="X883" s="20"/>
      <c r="Y883" s="20"/>
      <c r="Z883" s="20"/>
    </row>
    <row r="884" ht="13.5" customHeight="1" spans="1:26">
      <c r="A884" s="20"/>
      <c r="B884" s="20"/>
      <c r="C884" s="20"/>
      <c r="D884" s="20"/>
      <c r="E884" s="20"/>
      <c r="F884" s="20"/>
      <c r="G884" s="20"/>
      <c r="H884" s="20"/>
      <c r="I884" s="20"/>
      <c r="J884" s="20"/>
      <c r="K884" s="20"/>
      <c r="L884" s="20"/>
      <c r="M884" s="20"/>
      <c r="N884" s="20"/>
      <c r="O884" s="20"/>
      <c r="P884" s="20"/>
      <c r="Q884" s="20"/>
      <c r="R884" s="20"/>
      <c r="S884" s="20"/>
      <c r="T884" s="20"/>
      <c r="U884" s="20"/>
      <c r="V884" s="20"/>
      <c r="W884" s="20"/>
      <c r="X884" s="20"/>
      <c r="Y884" s="20"/>
      <c r="Z884" s="20"/>
    </row>
    <row r="885" ht="13.5" customHeight="1" spans="1:26">
      <c r="A885" s="20"/>
      <c r="B885" s="20"/>
      <c r="C885" s="20"/>
      <c r="D885" s="20"/>
      <c r="E885" s="20"/>
      <c r="F885" s="20"/>
      <c r="G885" s="20"/>
      <c r="H885" s="20"/>
      <c r="I885" s="20"/>
      <c r="J885" s="20"/>
      <c r="K885" s="20"/>
      <c r="L885" s="20"/>
      <c r="M885" s="20"/>
      <c r="N885" s="20"/>
      <c r="O885" s="20"/>
      <c r="P885" s="20"/>
      <c r="Q885" s="20"/>
      <c r="R885" s="20"/>
      <c r="S885" s="20"/>
      <c r="T885" s="20"/>
      <c r="U885" s="20"/>
      <c r="V885" s="20"/>
      <c r="W885" s="20"/>
      <c r="X885" s="20"/>
      <c r="Y885" s="20"/>
      <c r="Z885" s="20"/>
    </row>
    <row r="886" ht="13.5" customHeight="1" spans="1:26">
      <c r="A886" s="20"/>
      <c r="B886" s="20"/>
      <c r="C886" s="20"/>
      <c r="D886" s="20"/>
      <c r="E886" s="20"/>
      <c r="F886" s="20"/>
      <c r="G886" s="20"/>
      <c r="H886" s="20"/>
      <c r="I886" s="20"/>
      <c r="J886" s="20"/>
      <c r="K886" s="20"/>
      <c r="L886" s="20"/>
      <c r="M886" s="20"/>
      <c r="N886" s="20"/>
      <c r="O886" s="20"/>
      <c r="P886" s="20"/>
      <c r="Q886" s="20"/>
      <c r="R886" s="20"/>
      <c r="S886" s="20"/>
      <c r="T886" s="20"/>
      <c r="U886" s="20"/>
      <c r="V886" s="20"/>
      <c r="W886" s="20"/>
      <c r="X886" s="20"/>
      <c r="Y886" s="20"/>
      <c r="Z886" s="20"/>
    </row>
    <row r="887" ht="13.5" customHeight="1" spans="1:26">
      <c r="A887" s="20"/>
      <c r="B887" s="20"/>
      <c r="C887" s="20"/>
      <c r="D887" s="20"/>
      <c r="E887" s="20"/>
      <c r="F887" s="20"/>
      <c r="G887" s="20"/>
      <c r="H887" s="20"/>
      <c r="I887" s="20"/>
      <c r="J887" s="20"/>
      <c r="K887" s="20"/>
      <c r="L887" s="20"/>
      <c r="M887" s="20"/>
      <c r="N887" s="20"/>
      <c r="O887" s="20"/>
      <c r="P887" s="20"/>
      <c r="Q887" s="20"/>
      <c r="R887" s="20"/>
      <c r="S887" s="20"/>
      <c r="T887" s="20"/>
      <c r="U887" s="20"/>
      <c r="V887" s="20"/>
      <c r="W887" s="20"/>
      <c r="X887" s="20"/>
      <c r="Y887" s="20"/>
      <c r="Z887" s="20"/>
    </row>
    <row r="888" ht="13.5" customHeight="1" spans="1:26">
      <c r="A888" s="20"/>
      <c r="B888" s="20"/>
      <c r="C888" s="20"/>
      <c r="D888" s="20"/>
      <c r="E888" s="20"/>
      <c r="F888" s="20"/>
      <c r="G888" s="20"/>
      <c r="H888" s="20"/>
      <c r="I888" s="20"/>
      <c r="J888" s="20"/>
      <c r="K888" s="20"/>
      <c r="L888" s="20"/>
      <c r="M888" s="20"/>
      <c r="N888" s="20"/>
      <c r="O888" s="20"/>
      <c r="P888" s="20"/>
      <c r="Q888" s="20"/>
      <c r="R888" s="20"/>
      <c r="S888" s="20"/>
      <c r="T888" s="20"/>
      <c r="U888" s="20"/>
      <c r="V888" s="20"/>
      <c r="W888" s="20"/>
      <c r="X888" s="20"/>
      <c r="Y888" s="20"/>
      <c r="Z888" s="20"/>
    </row>
    <row r="889" ht="13.5" customHeight="1" spans="1:26">
      <c r="A889" s="20"/>
      <c r="B889" s="20"/>
      <c r="C889" s="20"/>
      <c r="D889" s="20"/>
      <c r="E889" s="20"/>
      <c r="F889" s="20"/>
      <c r="G889" s="20"/>
      <c r="H889" s="20"/>
      <c r="I889" s="20"/>
      <c r="J889" s="20"/>
      <c r="K889" s="20"/>
      <c r="L889" s="20"/>
      <c r="M889" s="20"/>
      <c r="N889" s="20"/>
      <c r="O889" s="20"/>
      <c r="P889" s="20"/>
      <c r="Q889" s="20"/>
      <c r="R889" s="20"/>
      <c r="S889" s="20"/>
      <c r="T889" s="20"/>
      <c r="U889" s="20"/>
      <c r="V889" s="20"/>
      <c r="W889" s="20"/>
      <c r="X889" s="20"/>
      <c r="Y889" s="20"/>
      <c r="Z889" s="20"/>
    </row>
    <row r="890" ht="13.5" customHeight="1" spans="1:26">
      <c r="A890" s="20"/>
      <c r="B890" s="20"/>
      <c r="C890" s="20"/>
      <c r="D890" s="20"/>
      <c r="E890" s="20"/>
      <c r="F890" s="20"/>
      <c r="G890" s="20"/>
      <c r="H890" s="20"/>
      <c r="I890" s="20"/>
      <c r="J890" s="20"/>
      <c r="K890" s="20"/>
      <c r="L890" s="20"/>
      <c r="M890" s="20"/>
      <c r="N890" s="20"/>
      <c r="O890" s="20"/>
      <c r="P890" s="20"/>
      <c r="Q890" s="20"/>
      <c r="R890" s="20"/>
      <c r="S890" s="20"/>
      <c r="T890" s="20"/>
      <c r="U890" s="20"/>
      <c r="V890" s="20"/>
      <c r="W890" s="20"/>
      <c r="X890" s="20"/>
      <c r="Y890" s="20"/>
      <c r="Z890" s="20"/>
    </row>
    <row r="891" ht="13.5" customHeight="1" spans="1:26">
      <c r="A891" s="20"/>
      <c r="B891" s="20"/>
      <c r="C891" s="20"/>
      <c r="D891" s="20"/>
      <c r="E891" s="20"/>
      <c r="F891" s="20"/>
      <c r="G891" s="20"/>
      <c r="H891" s="20"/>
      <c r="I891" s="20"/>
      <c r="J891" s="20"/>
      <c r="K891" s="20"/>
      <c r="L891" s="20"/>
      <c r="M891" s="20"/>
      <c r="N891" s="20"/>
      <c r="O891" s="20"/>
      <c r="P891" s="20"/>
      <c r="Q891" s="20"/>
      <c r="R891" s="20"/>
      <c r="S891" s="20"/>
      <c r="T891" s="20"/>
      <c r="U891" s="20"/>
      <c r="V891" s="20"/>
      <c r="W891" s="20"/>
      <c r="X891" s="20"/>
      <c r="Y891" s="20"/>
      <c r="Z891" s="20"/>
    </row>
    <row r="892" ht="13.5" customHeight="1" spans="1:26">
      <c r="A892" s="20"/>
      <c r="B892" s="20"/>
      <c r="C892" s="20"/>
      <c r="D892" s="20"/>
      <c r="E892" s="20"/>
      <c r="F892" s="20"/>
      <c r="G892" s="20"/>
      <c r="H892" s="20"/>
      <c r="I892" s="20"/>
      <c r="J892" s="20"/>
      <c r="K892" s="20"/>
      <c r="L892" s="20"/>
      <c r="M892" s="20"/>
      <c r="N892" s="20"/>
      <c r="O892" s="20"/>
      <c r="P892" s="20"/>
      <c r="Q892" s="20"/>
      <c r="R892" s="20"/>
      <c r="S892" s="20"/>
      <c r="T892" s="20"/>
      <c r="U892" s="20"/>
      <c r="V892" s="20"/>
      <c r="W892" s="20"/>
      <c r="X892" s="20"/>
      <c r="Y892" s="20"/>
      <c r="Z892" s="20"/>
    </row>
    <row r="893" ht="13.5" customHeight="1" spans="1:26">
      <c r="A893" s="20"/>
      <c r="B893" s="20"/>
      <c r="C893" s="20"/>
      <c r="D893" s="20"/>
      <c r="E893" s="20"/>
      <c r="F893" s="20"/>
      <c r="G893" s="20"/>
      <c r="H893" s="20"/>
      <c r="I893" s="20"/>
      <c r="J893" s="20"/>
      <c r="K893" s="20"/>
      <c r="L893" s="20"/>
      <c r="M893" s="20"/>
      <c r="N893" s="20"/>
      <c r="O893" s="20"/>
      <c r="P893" s="20"/>
      <c r="Q893" s="20"/>
      <c r="R893" s="20"/>
      <c r="S893" s="20"/>
      <c r="T893" s="20"/>
      <c r="U893" s="20"/>
      <c r="V893" s="20"/>
      <c r="W893" s="20"/>
      <c r="X893" s="20"/>
      <c r="Y893" s="20"/>
      <c r="Z893" s="20"/>
    </row>
    <row r="894" ht="13.5" customHeight="1" spans="1:26">
      <c r="A894" s="20"/>
      <c r="B894" s="20"/>
      <c r="C894" s="20"/>
      <c r="D894" s="20"/>
      <c r="E894" s="20"/>
      <c r="F894" s="20"/>
      <c r="G894" s="20"/>
      <c r="H894" s="20"/>
      <c r="I894" s="20"/>
      <c r="J894" s="20"/>
      <c r="K894" s="20"/>
      <c r="L894" s="20"/>
      <c r="M894" s="20"/>
      <c r="N894" s="20"/>
      <c r="O894" s="20"/>
      <c r="P894" s="20"/>
      <c r="Q894" s="20"/>
      <c r="R894" s="20"/>
      <c r="S894" s="20"/>
      <c r="T894" s="20"/>
      <c r="U894" s="20"/>
      <c r="V894" s="20"/>
      <c r="W894" s="20"/>
      <c r="X894" s="20"/>
      <c r="Y894" s="20"/>
      <c r="Z894" s="20"/>
    </row>
    <row r="895" ht="13.5" customHeight="1" spans="1:26">
      <c r="A895" s="20"/>
      <c r="B895" s="20"/>
      <c r="C895" s="20"/>
      <c r="D895" s="20"/>
      <c r="E895" s="20"/>
      <c r="F895" s="20"/>
      <c r="G895" s="20"/>
      <c r="H895" s="20"/>
      <c r="I895" s="20"/>
      <c r="J895" s="20"/>
      <c r="K895" s="20"/>
      <c r="L895" s="20"/>
      <c r="M895" s="20"/>
      <c r="N895" s="20"/>
      <c r="O895" s="20"/>
      <c r="P895" s="20"/>
      <c r="Q895" s="20"/>
      <c r="R895" s="20"/>
      <c r="S895" s="20"/>
      <c r="T895" s="20"/>
      <c r="U895" s="20"/>
      <c r="V895" s="20"/>
      <c r="W895" s="20"/>
      <c r="X895" s="20"/>
      <c r="Y895" s="20"/>
      <c r="Z895" s="20"/>
    </row>
    <row r="896" ht="13.5" customHeight="1" spans="1:26">
      <c r="A896" s="20"/>
      <c r="B896" s="20"/>
      <c r="C896" s="20"/>
      <c r="D896" s="20"/>
      <c r="E896" s="20"/>
      <c r="F896" s="20"/>
      <c r="G896" s="20"/>
      <c r="H896" s="20"/>
      <c r="I896" s="20"/>
      <c r="J896" s="20"/>
      <c r="K896" s="20"/>
      <c r="L896" s="20"/>
      <c r="M896" s="20"/>
      <c r="N896" s="20"/>
      <c r="O896" s="20"/>
      <c r="P896" s="20"/>
      <c r="Q896" s="20"/>
      <c r="R896" s="20"/>
      <c r="S896" s="20"/>
      <c r="T896" s="20"/>
      <c r="U896" s="20"/>
      <c r="V896" s="20"/>
      <c r="W896" s="20"/>
      <c r="X896" s="20"/>
      <c r="Y896" s="20"/>
      <c r="Z896" s="20"/>
    </row>
    <row r="897" ht="13.5" customHeight="1" spans="1:26">
      <c r="A897" s="20"/>
      <c r="B897" s="20"/>
      <c r="C897" s="20"/>
      <c r="D897" s="20"/>
      <c r="E897" s="20"/>
      <c r="F897" s="20"/>
      <c r="G897" s="20"/>
      <c r="H897" s="20"/>
      <c r="I897" s="20"/>
      <c r="J897" s="20"/>
      <c r="K897" s="20"/>
      <c r="L897" s="20"/>
      <c r="M897" s="20"/>
      <c r="N897" s="20"/>
      <c r="O897" s="20"/>
      <c r="P897" s="20"/>
      <c r="Q897" s="20"/>
      <c r="R897" s="20"/>
      <c r="S897" s="20"/>
      <c r="T897" s="20"/>
      <c r="U897" s="20"/>
      <c r="V897" s="20"/>
      <c r="W897" s="20"/>
      <c r="X897" s="20"/>
      <c r="Y897" s="20"/>
      <c r="Z897" s="20"/>
    </row>
    <row r="898" ht="13.5" customHeight="1" spans="1:26">
      <c r="A898" s="20"/>
      <c r="B898" s="20"/>
      <c r="C898" s="20"/>
      <c r="D898" s="20"/>
      <c r="E898" s="20"/>
      <c r="F898" s="20"/>
      <c r="G898" s="20"/>
      <c r="H898" s="20"/>
      <c r="I898" s="20"/>
      <c r="J898" s="20"/>
      <c r="K898" s="20"/>
      <c r="L898" s="20"/>
      <c r="M898" s="20"/>
      <c r="N898" s="20"/>
      <c r="O898" s="20"/>
      <c r="P898" s="20"/>
      <c r="Q898" s="20"/>
      <c r="R898" s="20"/>
      <c r="S898" s="20"/>
      <c r="T898" s="20"/>
      <c r="U898" s="20"/>
      <c r="V898" s="20"/>
      <c r="W898" s="20"/>
      <c r="X898" s="20"/>
      <c r="Y898" s="20"/>
      <c r="Z898" s="20"/>
    </row>
    <row r="899" ht="13.5" customHeight="1" spans="1:26">
      <c r="A899" s="20"/>
      <c r="B899" s="20"/>
      <c r="C899" s="20"/>
      <c r="D899" s="20"/>
      <c r="E899" s="20"/>
      <c r="F899" s="20"/>
      <c r="G899" s="20"/>
      <c r="H899" s="20"/>
      <c r="I899" s="20"/>
      <c r="J899" s="20"/>
      <c r="K899" s="20"/>
      <c r="L899" s="20"/>
      <c r="M899" s="20"/>
      <c r="N899" s="20"/>
      <c r="O899" s="20"/>
      <c r="P899" s="20"/>
      <c r="Q899" s="20"/>
      <c r="R899" s="20"/>
      <c r="S899" s="20"/>
      <c r="T899" s="20"/>
      <c r="U899" s="20"/>
      <c r="V899" s="20"/>
      <c r="W899" s="20"/>
      <c r="X899" s="20"/>
      <c r="Y899" s="20"/>
      <c r="Z899" s="20"/>
    </row>
    <row r="900" ht="13.5" customHeight="1" spans="1:26">
      <c r="A900" s="20"/>
      <c r="B900" s="20"/>
      <c r="C900" s="20"/>
      <c r="D900" s="20"/>
      <c r="E900" s="20"/>
      <c r="F900" s="20"/>
      <c r="G900" s="20"/>
      <c r="H900" s="20"/>
      <c r="I900" s="20"/>
      <c r="J900" s="20"/>
      <c r="K900" s="20"/>
      <c r="L900" s="20"/>
      <c r="M900" s="20"/>
      <c r="N900" s="20"/>
      <c r="O900" s="20"/>
      <c r="P900" s="20"/>
      <c r="Q900" s="20"/>
      <c r="R900" s="20"/>
      <c r="S900" s="20"/>
      <c r="T900" s="20"/>
      <c r="U900" s="20"/>
      <c r="V900" s="20"/>
      <c r="W900" s="20"/>
      <c r="X900" s="20"/>
      <c r="Y900" s="20"/>
      <c r="Z900" s="20"/>
    </row>
    <row r="901" ht="13.5" customHeight="1" spans="1:26">
      <c r="A901" s="20"/>
      <c r="B901" s="20"/>
      <c r="C901" s="20"/>
      <c r="D901" s="20"/>
      <c r="E901" s="20"/>
      <c r="F901" s="20"/>
      <c r="G901" s="20"/>
      <c r="H901" s="20"/>
      <c r="I901" s="20"/>
      <c r="J901" s="20"/>
      <c r="K901" s="20"/>
      <c r="L901" s="20"/>
      <c r="M901" s="20"/>
      <c r="N901" s="20"/>
      <c r="O901" s="20"/>
      <c r="P901" s="20"/>
      <c r="Q901" s="20"/>
      <c r="R901" s="20"/>
      <c r="S901" s="20"/>
      <c r="T901" s="20"/>
      <c r="U901" s="20"/>
      <c r="V901" s="20"/>
      <c r="W901" s="20"/>
      <c r="X901" s="20"/>
      <c r="Y901" s="20"/>
      <c r="Z901" s="20"/>
    </row>
    <row r="902" ht="13.5" customHeight="1" spans="1:26">
      <c r="A902" s="20"/>
      <c r="B902" s="20"/>
      <c r="C902" s="20"/>
      <c r="D902" s="20"/>
      <c r="E902" s="20"/>
      <c r="F902" s="20"/>
      <c r="G902" s="20"/>
      <c r="H902" s="20"/>
      <c r="I902" s="20"/>
      <c r="J902" s="20"/>
      <c r="K902" s="20"/>
      <c r="L902" s="20"/>
      <c r="M902" s="20"/>
      <c r="N902" s="20"/>
      <c r="O902" s="20"/>
      <c r="P902" s="20"/>
      <c r="Q902" s="20"/>
      <c r="R902" s="20"/>
      <c r="S902" s="20"/>
      <c r="T902" s="20"/>
      <c r="U902" s="20"/>
      <c r="V902" s="20"/>
      <c r="W902" s="20"/>
      <c r="X902" s="20"/>
      <c r="Y902" s="20"/>
      <c r="Z902" s="20"/>
    </row>
    <row r="903" ht="13.5" customHeight="1" spans="1:26">
      <c r="A903" s="20"/>
      <c r="B903" s="20"/>
      <c r="C903" s="20"/>
      <c r="D903" s="20"/>
      <c r="E903" s="20"/>
      <c r="F903" s="20"/>
      <c r="G903" s="20"/>
      <c r="H903" s="20"/>
      <c r="I903" s="20"/>
      <c r="J903" s="20"/>
      <c r="K903" s="20"/>
      <c r="L903" s="20"/>
      <c r="M903" s="20"/>
      <c r="N903" s="20"/>
      <c r="O903" s="20"/>
      <c r="P903" s="20"/>
      <c r="Q903" s="20"/>
      <c r="R903" s="20"/>
      <c r="S903" s="20"/>
      <c r="T903" s="20"/>
      <c r="U903" s="20"/>
      <c r="V903" s="20"/>
      <c r="W903" s="20"/>
      <c r="X903" s="20"/>
      <c r="Y903" s="20"/>
      <c r="Z903" s="20"/>
    </row>
    <row r="904" ht="13.5" customHeight="1" spans="1:26">
      <c r="A904" s="20"/>
      <c r="B904" s="20"/>
      <c r="C904" s="20"/>
      <c r="D904" s="20"/>
      <c r="E904" s="20"/>
      <c r="F904" s="20"/>
      <c r="G904" s="20"/>
      <c r="H904" s="20"/>
      <c r="I904" s="20"/>
      <c r="J904" s="20"/>
      <c r="K904" s="20"/>
      <c r="L904" s="20"/>
      <c r="M904" s="20"/>
      <c r="N904" s="20"/>
      <c r="O904" s="20"/>
      <c r="P904" s="20"/>
      <c r="Q904" s="20"/>
      <c r="R904" s="20"/>
      <c r="S904" s="20"/>
      <c r="T904" s="20"/>
      <c r="U904" s="20"/>
      <c r="V904" s="20"/>
      <c r="W904" s="20"/>
      <c r="X904" s="20"/>
      <c r="Y904" s="20"/>
      <c r="Z904" s="20"/>
    </row>
    <row r="905" ht="13.5" customHeight="1" spans="1:26">
      <c r="A905" s="20"/>
      <c r="B905" s="20"/>
      <c r="C905" s="20"/>
      <c r="D905" s="20"/>
      <c r="E905" s="20"/>
      <c r="F905" s="20"/>
      <c r="G905" s="20"/>
      <c r="H905" s="20"/>
      <c r="I905" s="20"/>
      <c r="J905" s="20"/>
      <c r="K905" s="20"/>
      <c r="L905" s="20"/>
      <c r="M905" s="20"/>
      <c r="N905" s="20"/>
      <c r="O905" s="20"/>
      <c r="P905" s="20"/>
      <c r="Q905" s="20"/>
      <c r="R905" s="20"/>
      <c r="S905" s="20"/>
      <c r="T905" s="20"/>
      <c r="U905" s="20"/>
      <c r="V905" s="20"/>
      <c r="W905" s="20"/>
      <c r="X905" s="20"/>
      <c r="Y905" s="20"/>
      <c r="Z905" s="20"/>
    </row>
    <row r="906" ht="13.5" customHeight="1" spans="1:26">
      <c r="A906" s="20"/>
      <c r="B906" s="20"/>
      <c r="C906" s="20"/>
      <c r="D906" s="20"/>
      <c r="E906" s="20"/>
      <c r="F906" s="20"/>
      <c r="G906" s="20"/>
      <c r="H906" s="20"/>
      <c r="I906" s="20"/>
      <c r="J906" s="20"/>
      <c r="K906" s="20"/>
      <c r="L906" s="20"/>
      <c r="M906" s="20"/>
      <c r="N906" s="20"/>
      <c r="O906" s="20"/>
      <c r="P906" s="20"/>
      <c r="Q906" s="20"/>
      <c r="R906" s="20"/>
      <c r="S906" s="20"/>
      <c r="T906" s="20"/>
      <c r="U906" s="20"/>
      <c r="V906" s="20"/>
      <c r="W906" s="20"/>
      <c r="X906" s="20"/>
      <c r="Y906" s="20"/>
      <c r="Z906" s="20"/>
    </row>
    <row r="907" ht="13.5" customHeight="1" spans="1:26">
      <c r="A907" s="20"/>
      <c r="B907" s="20"/>
      <c r="C907" s="20"/>
      <c r="D907" s="20"/>
      <c r="E907" s="20"/>
      <c r="F907" s="20"/>
      <c r="G907" s="20"/>
      <c r="H907" s="20"/>
      <c r="I907" s="20"/>
      <c r="J907" s="20"/>
      <c r="K907" s="20"/>
      <c r="L907" s="20"/>
      <c r="M907" s="20"/>
      <c r="N907" s="20"/>
      <c r="O907" s="20"/>
      <c r="P907" s="20"/>
      <c r="Q907" s="20"/>
      <c r="R907" s="20"/>
      <c r="S907" s="20"/>
      <c r="T907" s="20"/>
      <c r="U907" s="20"/>
      <c r="V907" s="20"/>
      <c r="W907" s="20"/>
      <c r="X907" s="20"/>
      <c r="Y907" s="20"/>
      <c r="Z907" s="20"/>
    </row>
    <row r="908" ht="13.5" customHeight="1" spans="1:26">
      <c r="A908" s="20"/>
      <c r="B908" s="20"/>
      <c r="C908" s="20"/>
      <c r="D908" s="20"/>
      <c r="E908" s="20"/>
      <c r="F908" s="20"/>
      <c r="G908" s="20"/>
      <c r="H908" s="20"/>
      <c r="I908" s="20"/>
      <c r="J908" s="20"/>
      <c r="K908" s="20"/>
      <c r="L908" s="20"/>
      <c r="M908" s="20"/>
      <c r="N908" s="20"/>
      <c r="O908" s="20"/>
      <c r="P908" s="20"/>
      <c r="Q908" s="20"/>
      <c r="R908" s="20"/>
      <c r="S908" s="20"/>
      <c r="T908" s="20"/>
      <c r="U908" s="20"/>
      <c r="V908" s="20"/>
      <c r="W908" s="20"/>
      <c r="X908" s="20"/>
      <c r="Y908" s="20"/>
      <c r="Z908" s="20"/>
    </row>
    <row r="909" ht="13.5" customHeight="1" spans="1:26">
      <c r="A909" s="20"/>
      <c r="B909" s="20"/>
      <c r="C909" s="20"/>
      <c r="D909" s="20"/>
      <c r="E909" s="20"/>
      <c r="F909" s="20"/>
      <c r="G909" s="20"/>
      <c r="H909" s="20"/>
      <c r="I909" s="20"/>
      <c r="J909" s="20"/>
      <c r="K909" s="20"/>
      <c r="L909" s="20"/>
      <c r="M909" s="20"/>
      <c r="N909" s="20"/>
      <c r="O909" s="20"/>
      <c r="P909" s="20"/>
      <c r="Q909" s="20"/>
      <c r="R909" s="20"/>
      <c r="S909" s="20"/>
      <c r="T909" s="20"/>
      <c r="U909" s="20"/>
      <c r="V909" s="20"/>
      <c r="W909" s="20"/>
      <c r="X909" s="20"/>
      <c r="Y909" s="20"/>
      <c r="Z909" s="20"/>
    </row>
    <row r="910" ht="13.5" customHeight="1" spans="1:26">
      <c r="A910" s="20"/>
      <c r="B910" s="20"/>
      <c r="C910" s="20"/>
      <c r="D910" s="20"/>
      <c r="E910" s="20"/>
      <c r="F910" s="20"/>
      <c r="G910" s="20"/>
      <c r="H910" s="20"/>
      <c r="I910" s="20"/>
      <c r="J910" s="20"/>
      <c r="K910" s="20"/>
      <c r="L910" s="20"/>
      <c r="M910" s="20"/>
      <c r="N910" s="20"/>
      <c r="O910" s="20"/>
      <c r="P910" s="20"/>
      <c r="Q910" s="20"/>
      <c r="R910" s="20"/>
      <c r="S910" s="20"/>
      <c r="T910" s="20"/>
      <c r="U910" s="20"/>
      <c r="V910" s="20"/>
      <c r="W910" s="20"/>
      <c r="X910" s="20"/>
      <c r="Y910" s="20"/>
      <c r="Z910" s="20"/>
    </row>
    <row r="911" ht="13.5" customHeight="1" spans="1:26">
      <c r="A911" s="20"/>
      <c r="B911" s="20"/>
      <c r="C911" s="20"/>
      <c r="D911" s="20"/>
      <c r="E911" s="20"/>
      <c r="F911" s="20"/>
      <c r="G911" s="20"/>
      <c r="H911" s="20"/>
      <c r="I911" s="20"/>
      <c r="J911" s="20"/>
      <c r="K911" s="20"/>
      <c r="L911" s="20"/>
      <c r="M911" s="20"/>
      <c r="N911" s="20"/>
      <c r="O911" s="20"/>
      <c r="P911" s="20"/>
      <c r="Q911" s="20"/>
      <c r="R911" s="20"/>
      <c r="S911" s="20"/>
      <c r="T911" s="20"/>
      <c r="U911" s="20"/>
      <c r="V911" s="20"/>
      <c r="W911" s="20"/>
      <c r="X911" s="20"/>
      <c r="Y911" s="20"/>
      <c r="Z911" s="20"/>
    </row>
    <row r="912" ht="13.5" customHeight="1" spans="1:26">
      <c r="A912" s="20"/>
      <c r="B912" s="20"/>
      <c r="C912" s="20"/>
      <c r="D912" s="20"/>
      <c r="E912" s="20"/>
      <c r="F912" s="20"/>
      <c r="G912" s="20"/>
      <c r="H912" s="20"/>
      <c r="I912" s="20"/>
      <c r="J912" s="20"/>
      <c r="K912" s="20"/>
      <c r="L912" s="20"/>
      <c r="M912" s="20"/>
      <c r="N912" s="20"/>
      <c r="O912" s="20"/>
      <c r="P912" s="20"/>
      <c r="Q912" s="20"/>
      <c r="R912" s="20"/>
      <c r="S912" s="20"/>
      <c r="T912" s="20"/>
      <c r="U912" s="20"/>
      <c r="V912" s="20"/>
      <c r="W912" s="20"/>
      <c r="X912" s="20"/>
      <c r="Y912" s="20"/>
      <c r="Z912" s="20"/>
    </row>
    <row r="913" ht="13.5" customHeight="1" spans="1:26">
      <c r="A913" s="20"/>
      <c r="B913" s="20"/>
      <c r="C913" s="20"/>
      <c r="D913" s="20"/>
      <c r="E913" s="20"/>
      <c r="F913" s="20"/>
      <c r="G913" s="20"/>
      <c r="H913" s="20"/>
      <c r="I913" s="20"/>
      <c r="J913" s="20"/>
      <c r="K913" s="20"/>
      <c r="L913" s="20"/>
      <c r="M913" s="20"/>
      <c r="N913" s="20"/>
      <c r="O913" s="20"/>
      <c r="P913" s="20"/>
      <c r="Q913" s="20"/>
      <c r="R913" s="20"/>
      <c r="S913" s="20"/>
      <c r="T913" s="20"/>
      <c r="U913" s="20"/>
      <c r="V913" s="20"/>
      <c r="W913" s="20"/>
      <c r="X913" s="20"/>
      <c r="Y913" s="20"/>
      <c r="Z913" s="20"/>
    </row>
    <row r="914" ht="13.5" customHeight="1" spans="1:26">
      <c r="A914" s="20"/>
      <c r="B914" s="20"/>
      <c r="C914" s="20"/>
      <c r="D914" s="20"/>
      <c r="E914" s="20"/>
      <c r="F914" s="20"/>
      <c r="G914" s="20"/>
      <c r="H914" s="20"/>
      <c r="I914" s="20"/>
      <c r="J914" s="20"/>
      <c r="K914" s="20"/>
      <c r="L914" s="20"/>
      <c r="M914" s="20"/>
      <c r="N914" s="20"/>
      <c r="O914" s="20"/>
      <c r="P914" s="20"/>
      <c r="Q914" s="20"/>
      <c r="R914" s="20"/>
      <c r="S914" s="20"/>
      <c r="T914" s="20"/>
      <c r="U914" s="20"/>
      <c r="V914" s="20"/>
      <c r="W914" s="20"/>
      <c r="X914" s="20"/>
      <c r="Y914" s="20"/>
      <c r="Z914" s="20"/>
    </row>
    <row r="915" ht="13.5" customHeight="1" spans="1:26">
      <c r="A915" s="20"/>
      <c r="B915" s="20"/>
      <c r="C915" s="20"/>
      <c r="D915" s="20"/>
      <c r="E915" s="20"/>
      <c r="F915" s="20"/>
      <c r="G915" s="20"/>
      <c r="H915" s="20"/>
      <c r="I915" s="20"/>
      <c r="J915" s="20"/>
      <c r="K915" s="20"/>
      <c r="L915" s="20"/>
      <c r="M915" s="20"/>
      <c r="N915" s="20"/>
      <c r="O915" s="20"/>
      <c r="P915" s="20"/>
      <c r="Q915" s="20"/>
      <c r="R915" s="20"/>
      <c r="S915" s="20"/>
      <c r="T915" s="20"/>
      <c r="U915" s="20"/>
      <c r="V915" s="20"/>
      <c r="W915" s="20"/>
      <c r="X915" s="20"/>
      <c r="Y915" s="20"/>
      <c r="Z915" s="20"/>
    </row>
    <row r="916" ht="13.5" customHeight="1" spans="1:26">
      <c r="A916" s="20"/>
      <c r="B916" s="20"/>
      <c r="C916" s="20"/>
      <c r="D916" s="20"/>
      <c r="E916" s="20"/>
      <c r="F916" s="20"/>
      <c r="G916" s="20"/>
      <c r="H916" s="20"/>
      <c r="I916" s="20"/>
      <c r="J916" s="20"/>
      <c r="K916" s="20"/>
      <c r="L916" s="20"/>
      <c r="M916" s="20"/>
      <c r="N916" s="20"/>
      <c r="O916" s="20"/>
      <c r="P916" s="20"/>
      <c r="Q916" s="20"/>
      <c r="R916" s="20"/>
      <c r="S916" s="20"/>
      <c r="T916" s="20"/>
      <c r="U916" s="20"/>
      <c r="V916" s="20"/>
      <c r="W916" s="20"/>
      <c r="X916" s="20"/>
      <c r="Y916" s="20"/>
      <c r="Z916" s="20"/>
    </row>
    <row r="917" ht="13.5" customHeight="1" spans="1:26">
      <c r="A917" s="20"/>
      <c r="B917" s="20"/>
      <c r="C917" s="20"/>
      <c r="D917" s="20"/>
      <c r="E917" s="20"/>
      <c r="F917" s="20"/>
      <c r="G917" s="20"/>
      <c r="H917" s="20"/>
      <c r="I917" s="20"/>
      <c r="J917" s="20"/>
      <c r="K917" s="20"/>
      <c r="L917" s="20"/>
      <c r="M917" s="20"/>
      <c r="N917" s="20"/>
      <c r="O917" s="20"/>
      <c r="P917" s="20"/>
      <c r="Q917" s="20"/>
      <c r="R917" s="20"/>
      <c r="S917" s="20"/>
      <c r="T917" s="20"/>
      <c r="U917" s="20"/>
      <c r="V917" s="20"/>
      <c r="W917" s="20"/>
      <c r="X917" s="20"/>
      <c r="Y917" s="20"/>
      <c r="Z917" s="20"/>
    </row>
    <row r="918" ht="13.5" customHeight="1" spans="1:26">
      <c r="A918" s="20"/>
      <c r="B918" s="20"/>
      <c r="C918" s="20"/>
      <c r="D918" s="20"/>
      <c r="E918" s="20"/>
      <c r="F918" s="20"/>
      <c r="G918" s="20"/>
      <c r="H918" s="20"/>
      <c r="I918" s="20"/>
      <c r="J918" s="20"/>
      <c r="K918" s="20"/>
      <c r="L918" s="20"/>
      <c r="M918" s="20"/>
      <c r="N918" s="20"/>
      <c r="O918" s="20"/>
      <c r="P918" s="20"/>
      <c r="Q918" s="20"/>
      <c r="R918" s="20"/>
      <c r="S918" s="20"/>
      <c r="T918" s="20"/>
      <c r="U918" s="20"/>
      <c r="V918" s="20"/>
      <c r="W918" s="20"/>
      <c r="X918" s="20"/>
      <c r="Y918" s="20"/>
      <c r="Z918" s="20"/>
    </row>
    <row r="919" ht="13.5" customHeight="1" spans="1:26">
      <c r="A919" s="20"/>
      <c r="B919" s="20"/>
      <c r="C919" s="20"/>
      <c r="D919" s="20"/>
      <c r="E919" s="20"/>
      <c r="F919" s="20"/>
      <c r="G919" s="20"/>
      <c r="H919" s="20"/>
      <c r="I919" s="20"/>
      <c r="J919" s="20"/>
      <c r="K919" s="20"/>
      <c r="L919" s="20"/>
      <c r="M919" s="20"/>
      <c r="N919" s="20"/>
      <c r="O919" s="20"/>
      <c r="P919" s="20"/>
      <c r="Q919" s="20"/>
      <c r="R919" s="20"/>
      <c r="S919" s="20"/>
      <c r="T919" s="20"/>
      <c r="U919" s="20"/>
      <c r="V919" s="20"/>
      <c r="W919" s="20"/>
      <c r="X919" s="20"/>
      <c r="Y919" s="20"/>
      <c r="Z919" s="20"/>
    </row>
    <row r="920" ht="13.5" customHeight="1" spans="1:26">
      <c r="A920" s="20"/>
      <c r="B920" s="20"/>
      <c r="C920" s="20"/>
      <c r="D920" s="20"/>
      <c r="E920" s="20"/>
      <c r="F920" s="20"/>
      <c r="G920" s="20"/>
      <c r="H920" s="20"/>
      <c r="I920" s="20"/>
      <c r="J920" s="20"/>
      <c r="K920" s="20"/>
      <c r="L920" s="20"/>
      <c r="M920" s="20"/>
      <c r="N920" s="20"/>
      <c r="O920" s="20"/>
      <c r="P920" s="20"/>
      <c r="Q920" s="20"/>
      <c r="R920" s="20"/>
      <c r="S920" s="20"/>
      <c r="T920" s="20"/>
      <c r="U920" s="20"/>
      <c r="V920" s="20"/>
      <c r="W920" s="20"/>
      <c r="X920" s="20"/>
      <c r="Y920" s="20"/>
      <c r="Z920" s="20"/>
    </row>
    <row r="921" ht="13.5" customHeight="1" spans="1:26">
      <c r="A921" s="20"/>
      <c r="B921" s="20"/>
      <c r="C921" s="20"/>
      <c r="D921" s="20"/>
      <c r="E921" s="20"/>
      <c r="F921" s="20"/>
      <c r="G921" s="20"/>
      <c r="H921" s="20"/>
      <c r="I921" s="20"/>
      <c r="J921" s="20"/>
      <c r="K921" s="20"/>
      <c r="L921" s="20"/>
      <c r="M921" s="20"/>
      <c r="N921" s="20"/>
      <c r="O921" s="20"/>
      <c r="P921" s="20"/>
      <c r="Q921" s="20"/>
      <c r="R921" s="20"/>
      <c r="S921" s="20"/>
      <c r="T921" s="20"/>
      <c r="U921" s="20"/>
      <c r="V921" s="20"/>
      <c r="W921" s="20"/>
      <c r="X921" s="20"/>
      <c r="Y921" s="20"/>
      <c r="Z921" s="20"/>
    </row>
    <row r="922" ht="13.5" customHeight="1" spans="1:26">
      <c r="A922" s="20"/>
      <c r="B922" s="20"/>
      <c r="C922" s="20"/>
      <c r="D922" s="20"/>
      <c r="E922" s="20"/>
      <c r="F922" s="20"/>
      <c r="G922" s="20"/>
      <c r="H922" s="20"/>
      <c r="I922" s="20"/>
      <c r="J922" s="20"/>
      <c r="K922" s="20"/>
      <c r="L922" s="20"/>
      <c r="M922" s="20"/>
      <c r="N922" s="20"/>
      <c r="O922" s="20"/>
      <c r="P922" s="20"/>
      <c r="Q922" s="20"/>
      <c r="R922" s="20"/>
      <c r="S922" s="20"/>
      <c r="T922" s="20"/>
      <c r="U922" s="20"/>
      <c r="V922" s="20"/>
      <c r="W922" s="20"/>
      <c r="X922" s="20"/>
      <c r="Y922" s="20"/>
      <c r="Z922" s="20"/>
    </row>
    <row r="923" ht="13.5" customHeight="1" spans="1:26">
      <c r="A923" s="20"/>
      <c r="B923" s="20"/>
      <c r="C923" s="20"/>
      <c r="D923" s="20"/>
      <c r="E923" s="20"/>
      <c r="F923" s="20"/>
      <c r="G923" s="20"/>
      <c r="H923" s="20"/>
      <c r="I923" s="20"/>
      <c r="J923" s="20"/>
      <c r="K923" s="20"/>
      <c r="L923" s="20"/>
      <c r="M923" s="20"/>
      <c r="N923" s="20"/>
      <c r="O923" s="20"/>
      <c r="P923" s="20"/>
      <c r="Q923" s="20"/>
      <c r="R923" s="20"/>
      <c r="S923" s="20"/>
      <c r="T923" s="20"/>
      <c r="U923" s="20"/>
      <c r="V923" s="20"/>
      <c r="W923" s="20"/>
      <c r="X923" s="20"/>
      <c r="Y923" s="20"/>
      <c r="Z923" s="20"/>
    </row>
    <row r="924" ht="13.5" customHeight="1" spans="1:26">
      <c r="A924" s="20"/>
      <c r="B924" s="20"/>
      <c r="C924" s="20"/>
      <c r="D924" s="20"/>
      <c r="E924" s="20"/>
      <c r="F924" s="20"/>
      <c r="G924" s="20"/>
      <c r="H924" s="20"/>
      <c r="I924" s="20"/>
      <c r="J924" s="20"/>
      <c r="K924" s="20"/>
      <c r="L924" s="20"/>
      <c r="M924" s="20"/>
      <c r="N924" s="20"/>
      <c r="O924" s="20"/>
      <c r="P924" s="20"/>
      <c r="Q924" s="20"/>
      <c r="R924" s="20"/>
      <c r="S924" s="20"/>
      <c r="T924" s="20"/>
      <c r="U924" s="20"/>
      <c r="V924" s="20"/>
      <c r="W924" s="20"/>
      <c r="X924" s="20"/>
      <c r="Y924" s="20"/>
      <c r="Z924" s="20"/>
    </row>
    <row r="925" ht="13.5" customHeight="1" spans="1:26">
      <c r="A925" s="20"/>
      <c r="B925" s="20"/>
      <c r="C925" s="20"/>
      <c r="D925" s="20"/>
      <c r="E925" s="20"/>
      <c r="F925" s="20"/>
      <c r="G925" s="20"/>
      <c r="H925" s="20"/>
      <c r="I925" s="20"/>
      <c r="J925" s="20"/>
      <c r="K925" s="20"/>
      <c r="L925" s="20"/>
      <c r="M925" s="20"/>
      <c r="N925" s="20"/>
      <c r="O925" s="20"/>
      <c r="P925" s="20"/>
      <c r="Q925" s="20"/>
      <c r="R925" s="20"/>
      <c r="S925" s="20"/>
      <c r="T925" s="20"/>
      <c r="U925" s="20"/>
      <c r="V925" s="20"/>
      <c r="W925" s="20"/>
      <c r="X925" s="20"/>
      <c r="Y925" s="20"/>
      <c r="Z925" s="20"/>
    </row>
    <row r="926" ht="13.5" customHeight="1" spans="1:26">
      <c r="A926" s="20"/>
      <c r="B926" s="20"/>
      <c r="C926" s="20"/>
      <c r="D926" s="20"/>
      <c r="E926" s="20"/>
      <c r="F926" s="20"/>
      <c r="G926" s="20"/>
      <c r="H926" s="20"/>
      <c r="I926" s="20"/>
      <c r="J926" s="20"/>
      <c r="K926" s="20"/>
      <c r="L926" s="20"/>
      <c r="M926" s="20"/>
      <c r="N926" s="20"/>
      <c r="O926" s="20"/>
      <c r="P926" s="20"/>
      <c r="Q926" s="20"/>
      <c r="R926" s="20"/>
      <c r="S926" s="20"/>
      <c r="T926" s="20"/>
      <c r="U926" s="20"/>
      <c r="V926" s="20"/>
      <c r="W926" s="20"/>
      <c r="X926" s="20"/>
      <c r="Y926" s="20"/>
      <c r="Z926" s="20"/>
    </row>
    <row r="927" ht="13.5" customHeight="1" spans="1:26">
      <c r="A927" s="20"/>
      <c r="B927" s="20"/>
      <c r="C927" s="20"/>
      <c r="D927" s="20"/>
      <c r="E927" s="20"/>
      <c r="F927" s="20"/>
      <c r="G927" s="20"/>
      <c r="H927" s="20"/>
      <c r="I927" s="20"/>
      <c r="J927" s="20"/>
      <c r="K927" s="20"/>
      <c r="L927" s="20"/>
      <c r="M927" s="20"/>
      <c r="N927" s="20"/>
      <c r="O927" s="20"/>
      <c r="P927" s="20"/>
      <c r="Q927" s="20"/>
      <c r="R927" s="20"/>
      <c r="S927" s="20"/>
      <c r="T927" s="20"/>
      <c r="U927" s="20"/>
      <c r="V927" s="20"/>
      <c r="W927" s="20"/>
      <c r="X927" s="20"/>
      <c r="Y927" s="20"/>
      <c r="Z927" s="20"/>
    </row>
    <row r="928" ht="13.5" customHeight="1" spans="1:26">
      <c r="A928" s="20"/>
      <c r="B928" s="20"/>
      <c r="C928" s="20"/>
      <c r="D928" s="20"/>
      <c r="E928" s="20"/>
      <c r="F928" s="20"/>
      <c r="G928" s="20"/>
      <c r="H928" s="20"/>
      <c r="I928" s="20"/>
      <c r="J928" s="20"/>
      <c r="K928" s="20"/>
      <c r="L928" s="20"/>
      <c r="M928" s="20"/>
      <c r="N928" s="20"/>
      <c r="O928" s="20"/>
      <c r="P928" s="20"/>
      <c r="Q928" s="20"/>
      <c r="R928" s="20"/>
      <c r="S928" s="20"/>
      <c r="T928" s="20"/>
      <c r="U928" s="20"/>
      <c r="V928" s="20"/>
      <c r="W928" s="20"/>
      <c r="X928" s="20"/>
      <c r="Y928" s="20"/>
      <c r="Z928" s="20"/>
    </row>
    <row r="929" ht="13.5" customHeight="1" spans="1:26">
      <c r="A929" s="20"/>
      <c r="B929" s="20"/>
      <c r="C929" s="20"/>
      <c r="D929" s="20"/>
      <c r="E929" s="20"/>
      <c r="F929" s="20"/>
      <c r="G929" s="20"/>
      <c r="H929" s="20"/>
      <c r="I929" s="20"/>
      <c r="J929" s="20"/>
      <c r="K929" s="20"/>
      <c r="L929" s="20"/>
      <c r="M929" s="20"/>
      <c r="N929" s="20"/>
      <c r="O929" s="20"/>
      <c r="P929" s="20"/>
      <c r="Q929" s="20"/>
      <c r="R929" s="20"/>
      <c r="S929" s="20"/>
      <c r="T929" s="20"/>
      <c r="U929" s="20"/>
      <c r="V929" s="20"/>
      <c r="W929" s="20"/>
      <c r="X929" s="20"/>
      <c r="Y929" s="20"/>
      <c r="Z929" s="20"/>
    </row>
    <row r="930" ht="13.5" customHeight="1" spans="1:26">
      <c r="A930" s="20"/>
      <c r="B930" s="20"/>
      <c r="C930" s="20"/>
      <c r="D930" s="20"/>
      <c r="E930" s="20"/>
      <c r="F930" s="20"/>
      <c r="G930" s="20"/>
      <c r="H930" s="20"/>
      <c r="I930" s="20"/>
      <c r="J930" s="20"/>
      <c r="K930" s="20"/>
      <c r="L930" s="20"/>
      <c r="M930" s="20"/>
      <c r="N930" s="20"/>
      <c r="O930" s="20"/>
      <c r="P930" s="20"/>
      <c r="Q930" s="20"/>
      <c r="R930" s="20"/>
      <c r="S930" s="20"/>
      <c r="T930" s="20"/>
      <c r="U930" s="20"/>
      <c r="V930" s="20"/>
      <c r="W930" s="20"/>
      <c r="X930" s="20"/>
      <c r="Y930" s="20"/>
      <c r="Z930" s="20"/>
    </row>
    <row r="931" ht="13.5" customHeight="1" spans="1:26">
      <c r="A931" s="20"/>
      <c r="B931" s="20"/>
      <c r="C931" s="20"/>
      <c r="D931" s="20"/>
      <c r="E931" s="20"/>
      <c r="F931" s="20"/>
      <c r="G931" s="20"/>
      <c r="H931" s="20"/>
      <c r="I931" s="20"/>
      <c r="J931" s="20"/>
      <c r="K931" s="20"/>
      <c r="L931" s="20"/>
      <c r="M931" s="20"/>
      <c r="N931" s="20"/>
      <c r="O931" s="20"/>
      <c r="P931" s="20"/>
      <c r="Q931" s="20"/>
      <c r="R931" s="20"/>
      <c r="S931" s="20"/>
      <c r="T931" s="20"/>
      <c r="U931" s="20"/>
      <c r="V931" s="20"/>
      <c r="W931" s="20"/>
      <c r="X931" s="20"/>
      <c r="Y931" s="20"/>
      <c r="Z931" s="20"/>
    </row>
    <row r="932" ht="13.5" customHeight="1" spans="1:26">
      <c r="A932" s="20"/>
      <c r="B932" s="20"/>
      <c r="C932" s="20"/>
      <c r="D932" s="20"/>
      <c r="E932" s="20"/>
      <c r="F932" s="20"/>
      <c r="G932" s="20"/>
      <c r="H932" s="20"/>
      <c r="I932" s="20"/>
      <c r="J932" s="20"/>
      <c r="K932" s="20"/>
      <c r="L932" s="20"/>
      <c r="M932" s="20"/>
      <c r="N932" s="20"/>
      <c r="O932" s="20"/>
      <c r="P932" s="20"/>
      <c r="Q932" s="20"/>
      <c r="R932" s="20"/>
      <c r="S932" s="20"/>
      <c r="T932" s="20"/>
      <c r="U932" s="20"/>
      <c r="V932" s="20"/>
      <c r="W932" s="20"/>
      <c r="X932" s="20"/>
      <c r="Y932" s="20"/>
      <c r="Z932" s="20"/>
    </row>
    <row r="933" ht="13.5" customHeight="1" spans="1:26">
      <c r="A933" s="20"/>
      <c r="B933" s="20"/>
      <c r="C933" s="20"/>
      <c r="D933" s="20"/>
      <c r="E933" s="20"/>
      <c r="F933" s="20"/>
      <c r="G933" s="20"/>
      <c r="H933" s="20"/>
      <c r="I933" s="20"/>
      <c r="J933" s="20"/>
      <c r="K933" s="20"/>
      <c r="L933" s="20"/>
      <c r="M933" s="20"/>
      <c r="N933" s="20"/>
      <c r="O933" s="20"/>
      <c r="P933" s="20"/>
      <c r="Q933" s="20"/>
      <c r="R933" s="20"/>
      <c r="S933" s="20"/>
      <c r="T933" s="20"/>
      <c r="U933" s="20"/>
      <c r="V933" s="20"/>
      <c r="W933" s="20"/>
      <c r="X933" s="20"/>
      <c r="Y933" s="20"/>
      <c r="Z933" s="20"/>
    </row>
    <row r="934" ht="13.5" customHeight="1" spans="1:26">
      <c r="A934" s="20"/>
      <c r="B934" s="20"/>
      <c r="C934" s="20"/>
      <c r="D934" s="20"/>
      <c r="E934" s="20"/>
      <c r="F934" s="20"/>
      <c r="G934" s="20"/>
      <c r="H934" s="20"/>
      <c r="I934" s="20"/>
      <c r="J934" s="20"/>
      <c r="K934" s="20"/>
      <c r="L934" s="20"/>
      <c r="M934" s="20"/>
      <c r="N934" s="20"/>
      <c r="O934" s="20"/>
      <c r="P934" s="20"/>
      <c r="Q934" s="20"/>
      <c r="R934" s="20"/>
      <c r="S934" s="20"/>
      <c r="T934" s="20"/>
      <c r="U934" s="20"/>
      <c r="V934" s="20"/>
      <c r="W934" s="20"/>
      <c r="X934" s="20"/>
      <c r="Y934" s="20"/>
      <c r="Z934" s="20"/>
    </row>
    <row r="935" ht="13.5" customHeight="1" spans="1:26">
      <c r="A935" s="20"/>
      <c r="B935" s="20"/>
      <c r="C935" s="20"/>
      <c r="D935" s="20"/>
      <c r="E935" s="20"/>
      <c r="F935" s="20"/>
      <c r="G935" s="20"/>
      <c r="H935" s="20"/>
      <c r="I935" s="20"/>
      <c r="J935" s="20"/>
      <c r="K935" s="20"/>
      <c r="L935" s="20"/>
      <c r="M935" s="20"/>
      <c r="N935" s="20"/>
      <c r="O935" s="20"/>
      <c r="P935" s="20"/>
      <c r="Q935" s="20"/>
      <c r="R935" s="20"/>
      <c r="S935" s="20"/>
      <c r="T935" s="20"/>
      <c r="U935" s="20"/>
      <c r="V935" s="20"/>
      <c r="W935" s="20"/>
      <c r="X935" s="20"/>
      <c r="Y935" s="20"/>
      <c r="Z935" s="20"/>
    </row>
    <row r="936" ht="13.5" customHeight="1" spans="1:26">
      <c r="A936" s="20"/>
      <c r="B936" s="20"/>
      <c r="C936" s="20"/>
      <c r="D936" s="20"/>
      <c r="E936" s="20"/>
      <c r="F936" s="20"/>
      <c r="G936" s="20"/>
      <c r="H936" s="20"/>
      <c r="I936" s="20"/>
      <c r="J936" s="20"/>
      <c r="K936" s="20"/>
      <c r="L936" s="20"/>
      <c r="M936" s="20"/>
      <c r="N936" s="20"/>
      <c r="O936" s="20"/>
      <c r="P936" s="20"/>
      <c r="Q936" s="20"/>
      <c r="R936" s="20"/>
      <c r="S936" s="20"/>
      <c r="T936" s="20"/>
      <c r="U936" s="20"/>
      <c r="V936" s="20"/>
      <c r="W936" s="20"/>
      <c r="X936" s="20"/>
      <c r="Y936" s="20"/>
      <c r="Z936" s="20"/>
    </row>
    <row r="937" ht="13.5" customHeight="1" spans="1:26">
      <c r="A937" s="20"/>
      <c r="B937" s="20"/>
      <c r="C937" s="20"/>
      <c r="D937" s="20"/>
      <c r="E937" s="20"/>
      <c r="F937" s="20"/>
      <c r="G937" s="20"/>
      <c r="H937" s="20"/>
      <c r="I937" s="20"/>
      <c r="J937" s="20"/>
      <c r="K937" s="20"/>
      <c r="L937" s="20"/>
      <c r="M937" s="20"/>
      <c r="N937" s="20"/>
      <c r="O937" s="20"/>
      <c r="P937" s="20"/>
      <c r="Q937" s="20"/>
      <c r="R937" s="20"/>
      <c r="S937" s="20"/>
      <c r="T937" s="20"/>
      <c r="U937" s="20"/>
      <c r="V937" s="20"/>
      <c r="W937" s="20"/>
      <c r="X937" s="20"/>
      <c r="Y937" s="20"/>
      <c r="Z937" s="20"/>
    </row>
    <row r="938" ht="13.5" customHeight="1" spans="1:26">
      <c r="A938" s="20"/>
      <c r="B938" s="20"/>
      <c r="C938" s="20"/>
      <c r="D938" s="20"/>
      <c r="E938" s="20"/>
      <c r="F938" s="20"/>
      <c r="G938" s="20"/>
      <c r="H938" s="20"/>
      <c r="I938" s="20"/>
      <c r="J938" s="20"/>
      <c r="K938" s="20"/>
      <c r="L938" s="20"/>
      <c r="M938" s="20"/>
      <c r="N938" s="20"/>
      <c r="O938" s="20"/>
      <c r="P938" s="20"/>
      <c r="Q938" s="20"/>
      <c r="R938" s="20"/>
      <c r="S938" s="20"/>
      <c r="T938" s="20"/>
      <c r="U938" s="20"/>
      <c r="V938" s="20"/>
      <c r="W938" s="20"/>
      <c r="X938" s="20"/>
      <c r="Y938" s="20"/>
      <c r="Z938" s="20"/>
    </row>
    <row r="939" ht="13.5" customHeight="1" spans="1:26">
      <c r="A939" s="20"/>
      <c r="B939" s="20"/>
      <c r="C939" s="20"/>
      <c r="D939" s="20"/>
      <c r="E939" s="20"/>
      <c r="F939" s="20"/>
      <c r="G939" s="20"/>
      <c r="H939" s="20"/>
      <c r="I939" s="20"/>
      <c r="J939" s="20"/>
      <c r="K939" s="20"/>
      <c r="L939" s="20"/>
      <c r="M939" s="20"/>
      <c r="N939" s="20"/>
      <c r="O939" s="20"/>
      <c r="P939" s="20"/>
      <c r="Q939" s="20"/>
      <c r="R939" s="20"/>
      <c r="S939" s="20"/>
      <c r="T939" s="20"/>
      <c r="U939" s="20"/>
      <c r="V939" s="20"/>
      <c r="W939" s="20"/>
      <c r="X939" s="20"/>
      <c r="Y939" s="20"/>
      <c r="Z939" s="20"/>
    </row>
    <row r="940" ht="13.5" customHeight="1" spans="1:26">
      <c r="A940" s="20"/>
      <c r="B940" s="20"/>
      <c r="C940" s="20"/>
      <c r="D940" s="20"/>
      <c r="E940" s="20"/>
      <c r="F940" s="20"/>
      <c r="G940" s="20"/>
      <c r="H940" s="20"/>
      <c r="I940" s="20"/>
      <c r="J940" s="20"/>
      <c r="K940" s="20"/>
      <c r="L940" s="20"/>
      <c r="M940" s="20"/>
      <c r="N940" s="20"/>
      <c r="O940" s="20"/>
      <c r="P940" s="20"/>
      <c r="Q940" s="20"/>
      <c r="R940" s="20"/>
      <c r="S940" s="20"/>
      <c r="T940" s="20"/>
      <c r="U940" s="20"/>
      <c r="V940" s="20"/>
      <c r="W940" s="20"/>
      <c r="X940" s="20"/>
      <c r="Y940" s="20"/>
      <c r="Z940" s="20"/>
    </row>
    <row r="941" ht="13.5" customHeight="1" spans="1:26">
      <c r="A941" s="20"/>
      <c r="B941" s="20"/>
      <c r="C941" s="20"/>
      <c r="D941" s="20"/>
      <c r="E941" s="20"/>
      <c r="F941" s="20"/>
      <c r="G941" s="20"/>
      <c r="H941" s="20"/>
      <c r="I941" s="20"/>
      <c r="J941" s="20"/>
      <c r="K941" s="20"/>
      <c r="L941" s="20"/>
      <c r="M941" s="20"/>
      <c r="N941" s="20"/>
      <c r="O941" s="20"/>
      <c r="P941" s="20"/>
      <c r="Q941" s="20"/>
      <c r="R941" s="20"/>
      <c r="S941" s="20"/>
      <c r="T941" s="20"/>
      <c r="U941" s="20"/>
      <c r="V941" s="20"/>
      <c r="W941" s="20"/>
      <c r="X941" s="20"/>
      <c r="Y941" s="20"/>
      <c r="Z941" s="20"/>
    </row>
    <row r="942" ht="13.5" customHeight="1" spans="1:26">
      <c r="A942" s="20"/>
      <c r="B942" s="20"/>
      <c r="C942" s="20"/>
      <c r="D942" s="20"/>
      <c r="E942" s="20"/>
      <c r="F942" s="20"/>
      <c r="G942" s="20"/>
      <c r="H942" s="20"/>
      <c r="I942" s="20"/>
      <c r="J942" s="20"/>
      <c r="K942" s="20"/>
      <c r="L942" s="20"/>
      <c r="M942" s="20"/>
      <c r="N942" s="20"/>
      <c r="O942" s="20"/>
      <c r="P942" s="20"/>
      <c r="Q942" s="20"/>
      <c r="R942" s="20"/>
      <c r="S942" s="20"/>
      <c r="T942" s="20"/>
      <c r="U942" s="20"/>
      <c r="V942" s="20"/>
      <c r="W942" s="20"/>
      <c r="X942" s="20"/>
      <c r="Y942" s="20"/>
      <c r="Z942" s="20"/>
    </row>
    <row r="943" ht="13.5" customHeight="1" spans="1:26">
      <c r="A943" s="20"/>
      <c r="B943" s="20"/>
      <c r="C943" s="20"/>
      <c r="D943" s="20"/>
      <c r="E943" s="20"/>
      <c r="F943" s="20"/>
      <c r="G943" s="20"/>
      <c r="H943" s="20"/>
      <c r="I943" s="20"/>
      <c r="J943" s="20"/>
      <c r="K943" s="20"/>
      <c r="L943" s="20"/>
      <c r="M943" s="20"/>
      <c r="N943" s="20"/>
      <c r="O943" s="20"/>
      <c r="P943" s="20"/>
      <c r="Q943" s="20"/>
      <c r="R943" s="20"/>
      <c r="S943" s="20"/>
      <c r="T943" s="20"/>
      <c r="U943" s="20"/>
      <c r="V943" s="20"/>
      <c r="W943" s="20"/>
      <c r="X943" s="20"/>
      <c r="Y943" s="20"/>
      <c r="Z943" s="20"/>
    </row>
    <row r="944" ht="13.5" customHeight="1" spans="1:26">
      <c r="A944" s="20"/>
      <c r="B944" s="20"/>
      <c r="C944" s="20"/>
      <c r="D944" s="20"/>
      <c r="E944" s="20"/>
      <c r="F944" s="20"/>
      <c r="G944" s="20"/>
      <c r="H944" s="20"/>
      <c r="I944" s="20"/>
      <c r="J944" s="20"/>
      <c r="K944" s="20"/>
      <c r="L944" s="20"/>
      <c r="M944" s="20"/>
      <c r="N944" s="20"/>
      <c r="O944" s="20"/>
      <c r="P944" s="20"/>
      <c r="Q944" s="20"/>
      <c r="R944" s="20"/>
      <c r="S944" s="20"/>
      <c r="T944" s="20"/>
      <c r="U944" s="20"/>
      <c r="V944" s="20"/>
      <c r="W944" s="20"/>
      <c r="X944" s="20"/>
      <c r="Y944" s="20"/>
      <c r="Z944" s="20"/>
    </row>
    <row r="945" ht="13.5" customHeight="1" spans="1:26">
      <c r="A945" s="20"/>
      <c r="B945" s="20"/>
      <c r="C945" s="20"/>
      <c r="D945" s="20"/>
      <c r="E945" s="20"/>
      <c r="F945" s="20"/>
      <c r="G945" s="20"/>
      <c r="H945" s="20"/>
      <c r="I945" s="20"/>
      <c r="J945" s="20"/>
      <c r="K945" s="20"/>
      <c r="L945" s="20"/>
      <c r="M945" s="20"/>
      <c r="N945" s="20"/>
      <c r="O945" s="20"/>
      <c r="P945" s="20"/>
      <c r="Q945" s="20"/>
      <c r="R945" s="20"/>
      <c r="S945" s="20"/>
      <c r="T945" s="20"/>
      <c r="U945" s="20"/>
      <c r="V945" s="20"/>
      <c r="W945" s="20"/>
      <c r="X945" s="20"/>
      <c r="Y945" s="20"/>
      <c r="Z945" s="20"/>
    </row>
    <row r="946" ht="13.5" customHeight="1" spans="1:26">
      <c r="A946" s="20"/>
      <c r="B946" s="20"/>
      <c r="C946" s="20"/>
      <c r="D946" s="20"/>
      <c r="E946" s="20"/>
      <c r="F946" s="20"/>
      <c r="G946" s="20"/>
      <c r="H946" s="20"/>
      <c r="I946" s="20"/>
      <c r="J946" s="20"/>
      <c r="K946" s="20"/>
      <c r="L946" s="20"/>
      <c r="M946" s="20"/>
      <c r="N946" s="20"/>
      <c r="O946" s="20"/>
      <c r="P946" s="20"/>
      <c r="Q946" s="20"/>
      <c r="R946" s="20"/>
      <c r="S946" s="20"/>
      <c r="T946" s="20"/>
      <c r="U946" s="20"/>
      <c r="V946" s="20"/>
      <c r="W946" s="20"/>
      <c r="X946" s="20"/>
      <c r="Y946" s="20"/>
      <c r="Z946" s="20"/>
    </row>
    <row r="947" ht="13.5" customHeight="1" spans="1:26">
      <c r="A947" s="20"/>
      <c r="B947" s="20"/>
      <c r="C947" s="20"/>
      <c r="D947" s="20"/>
      <c r="E947" s="20"/>
      <c r="F947" s="20"/>
      <c r="G947" s="20"/>
      <c r="H947" s="20"/>
      <c r="I947" s="20"/>
      <c r="J947" s="20"/>
      <c r="K947" s="20"/>
      <c r="L947" s="20"/>
      <c r="M947" s="20"/>
      <c r="N947" s="20"/>
      <c r="O947" s="20"/>
      <c r="P947" s="20"/>
      <c r="Q947" s="20"/>
      <c r="R947" s="20"/>
      <c r="S947" s="20"/>
      <c r="T947" s="20"/>
      <c r="U947" s="20"/>
      <c r="V947" s="20"/>
      <c r="W947" s="20"/>
      <c r="X947" s="20"/>
      <c r="Y947" s="20"/>
      <c r="Z947" s="20"/>
    </row>
    <row r="948" ht="13.5" customHeight="1" spans="1:26">
      <c r="A948" s="20"/>
      <c r="B948" s="20"/>
      <c r="C948" s="20"/>
      <c r="D948" s="20"/>
      <c r="E948" s="20"/>
      <c r="F948" s="20"/>
      <c r="G948" s="20"/>
      <c r="H948" s="20"/>
      <c r="I948" s="20"/>
      <c r="J948" s="20"/>
      <c r="K948" s="20"/>
      <c r="L948" s="20"/>
      <c r="M948" s="20"/>
      <c r="N948" s="20"/>
      <c r="O948" s="20"/>
      <c r="P948" s="20"/>
      <c r="Q948" s="20"/>
      <c r="R948" s="20"/>
      <c r="S948" s="20"/>
      <c r="T948" s="20"/>
      <c r="U948" s="20"/>
      <c r="V948" s="20"/>
      <c r="W948" s="20"/>
      <c r="X948" s="20"/>
      <c r="Y948" s="20"/>
      <c r="Z948" s="20"/>
    </row>
    <row r="949" ht="13.5" customHeight="1" spans="1:26">
      <c r="A949" s="20"/>
      <c r="B949" s="20"/>
      <c r="C949" s="20"/>
      <c r="D949" s="20"/>
      <c r="E949" s="20"/>
      <c r="F949" s="20"/>
      <c r="G949" s="20"/>
      <c r="H949" s="20"/>
      <c r="I949" s="20"/>
      <c r="J949" s="20"/>
      <c r="K949" s="20"/>
      <c r="L949" s="20"/>
      <c r="M949" s="20"/>
      <c r="N949" s="20"/>
      <c r="O949" s="20"/>
      <c r="P949" s="20"/>
      <c r="Q949" s="20"/>
      <c r="R949" s="20"/>
      <c r="S949" s="20"/>
      <c r="T949" s="20"/>
      <c r="U949" s="20"/>
      <c r="V949" s="20"/>
      <c r="W949" s="20"/>
      <c r="X949" s="20"/>
      <c r="Y949" s="20"/>
      <c r="Z949" s="20"/>
    </row>
    <row r="950" ht="13.5" customHeight="1" spans="1:26">
      <c r="A950" s="20"/>
      <c r="B950" s="20"/>
      <c r="C950" s="20"/>
      <c r="D950" s="20"/>
      <c r="E950" s="20"/>
      <c r="F950" s="20"/>
      <c r="G950" s="20"/>
      <c r="H950" s="20"/>
      <c r="I950" s="20"/>
      <c r="J950" s="20"/>
      <c r="K950" s="20"/>
      <c r="L950" s="20"/>
      <c r="M950" s="20"/>
      <c r="N950" s="20"/>
      <c r="O950" s="20"/>
      <c r="P950" s="20"/>
      <c r="Q950" s="20"/>
      <c r="R950" s="20"/>
      <c r="S950" s="20"/>
      <c r="T950" s="20"/>
      <c r="U950" s="20"/>
      <c r="V950" s="20"/>
      <c r="W950" s="20"/>
      <c r="X950" s="20"/>
      <c r="Y950" s="20"/>
      <c r="Z950" s="20"/>
    </row>
    <row r="951" ht="13.5" customHeight="1" spans="1:26">
      <c r="A951" s="20"/>
      <c r="B951" s="20"/>
      <c r="C951" s="20"/>
      <c r="D951" s="20"/>
      <c r="E951" s="20"/>
      <c r="F951" s="20"/>
      <c r="G951" s="20"/>
      <c r="H951" s="20"/>
      <c r="I951" s="20"/>
      <c r="J951" s="20"/>
      <c r="K951" s="20"/>
      <c r="L951" s="20"/>
      <c r="M951" s="20"/>
      <c r="N951" s="20"/>
      <c r="O951" s="20"/>
      <c r="P951" s="20"/>
      <c r="Q951" s="20"/>
      <c r="R951" s="20"/>
      <c r="S951" s="20"/>
      <c r="T951" s="20"/>
      <c r="U951" s="20"/>
      <c r="V951" s="20"/>
      <c r="W951" s="20"/>
      <c r="X951" s="20"/>
      <c r="Y951" s="20"/>
      <c r="Z951" s="20"/>
    </row>
    <row r="952" ht="13.5" customHeight="1" spans="1:26">
      <c r="A952" s="20"/>
      <c r="B952" s="20"/>
      <c r="C952" s="20"/>
      <c r="D952" s="20"/>
      <c r="E952" s="20"/>
      <c r="F952" s="20"/>
      <c r="G952" s="20"/>
      <c r="H952" s="20"/>
      <c r="I952" s="20"/>
      <c r="J952" s="20"/>
      <c r="K952" s="20"/>
      <c r="L952" s="20"/>
      <c r="M952" s="20"/>
      <c r="N952" s="20"/>
      <c r="O952" s="20"/>
      <c r="P952" s="20"/>
      <c r="Q952" s="20"/>
      <c r="R952" s="20"/>
      <c r="S952" s="20"/>
      <c r="T952" s="20"/>
      <c r="U952" s="20"/>
      <c r="V952" s="20"/>
      <c r="W952" s="20"/>
      <c r="X952" s="20"/>
      <c r="Y952" s="20"/>
      <c r="Z952" s="20"/>
    </row>
    <row r="953" ht="13.5" customHeight="1" spans="1:26">
      <c r="A953" s="20"/>
      <c r="B953" s="20"/>
      <c r="C953" s="20"/>
      <c r="D953" s="20"/>
      <c r="E953" s="20"/>
      <c r="F953" s="20"/>
      <c r="G953" s="20"/>
      <c r="H953" s="20"/>
      <c r="I953" s="20"/>
      <c r="J953" s="20"/>
      <c r="K953" s="20"/>
      <c r="L953" s="20"/>
      <c r="M953" s="20"/>
      <c r="N953" s="20"/>
      <c r="O953" s="20"/>
      <c r="P953" s="20"/>
      <c r="Q953" s="20"/>
      <c r="R953" s="20"/>
      <c r="S953" s="20"/>
      <c r="T953" s="20"/>
      <c r="U953" s="20"/>
      <c r="V953" s="20"/>
      <c r="W953" s="20"/>
      <c r="X953" s="20"/>
      <c r="Y953" s="20"/>
      <c r="Z953" s="20"/>
    </row>
    <row r="954" ht="13.5" customHeight="1" spans="1:26">
      <c r="A954" s="20"/>
      <c r="B954" s="20"/>
      <c r="C954" s="20"/>
      <c r="D954" s="20"/>
      <c r="E954" s="20"/>
      <c r="F954" s="20"/>
      <c r="G954" s="20"/>
      <c r="H954" s="20"/>
      <c r="I954" s="20"/>
      <c r="J954" s="20"/>
      <c r="K954" s="20"/>
      <c r="L954" s="20"/>
      <c r="M954" s="20"/>
      <c r="N954" s="20"/>
      <c r="O954" s="20"/>
      <c r="P954" s="20"/>
      <c r="Q954" s="20"/>
      <c r="R954" s="20"/>
      <c r="S954" s="20"/>
      <c r="T954" s="20"/>
      <c r="U954" s="20"/>
      <c r="V954" s="20"/>
      <c r="W954" s="20"/>
      <c r="X954" s="20"/>
      <c r="Y954" s="20"/>
      <c r="Z954" s="20"/>
    </row>
    <row r="955" ht="13.5" customHeight="1" spans="1:26">
      <c r="A955" s="20"/>
      <c r="B955" s="20"/>
      <c r="C955" s="20"/>
      <c r="D955" s="20"/>
      <c r="E955" s="20"/>
      <c r="F955" s="20"/>
      <c r="G955" s="20"/>
      <c r="H955" s="20"/>
      <c r="I955" s="20"/>
      <c r="J955" s="20"/>
      <c r="K955" s="20"/>
      <c r="L955" s="20"/>
      <c r="M955" s="20"/>
      <c r="N955" s="20"/>
      <c r="O955" s="20"/>
      <c r="P955" s="20"/>
      <c r="Q955" s="20"/>
      <c r="R955" s="20"/>
      <c r="S955" s="20"/>
      <c r="T955" s="20"/>
      <c r="U955" s="20"/>
      <c r="V955" s="20"/>
      <c r="W955" s="20"/>
      <c r="X955" s="20"/>
      <c r="Y955" s="20"/>
      <c r="Z955" s="20"/>
    </row>
    <row r="956" ht="13.5" customHeight="1" spans="1:26">
      <c r="A956" s="20"/>
      <c r="B956" s="20"/>
      <c r="C956" s="20"/>
      <c r="D956" s="20"/>
      <c r="E956" s="20"/>
      <c r="F956" s="20"/>
      <c r="G956" s="20"/>
      <c r="H956" s="20"/>
      <c r="I956" s="20"/>
      <c r="J956" s="20"/>
      <c r="K956" s="20"/>
      <c r="L956" s="20"/>
      <c r="M956" s="20"/>
      <c r="N956" s="20"/>
      <c r="O956" s="20"/>
      <c r="P956" s="20"/>
      <c r="Q956" s="20"/>
      <c r="R956" s="20"/>
      <c r="S956" s="20"/>
      <c r="T956" s="20"/>
      <c r="U956" s="20"/>
      <c r="V956" s="20"/>
      <c r="W956" s="20"/>
      <c r="X956" s="20"/>
      <c r="Y956" s="20"/>
      <c r="Z956" s="20"/>
    </row>
    <row r="957" ht="13.5" customHeight="1" spans="1:26">
      <c r="A957" s="20"/>
      <c r="B957" s="20"/>
      <c r="C957" s="20"/>
      <c r="D957" s="20"/>
      <c r="E957" s="20"/>
      <c r="F957" s="20"/>
      <c r="G957" s="20"/>
      <c r="H957" s="20"/>
      <c r="I957" s="20"/>
      <c r="J957" s="20"/>
      <c r="K957" s="20"/>
      <c r="L957" s="20"/>
      <c r="M957" s="20"/>
      <c r="N957" s="20"/>
      <c r="O957" s="20"/>
      <c r="P957" s="20"/>
      <c r="Q957" s="20"/>
      <c r="R957" s="20"/>
      <c r="S957" s="20"/>
      <c r="T957" s="20"/>
      <c r="U957" s="20"/>
      <c r="V957" s="20"/>
      <c r="W957" s="20"/>
      <c r="X957" s="20"/>
      <c r="Y957" s="20"/>
      <c r="Z957" s="20"/>
    </row>
    <row r="958" ht="13.5" customHeight="1" spans="1:26">
      <c r="A958" s="20"/>
      <c r="B958" s="20"/>
      <c r="C958" s="20"/>
      <c r="D958" s="20"/>
      <c r="E958" s="20"/>
      <c r="F958" s="20"/>
      <c r="G958" s="20"/>
      <c r="H958" s="20"/>
      <c r="I958" s="20"/>
      <c r="J958" s="20"/>
      <c r="K958" s="20"/>
      <c r="L958" s="20"/>
      <c r="M958" s="20"/>
      <c r="N958" s="20"/>
      <c r="O958" s="20"/>
      <c r="P958" s="20"/>
      <c r="Q958" s="20"/>
      <c r="R958" s="20"/>
      <c r="S958" s="20"/>
      <c r="T958" s="20"/>
      <c r="U958" s="20"/>
      <c r="V958" s="20"/>
      <c r="W958" s="20"/>
      <c r="X958" s="20"/>
      <c r="Y958" s="20"/>
      <c r="Z958" s="20"/>
    </row>
    <row r="959" ht="13.5" customHeight="1" spans="1:26">
      <c r="A959" s="20"/>
      <c r="B959" s="20"/>
      <c r="C959" s="20"/>
      <c r="D959" s="20"/>
      <c r="E959" s="20"/>
      <c r="F959" s="20"/>
      <c r="G959" s="20"/>
      <c r="H959" s="20"/>
      <c r="I959" s="20"/>
      <c r="J959" s="20"/>
      <c r="K959" s="20"/>
      <c r="L959" s="20"/>
      <c r="M959" s="20"/>
      <c r="N959" s="20"/>
      <c r="O959" s="20"/>
      <c r="P959" s="20"/>
      <c r="Q959" s="20"/>
      <c r="R959" s="20"/>
      <c r="S959" s="20"/>
      <c r="T959" s="20"/>
      <c r="U959" s="20"/>
      <c r="V959" s="20"/>
      <c r="W959" s="20"/>
      <c r="X959" s="20"/>
      <c r="Y959" s="20"/>
      <c r="Z959" s="20"/>
    </row>
    <row r="960" ht="13.5" customHeight="1" spans="1:26">
      <c r="A960" s="20"/>
      <c r="B960" s="20"/>
      <c r="C960" s="20"/>
      <c r="D960" s="20"/>
      <c r="E960" s="20"/>
      <c r="F960" s="20"/>
      <c r="G960" s="20"/>
      <c r="H960" s="20"/>
      <c r="I960" s="20"/>
      <c r="J960" s="20"/>
      <c r="K960" s="20"/>
      <c r="L960" s="20"/>
      <c r="M960" s="20"/>
      <c r="N960" s="20"/>
      <c r="O960" s="20"/>
      <c r="P960" s="20"/>
      <c r="Q960" s="20"/>
      <c r="R960" s="20"/>
      <c r="S960" s="20"/>
      <c r="T960" s="20"/>
      <c r="U960" s="20"/>
      <c r="V960" s="20"/>
      <c r="W960" s="20"/>
      <c r="X960" s="20"/>
      <c r="Y960" s="20"/>
      <c r="Z960" s="20"/>
    </row>
    <row r="961" ht="13.5" customHeight="1" spans="1:26">
      <c r="A961" s="20"/>
      <c r="B961" s="20"/>
      <c r="C961" s="20"/>
      <c r="D961" s="20"/>
      <c r="E961" s="20"/>
      <c r="F961" s="20"/>
      <c r="G961" s="20"/>
      <c r="H961" s="20"/>
      <c r="I961" s="20"/>
      <c r="J961" s="20"/>
      <c r="K961" s="20"/>
      <c r="L961" s="20"/>
      <c r="M961" s="20"/>
      <c r="N961" s="20"/>
      <c r="O961" s="20"/>
      <c r="P961" s="20"/>
      <c r="Q961" s="20"/>
      <c r="R961" s="20"/>
      <c r="S961" s="20"/>
      <c r="T961" s="20"/>
      <c r="U961" s="20"/>
      <c r="V961" s="20"/>
      <c r="W961" s="20"/>
      <c r="X961" s="20"/>
      <c r="Y961" s="20"/>
      <c r="Z961" s="20"/>
    </row>
    <row r="962" ht="13.5" customHeight="1" spans="1:26">
      <c r="A962" s="20"/>
      <c r="B962" s="20"/>
      <c r="C962" s="20"/>
      <c r="D962" s="20"/>
      <c r="E962" s="20"/>
      <c r="F962" s="20"/>
      <c r="G962" s="20"/>
      <c r="H962" s="20"/>
      <c r="I962" s="20"/>
      <c r="J962" s="20"/>
      <c r="K962" s="20"/>
      <c r="L962" s="20"/>
      <c r="M962" s="20"/>
      <c r="N962" s="20"/>
      <c r="O962" s="20"/>
      <c r="P962" s="20"/>
      <c r="Q962" s="20"/>
      <c r="R962" s="20"/>
      <c r="S962" s="20"/>
      <c r="T962" s="20"/>
      <c r="U962" s="20"/>
      <c r="V962" s="20"/>
      <c r="W962" s="20"/>
      <c r="X962" s="20"/>
      <c r="Y962" s="20"/>
      <c r="Z962" s="20"/>
    </row>
    <row r="963" ht="13.5" customHeight="1" spans="1:26">
      <c r="A963" s="20"/>
      <c r="B963" s="20"/>
      <c r="C963" s="20"/>
      <c r="D963" s="20"/>
      <c r="E963" s="20"/>
      <c r="F963" s="20"/>
      <c r="G963" s="20"/>
      <c r="H963" s="20"/>
      <c r="I963" s="20"/>
      <c r="J963" s="20"/>
      <c r="K963" s="20"/>
      <c r="L963" s="20"/>
      <c r="M963" s="20"/>
      <c r="N963" s="20"/>
      <c r="O963" s="20"/>
      <c r="P963" s="20"/>
      <c r="Q963" s="20"/>
      <c r="R963" s="20"/>
      <c r="S963" s="20"/>
      <c r="T963" s="20"/>
      <c r="U963" s="20"/>
      <c r="V963" s="20"/>
      <c r="W963" s="20"/>
      <c r="X963" s="20"/>
      <c r="Y963" s="20"/>
      <c r="Z963" s="20"/>
    </row>
    <row r="964" ht="13.5" customHeight="1" spans="1:26">
      <c r="A964" s="20"/>
      <c r="B964" s="20"/>
      <c r="C964" s="20"/>
      <c r="D964" s="20"/>
      <c r="E964" s="20"/>
      <c r="F964" s="20"/>
      <c r="G964" s="20"/>
      <c r="H964" s="20"/>
      <c r="I964" s="20"/>
      <c r="J964" s="20"/>
      <c r="K964" s="20"/>
      <c r="L964" s="20"/>
      <c r="M964" s="20"/>
      <c r="N964" s="20"/>
      <c r="O964" s="20"/>
      <c r="P964" s="20"/>
      <c r="Q964" s="20"/>
      <c r="R964" s="20"/>
      <c r="S964" s="20"/>
      <c r="T964" s="20"/>
      <c r="U964" s="20"/>
      <c r="V964" s="20"/>
      <c r="W964" s="20"/>
      <c r="X964" s="20"/>
      <c r="Y964" s="20"/>
      <c r="Z964" s="20"/>
    </row>
    <row r="965" ht="13.5" customHeight="1" spans="1:26">
      <c r="A965" s="20"/>
      <c r="B965" s="20"/>
      <c r="C965" s="20"/>
      <c r="D965" s="20"/>
      <c r="E965" s="20"/>
      <c r="F965" s="20"/>
      <c r="G965" s="20"/>
      <c r="H965" s="20"/>
      <c r="I965" s="20"/>
      <c r="J965" s="20"/>
      <c r="K965" s="20"/>
      <c r="L965" s="20"/>
      <c r="M965" s="20"/>
      <c r="N965" s="20"/>
      <c r="O965" s="20"/>
      <c r="P965" s="20"/>
      <c r="Q965" s="20"/>
      <c r="R965" s="20"/>
      <c r="S965" s="20"/>
      <c r="T965" s="20"/>
      <c r="U965" s="20"/>
      <c r="V965" s="20"/>
      <c r="W965" s="20"/>
      <c r="X965" s="20"/>
      <c r="Y965" s="20"/>
      <c r="Z965" s="20"/>
    </row>
    <row r="966" ht="13.5" customHeight="1" spans="1:26">
      <c r="A966" s="20"/>
      <c r="B966" s="20"/>
      <c r="C966" s="20"/>
      <c r="D966" s="20"/>
      <c r="E966" s="20"/>
      <c r="F966" s="20"/>
      <c r="G966" s="20"/>
      <c r="H966" s="20"/>
      <c r="I966" s="20"/>
      <c r="J966" s="20"/>
      <c r="K966" s="20"/>
      <c r="L966" s="20"/>
      <c r="M966" s="20"/>
      <c r="N966" s="20"/>
      <c r="O966" s="20"/>
      <c r="P966" s="20"/>
      <c r="Q966" s="20"/>
      <c r="R966" s="20"/>
      <c r="S966" s="20"/>
      <c r="T966" s="20"/>
      <c r="U966" s="20"/>
      <c r="V966" s="20"/>
      <c r="W966" s="20"/>
      <c r="X966" s="20"/>
      <c r="Y966" s="20"/>
      <c r="Z966" s="20"/>
    </row>
    <row r="967" ht="13.5" customHeight="1" spans="1:26">
      <c r="A967" s="20"/>
      <c r="B967" s="20"/>
      <c r="C967" s="20"/>
      <c r="D967" s="20"/>
      <c r="E967" s="20"/>
      <c r="F967" s="20"/>
      <c r="G967" s="20"/>
      <c r="H967" s="20"/>
      <c r="I967" s="20"/>
      <c r="J967" s="20"/>
      <c r="K967" s="20"/>
      <c r="L967" s="20"/>
      <c r="M967" s="20"/>
      <c r="N967" s="20"/>
      <c r="O967" s="20"/>
      <c r="P967" s="20"/>
      <c r="Q967" s="20"/>
      <c r="R967" s="20"/>
      <c r="S967" s="20"/>
      <c r="T967" s="20"/>
      <c r="U967" s="20"/>
      <c r="V967" s="20"/>
      <c r="W967" s="20"/>
      <c r="X967" s="20"/>
      <c r="Y967" s="20"/>
      <c r="Z967" s="20"/>
    </row>
    <row r="968" ht="13.5" customHeight="1" spans="1:26">
      <c r="A968" s="20"/>
      <c r="B968" s="20"/>
      <c r="C968" s="20"/>
      <c r="D968" s="20"/>
      <c r="E968" s="20"/>
      <c r="F968" s="20"/>
      <c r="G968" s="20"/>
      <c r="H968" s="20"/>
      <c r="I968" s="20"/>
      <c r="J968" s="20"/>
      <c r="K968" s="20"/>
      <c r="L968" s="20"/>
      <c r="M968" s="20"/>
      <c r="N968" s="20"/>
      <c r="O968" s="20"/>
      <c r="P968" s="20"/>
      <c r="Q968" s="20"/>
      <c r="R968" s="20"/>
      <c r="S968" s="20"/>
      <c r="T968" s="20"/>
      <c r="U968" s="20"/>
      <c r="V968" s="20"/>
      <c r="W968" s="20"/>
      <c r="X968" s="20"/>
      <c r="Y968" s="20"/>
      <c r="Z968" s="20"/>
    </row>
    <row r="969" ht="13.5" customHeight="1" spans="1:26">
      <c r="A969" s="20"/>
      <c r="B969" s="20"/>
      <c r="C969" s="20"/>
      <c r="D969" s="20"/>
      <c r="E969" s="20"/>
      <c r="F969" s="20"/>
      <c r="G969" s="20"/>
      <c r="H969" s="20"/>
      <c r="I969" s="20"/>
      <c r="J969" s="20"/>
      <c r="K969" s="20"/>
      <c r="L969" s="20"/>
      <c r="M969" s="20"/>
      <c r="N969" s="20"/>
      <c r="O969" s="20"/>
      <c r="P969" s="20"/>
      <c r="Q969" s="20"/>
      <c r="R969" s="20"/>
      <c r="S969" s="20"/>
      <c r="T969" s="20"/>
      <c r="U969" s="20"/>
      <c r="V969" s="20"/>
      <c r="W969" s="20"/>
      <c r="X969" s="20"/>
      <c r="Y969" s="20"/>
      <c r="Z969" s="20"/>
    </row>
    <row r="970" ht="13.5" customHeight="1" spans="1:26">
      <c r="A970" s="20"/>
      <c r="B970" s="20"/>
      <c r="C970" s="20"/>
      <c r="D970" s="20"/>
      <c r="E970" s="20"/>
      <c r="F970" s="20"/>
      <c r="G970" s="20"/>
      <c r="H970" s="20"/>
      <c r="I970" s="20"/>
      <c r="J970" s="20"/>
      <c r="K970" s="20"/>
      <c r="L970" s="20"/>
      <c r="M970" s="20"/>
      <c r="N970" s="20"/>
      <c r="O970" s="20"/>
      <c r="P970" s="20"/>
      <c r="Q970" s="20"/>
      <c r="R970" s="20"/>
      <c r="S970" s="20"/>
      <c r="T970" s="20"/>
      <c r="U970" s="20"/>
      <c r="V970" s="20"/>
      <c r="W970" s="20"/>
      <c r="X970" s="20"/>
      <c r="Y970" s="20"/>
      <c r="Z970" s="20"/>
    </row>
    <row r="971" ht="13.5" customHeight="1" spans="1:26">
      <c r="A971" s="20"/>
      <c r="B971" s="20"/>
      <c r="C971" s="20"/>
      <c r="D971" s="20"/>
      <c r="E971" s="20"/>
      <c r="F971" s="20"/>
      <c r="G971" s="20"/>
      <c r="H971" s="20"/>
      <c r="I971" s="20"/>
      <c r="J971" s="20"/>
      <c r="K971" s="20"/>
      <c r="L971" s="20"/>
      <c r="M971" s="20"/>
      <c r="N971" s="20"/>
      <c r="O971" s="20"/>
      <c r="P971" s="20"/>
      <c r="Q971" s="20"/>
      <c r="R971" s="20"/>
      <c r="S971" s="20"/>
      <c r="T971" s="20"/>
      <c r="U971" s="20"/>
      <c r="V971" s="20"/>
      <c r="W971" s="20"/>
      <c r="X971" s="20"/>
      <c r="Y971" s="20"/>
      <c r="Z971" s="20"/>
    </row>
    <row r="972" ht="13.5" customHeight="1" spans="1:26">
      <c r="A972" s="20"/>
      <c r="B972" s="20"/>
      <c r="C972" s="20"/>
      <c r="D972" s="20"/>
      <c r="E972" s="20"/>
      <c r="F972" s="20"/>
      <c r="G972" s="20"/>
      <c r="H972" s="20"/>
      <c r="I972" s="20"/>
      <c r="J972" s="20"/>
      <c r="K972" s="20"/>
      <c r="L972" s="20"/>
      <c r="M972" s="20"/>
      <c r="N972" s="20"/>
      <c r="O972" s="20"/>
      <c r="P972" s="20"/>
      <c r="Q972" s="20"/>
      <c r="R972" s="20"/>
      <c r="S972" s="20"/>
      <c r="T972" s="20"/>
      <c r="U972" s="20"/>
      <c r="V972" s="20"/>
      <c r="W972" s="20"/>
      <c r="X972" s="20"/>
      <c r="Y972" s="20"/>
      <c r="Z972" s="20"/>
    </row>
    <row r="973" ht="13.5" customHeight="1" spans="1:26">
      <c r="A973" s="20"/>
      <c r="B973" s="20"/>
      <c r="C973" s="20"/>
      <c r="D973" s="20"/>
      <c r="E973" s="20"/>
      <c r="F973" s="20"/>
      <c r="G973" s="20"/>
      <c r="H973" s="20"/>
      <c r="I973" s="20"/>
      <c r="J973" s="20"/>
      <c r="K973" s="20"/>
      <c r="L973" s="20"/>
      <c r="M973" s="20"/>
      <c r="N973" s="20"/>
      <c r="O973" s="20"/>
      <c r="P973" s="20"/>
      <c r="Q973" s="20"/>
      <c r="R973" s="20"/>
      <c r="S973" s="20"/>
      <c r="T973" s="20"/>
      <c r="U973" s="20"/>
      <c r="V973" s="20"/>
      <c r="W973" s="20"/>
      <c r="X973" s="20"/>
      <c r="Y973" s="20"/>
      <c r="Z973" s="20"/>
    </row>
    <row r="974" ht="13.5" customHeight="1" spans="1:26">
      <c r="A974" s="20"/>
      <c r="B974" s="20"/>
      <c r="C974" s="20"/>
      <c r="D974" s="20"/>
      <c r="E974" s="20"/>
      <c r="F974" s="20"/>
      <c r="G974" s="20"/>
      <c r="H974" s="20"/>
      <c r="I974" s="20"/>
      <c r="J974" s="20"/>
      <c r="K974" s="20"/>
      <c r="L974" s="20"/>
      <c r="M974" s="20"/>
      <c r="N974" s="20"/>
      <c r="O974" s="20"/>
      <c r="P974" s="20"/>
      <c r="Q974" s="20"/>
      <c r="R974" s="20"/>
      <c r="S974" s="20"/>
      <c r="T974" s="20"/>
      <c r="U974" s="20"/>
      <c r="V974" s="20"/>
      <c r="W974" s="20"/>
      <c r="X974" s="20"/>
      <c r="Y974" s="20"/>
      <c r="Z974" s="20"/>
    </row>
    <row r="975" ht="13.5" customHeight="1" spans="1:26">
      <c r="A975" s="20"/>
      <c r="B975" s="20"/>
      <c r="C975" s="20"/>
      <c r="D975" s="20"/>
      <c r="E975" s="20"/>
      <c r="F975" s="20"/>
      <c r="G975" s="20"/>
      <c r="H975" s="20"/>
      <c r="I975" s="20"/>
      <c r="J975" s="20"/>
      <c r="K975" s="20"/>
      <c r="L975" s="20"/>
      <c r="M975" s="20"/>
      <c r="N975" s="20"/>
      <c r="O975" s="20"/>
      <c r="P975" s="20"/>
      <c r="Q975" s="20"/>
      <c r="R975" s="20"/>
      <c r="S975" s="20"/>
      <c r="T975" s="20"/>
      <c r="U975" s="20"/>
      <c r="V975" s="20"/>
      <c r="W975" s="20"/>
      <c r="X975" s="20"/>
      <c r="Y975" s="20"/>
      <c r="Z975" s="20"/>
    </row>
    <row r="976" ht="13.5" customHeight="1" spans="1:26">
      <c r="A976" s="20"/>
      <c r="B976" s="20"/>
      <c r="C976" s="20"/>
      <c r="D976" s="20"/>
      <c r="E976" s="20"/>
      <c r="F976" s="20"/>
      <c r="G976" s="20"/>
      <c r="H976" s="20"/>
      <c r="I976" s="20"/>
      <c r="J976" s="20"/>
      <c r="K976" s="20"/>
      <c r="L976" s="20"/>
      <c r="M976" s="20"/>
      <c r="N976" s="20"/>
      <c r="O976" s="20"/>
      <c r="P976" s="20"/>
      <c r="Q976" s="20"/>
      <c r="R976" s="20"/>
      <c r="S976" s="20"/>
      <c r="T976" s="20"/>
      <c r="U976" s="20"/>
      <c r="V976" s="20"/>
      <c r="W976" s="20"/>
      <c r="X976" s="20"/>
      <c r="Y976" s="20"/>
      <c r="Z976" s="20"/>
    </row>
    <row r="977" ht="13.5" customHeight="1" spans="1:26">
      <c r="A977" s="20"/>
      <c r="B977" s="20"/>
      <c r="C977" s="20"/>
      <c r="D977" s="20"/>
      <c r="E977" s="20"/>
      <c r="F977" s="20"/>
      <c r="G977" s="20"/>
      <c r="H977" s="20"/>
      <c r="I977" s="20"/>
      <c r="J977" s="20"/>
      <c r="K977" s="20"/>
      <c r="L977" s="20"/>
      <c r="M977" s="20"/>
      <c r="N977" s="20"/>
      <c r="O977" s="20"/>
      <c r="P977" s="20"/>
      <c r="Q977" s="20"/>
      <c r="R977" s="20"/>
      <c r="S977" s="20"/>
      <c r="T977" s="20"/>
      <c r="U977" s="20"/>
      <c r="V977" s="20"/>
      <c r="W977" s="20"/>
      <c r="X977" s="20"/>
      <c r="Y977" s="20"/>
      <c r="Z977" s="20"/>
    </row>
    <row r="978" ht="13.5" customHeight="1" spans="1:26">
      <c r="A978" s="20"/>
      <c r="B978" s="20"/>
      <c r="C978" s="20"/>
      <c r="D978" s="20"/>
      <c r="E978" s="20"/>
      <c r="F978" s="20"/>
      <c r="G978" s="20"/>
      <c r="H978" s="20"/>
      <c r="I978" s="20"/>
      <c r="J978" s="20"/>
      <c r="K978" s="20"/>
      <c r="L978" s="20"/>
      <c r="M978" s="20"/>
      <c r="N978" s="20"/>
      <c r="O978" s="20"/>
      <c r="P978" s="20"/>
      <c r="Q978" s="20"/>
      <c r="R978" s="20"/>
      <c r="S978" s="20"/>
      <c r="T978" s="20"/>
      <c r="U978" s="20"/>
      <c r="V978" s="20"/>
      <c r="W978" s="20"/>
      <c r="X978" s="20"/>
      <c r="Y978" s="20"/>
      <c r="Z978" s="20"/>
    </row>
    <row r="979" ht="13.5" customHeight="1" spans="1:26">
      <c r="A979" s="20"/>
      <c r="B979" s="20"/>
      <c r="C979" s="20"/>
      <c r="D979" s="20"/>
      <c r="E979" s="20"/>
      <c r="F979" s="20"/>
      <c r="G979" s="20"/>
      <c r="H979" s="20"/>
      <c r="I979" s="20"/>
      <c r="J979" s="20"/>
      <c r="K979" s="20"/>
      <c r="L979" s="20"/>
      <c r="M979" s="20"/>
      <c r="N979" s="20"/>
      <c r="O979" s="20"/>
      <c r="P979" s="20"/>
      <c r="Q979" s="20"/>
      <c r="R979" s="20"/>
      <c r="S979" s="20"/>
      <c r="T979" s="20"/>
      <c r="U979" s="20"/>
      <c r="V979" s="20"/>
      <c r="W979" s="20"/>
      <c r="X979" s="20"/>
      <c r="Y979" s="20"/>
      <c r="Z979" s="20"/>
    </row>
    <row r="980" ht="13.5" customHeight="1" spans="1:26">
      <c r="A980" s="20"/>
      <c r="B980" s="20"/>
      <c r="C980" s="20"/>
      <c r="D980" s="20"/>
      <c r="E980" s="20"/>
      <c r="F980" s="20"/>
      <c r="G980" s="20"/>
      <c r="H980" s="20"/>
      <c r="I980" s="20"/>
      <c r="J980" s="20"/>
      <c r="K980" s="20"/>
      <c r="L980" s="20"/>
      <c r="M980" s="20"/>
      <c r="N980" s="20"/>
      <c r="O980" s="20"/>
      <c r="P980" s="20"/>
      <c r="Q980" s="20"/>
      <c r="R980" s="20"/>
      <c r="S980" s="20"/>
      <c r="T980" s="20"/>
      <c r="U980" s="20"/>
      <c r="V980" s="20"/>
      <c r="W980" s="20"/>
      <c r="X980" s="20"/>
      <c r="Y980" s="20"/>
      <c r="Z980" s="20"/>
    </row>
    <row r="981" ht="13.5" customHeight="1" spans="1:26">
      <c r="A981" s="20"/>
      <c r="B981" s="20"/>
      <c r="C981" s="20"/>
      <c r="D981" s="20"/>
      <c r="E981" s="20"/>
      <c r="F981" s="20"/>
      <c r="G981" s="20"/>
      <c r="H981" s="20"/>
      <c r="I981" s="20"/>
      <c r="J981" s="20"/>
      <c r="K981" s="20"/>
      <c r="L981" s="20"/>
      <c r="M981" s="20"/>
      <c r="N981" s="20"/>
      <c r="O981" s="20"/>
      <c r="P981" s="20"/>
      <c r="Q981" s="20"/>
      <c r="R981" s="20"/>
      <c r="S981" s="20"/>
      <c r="T981" s="20"/>
      <c r="U981" s="20"/>
      <c r="V981" s="20"/>
      <c r="W981" s="20"/>
      <c r="X981" s="20"/>
      <c r="Y981" s="20"/>
      <c r="Z981" s="20"/>
    </row>
    <row r="982" ht="13.5" customHeight="1" spans="1:26">
      <c r="A982" s="20"/>
      <c r="B982" s="20"/>
      <c r="C982" s="20"/>
      <c r="D982" s="20"/>
      <c r="E982" s="20"/>
      <c r="F982" s="20"/>
      <c r="G982" s="20"/>
      <c r="H982" s="20"/>
      <c r="I982" s="20"/>
      <c r="J982" s="20"/>
      <c r="K982" s="20"/>
      <c r="L982" s="20"/>
      <c r="M982" s="20"/>
      <c r="N982" s="20"/>
      <c r="O982" s="20"/>
      <c r="P982" s="20"/>
      <c r="Q982" s="20"/>
      <c r="R982" s="20"/>
      <c r="S982" s="20"/>
      <c r="T982" s="20"/>
      <c r="U982" s="20"/>
      <c r="V982" s="20"/>
      <c r="W982" s="20"/>
      <c r="X982" s="20"/>
      <c r="Y982" s="20"/>
      <c r="Z982" s="20"/>
    </row>
    <row r="983" ht="13.5" customHeight="1" spans="1:26">
      <c r="A983" s="20"/>
      <c r="B983" s="20"/>
      <c r="C983" s="20"/>
      <c r="D983" s="20"/>
      <c r="E983" s="20"/>
      <c r="F983" s="20"/>
      <c r="G983" s="20"/>
      <c r="H983" s="20"/>
      <c r="I983" s="20"/>
      <c r="J983" s="20"/>
      <c r="K983" s="20"/>
      <c r="L983" s="20"/>
      <c r="M983" s="20"/>
      <c r="N983" s="20"/>
      <c r="O983" s="20"/>
      <c r="P983" s="20"/>
      <c r="Q983" s="20"/>
      <c r="R983" s="20"/>
      <c r="S983" s="20"/>
      <c r="T983" s="20"/>
      <c r="U983" s="20"/>
      <c r="V983" s="20"/>
      <c r="W983" s="20"/>
      <c r="X983" s="20"/>
      <c r="Y983" s="20"/>
      <c r="Z983" s="20"/>
    </row>
    <row r="984" ht="13.5" customHeight="1" spans="1:26">
      <c r="A984" s="20"/>
      <c r="B984" s="20"/>
      <c r="C984" s="20"/>
      <c r="D984" s="20"/>
      <c r="E984" s="20"/>
      <c r="F984" s="20"/>
      <c r="G984" s="20"/>
      <c r="H984" s="20"/>
      <c r="I984" s="20"/>
      <c r="J984" s="20"/>
      <c r="K984" s="20"/>
      <c r="L984" s="20"/>
      <c r="M984" s="20"/>
      <c r="N984" s="20"/>
      <c r="O984" s="20"/>
      <c r="P984" s="20"/>
      <c r="Q984" s="20"/>
      <c r="R984" s="20"/>
      <c r="S984" s="20"/>
      <c r="T984" s="20"/>
      <c r="U984" s="20"/>
      <c r="V984" s="20"/>
      <c r="W984" s="20"/>
      <c r="X984" s="20"/>
      <c r="Y984" s="20"/>
      <c r="Z984" s="20"/>
    </row>
    <row r="985" ht="13.5" customHeight="1" spans="1:26">
      <c r="A985" s="20"/>
      <c r="B985" s="20"/>
      <c r="C985" s="20"/>
      <c r="D985" s="20"/>
      <c r="E985" s="20"/>
      <c r="F985" s="20"/>
      <c r="G985" s="20"/>
      <c r="H985" s="20"/>
      <c r="I985" s="20"/>
      <c r="J985" s="20"/>
      <c r="K985" s="20"/>
      <c r="L985" s="20"/>
      <c r="M985" s="20"/>
      <c r="N985" s="20"/>
      <c r="O985" s="20"/>
      <c r="P985" s="20"/>
      <c r="Q985" s="20"/>
      <c r="R985" s="20"/>
      <c r="S985" s="20"/>
      <c r="T985" s="20"/>
      <c r="U985" s="20"/>
      <c r="V985" s="20"/>
      <c r="W985" s="20"/>
      <c r="X985" s="20"/>
      <c r="Y985" s="20"/>
      <c r="Z985" s="20"/>
    </row>
    <row r="986" ht="13.5" customHeight="1" spans="1:26">
      <c r="A986" s="20"/>
      <c r="B986" s="20"/>
      <c r="C986" s="20"/>
      <c r="D986" s="20"/>
      <c r="E986" s="20"/>
      <c r="F986" s="20"/>
      <c r="G986" s="20"/>
      <c r="H986" s="20"/>
      <c r="I986" s="20"/>
      <c r="J986" s="20"/>
      <c r="K986" s="20"/>
      <c r="L986" s="20"/>
      <c r="M986" s="20"/>
      <c r="N986" s="20"/>
      <c r="O986" s="20"/>
      <c r="P986" s="20"/>
      <c r="Q986" s="20"/>
      <c r="R986" s="20"/>
      <c r="S986" s="20"/>
      <c r="T986" s="20"/>
      <c r="U986" s="20"/>
      <c r="V986" s="20"/>
      <c r="W986" s="20"/>
      <c r="X986" s="20"/>
      <c r="Y986" s="20"/>
      <c r="Z986" s="20"/>
    </row>
    <row r="987" ht="13.5" customHeight="1" spans="1:26">
      <c r="A987" s="20"/>
      <c r="B987" s="20"/>
      <c r="C987" s="20"/>
      <c r="D987" s="20"/>
      <c r="E987" s="20"/>
      <c r="F987" s="20"/>
      <c r="G987" s="20"/>
      <c r="H987" s="20"/>
      <c r="I987" s="20"/>
      <c r="J987" s="20"/>
      <c r="K987" s="20"/>
      <c r="L987" s="20"/>
      <c r="M987" s="20"/>
      <c r="N987" s="20"/>
      <c r="O987" s="20"/>
      <c r="P987" s="20"/>
      <c r="Q987" s="20"/>
      <c r="R987" s="20"/>
      <c r="S987" s="20"/>
      <c r="T987" s="20"/>
      <c r="U987" s="20"/>
      <c r="V987" s="20"/>
      <c r="W987" s="20"/>
      <c r="X987" s="20"/>
      <c r="Y987" s="20"/>
      <c r="Z987" s="20"/>
    </row>
    <row r="988" ht="13.5" customHeight="1" spans="1:26">
      <c r="A988" s="20"/>
      <c r="B988" s="20"/>
      <c r="C988" s="20"/>
      <c r="D988" s="20"/>
      <c r="E988" s="20"/>
      <c r="F988" s="20"/>
      <c r="G988" s="20"/>
      <c r="H988" s="20"/>
      <c r="I988" s="20"/>
      <c r="J988" s="20"/>
      <c r="K988" s="20"/>
      <c r="L988" s="20"/>
      <c r="M988" s="20"/>
      <c r="N988" s="20"/>
      <c r="O988" s="20"/>
      <c r="P988" s="20"/>
      <c r="Q988" s="20"/>
      <c r="R988" s="20"/>
      <c r="S988" s="20"/>
      <c r="T988" s="20"/>
      <c r="U988" s="20"/>
      <c r="V988" s="20"/>
      <c r="W988" s="20"/>
      <c r="X988" s="20"/>
      <c r="Y988" s="20"/>
      <c r="Z988" s="20"/>
    </row>
    <row r="989" ht="13.5" customHeight="1" spans="1:26">
      <c r="A989" s="20"/>
      <c r="B989" s="20"/>
      <c r="C989" s="20"/>
      <c r="D989" s="20"/>
      <c r="E989" s="20"/>
      <c r="F989" s="20"/>
      <c r="G989" s="20"/>
      <c r="H989" s="20"/>
      <c r="I989" s="20"/>
      <c r="J989" s="20"/>
      <c r="K989" s="20"/>
      <c r="L989" s="20"/>
      <c r="M989" s="20"/>
      <c r="N989" s="20"/>
      <c r="O989" s="20"/>
      <c r="P989" s="20"/>
      <c r="Q989" s="20"/>
      <c r="R989" s="20"/>
      <c r="S989" s="20"/>
      <c r="T989" s="20"/>
      <c r="U989" s="20"/>
      <c r="V989" s="20"/>
      <c r="W989" s="20"/>
      <c r="X989" s="20"/>
      <c r="Y989" s="20"/>
      <c r="Z989" s="20"/>
    </row>
    <row r="990" ht="13.5" customHeight="1" spans="1:26">
      <c r="A990" s="20"/>
      <c r="B990" s="20"/>
      <c r="C990" s="20"/>
      <c r="D990" s="20"/>
      <c r="E990" s="20"/>
      <c r="F990" s="20"/>
      <c r="G990" s="20"/>
      <c r="H990" s="20"/>
      <c r="I990" s="20"/>
      <c r="J990" s="20"/>
      <c r="K990" s="20"/>
      <c r="L990" s="20"/>
      <c r="M990" s="20"/>
      <c r="N990" s="20"/>
      <c r="O990" s="20"/>
      <c r="P990" s="20"/>
      <c r="Q990" s="20"/>
      <c r="R990" s="20"/>
      <c r="S990" s="20"/>
      <c r="T990" s="20"/>
      <c r="U990" s="20"/>
      <c r="V990" s="20"/>
      <c r="W990" s="20"/>
      <c r="X990" s="20"/>
      <c r="Y990" s="20"/>
      <c r="Z990" s="20"/>
    </row>
    <row r="991" ht="13.5" customHeight="1" spans="1:26">
      <c r="A991" s="20"/>
      <c r="B991" s="20"/>
      <c r="C991" s="20"/>
      <c r="D991" s="20"/>
      <c r="E991" s="20"/>
      <c r="F991" s="20"/>
      <c r="G991" s="20"/>
      <c r="H991" s="20"/>
      <c r="I991" s="20"/>
      <c r="J991" s="20"/>
      <c r="K991" s="20"/>
      <c r="L991" s="20"/>
      <c r="M991" s="20"/>
      <c r="N991" s="20"/>
      <c r="O991" s="20"/>
      <c r="P991" s="20"/>
      <c r="Q991" s="20"/>
      <c r="R991" s="20"/>
      <c r="S991" s="20"/>
      <c r="T991" s="20"/>
      <c r="U991" s="20"/>
      <c r="V991" s="20"/>
      <c r="W991" s="20"/>
      <c r="X991" s="20"/>
      <c r="Y991" s="20"/>
      <c r="Z991" s="20"/>
    </row>
    <row r="992" ht="13.5" customHeight="1" spans="1:26">
      <c r="A992" s="20"/>
      <c r="B992" s="20"/>
      <c r="C992" s="20"/>
      <c r="D992" s="20"/>
      <c r="E992" s="20"/>
      <c r="F992" s="20"/>
      <c r="G992" s="20"/>
      <c r="H992" s="20"/>
      <c r="I992" s="20"/>
      <c r="J992" s="20"/>
      <c r="K992" s="20"/>
      <c r="L992" s="20"/>
      <c r="M992" s="20"/>
      <c r="N992" s="20"/>
      <c r="O992" s="20"/>
      <c r="P992" s="20"/>
      <c r="Q992" s="20"/>
      <c r="R992" s="20"/>
      <c r="S992" s="20"/>
      <c r="T992" s="20"/>
      <c r="U992" s="20"/>
      <c r="V992" s="20"/>
      <c r="W992" s="20"/>
      <c r="X992" s="20"/>
      <c r="Y992" s="20"/>
      <c r="Z992" s="20"/>
    </row>
    <row r="993" ht="13.5" customHeight="1" spans="1:26">
      <c r="A993" s="20"/>
      <c r="B993" s="20"/>
      <c r="C993" s="20"/>
      <c r="D993" s="20"/>
      <c r="E993" s="20"/>
      <c r="F993" s="20"/>
      <c r="G993" s="20"/>
      <c r="H993" s="20"/>
      <c r="I993" s="20"/>
      <c r="J993" s="20"/>
      <c r="K993" s="20"/>
      <c r="L993" s="20"/>
      <c r="M993" s="20"/>
      <c r="N993" s="20"/>
      <c r="O993" s="20"/>
      <c r="P993" s="20"/>
      <c r="Q993" s="20"/>
      <c r="R993" s="20"/>
      <c r="S993" s="20"/>
      <c r="T993" s="20"/>
      <c r="U993" s="20"/>
      <c r="V993" s="20"/>
      <c r="W993" s="20"/>
      <c r="X993" s="20"/>
      <c r="Y993" s="20"/>
      <c r="Z993" s="20"/>
    </row>
    <row r="994" ht="13.5" customHeight="1" spans="1:26">
      <c r="A994" s="20"/>
      <c r="B994" s="20"/>
      <c r="C994" s="20"/>
      <c r="D994" s="20"/>
      <c r="E994" s="20"/>
      <c r="F994" s="20"/>
      <c r="G994" s="20"/>
      <c r="H994" s="20"/>
      <c r="I994" s="20"/>
      <c r="J994" s="20"/>
      <c r="K994" s="20"/>
      <c r="L994" s="20"/>
      <c r="M994" s="20"/>
      <c r="N994" s="20"/>
      <c r="O994" s="20"/>
      <c r="P994" s="20"/>
      <c r="Q994" s="20"/>
      <c r="R994" s="20"/>
      <c r="S994" s="20"/>
      <c r="T994" s="20"/>
      <c r="U994" s="20"/>
      <c r="V994" s="20"/>
      <c r="W994" s="20"/>
      <c r="X994" s="20"/>
      <c r="Y994" s="20"/>
      <c r="Z994" s="20"/>
    </row>
    <row r="995" ht="13.5" customHeight="1" spans="1:26">
      <c r="A995" s="20"/>
      <c r="B995" s="20"/>
      <c r="C995" s="20"/>
      <c r="D995" s="20"/>
      <c r="E995" s="20"/>
      <c r="F995" s="20"/>
      <c r="G995" s="20"/>
      <c r="H995" s="20"/>
      <c r="I995" s="20"/>
      <c r="J995" s="20"/>
      <c r="K995" s="20"/>
      <c r="L995" s="20"/>
      <c r="M995" s="20"/>
      <c r="N995" s="20"/>
      <c r="O995" s="20"/>
      <c r="P995" s="20"/>
      <c r="Q995" s="20"/>
      <c r="R995" s="20"/>
      <c r="S995" s="20"/>
      <c r="T995" s="20"/>
      <c r="U995" s="20"/>
      <c r="V995" s="20"/>
      <c r="W995" s="20"/>
      <c r="X995" s="20"/>
      <c r="Y995" s="20"/>
      <c r="Z995" s="20"/>
    </row>
    <row r="996" ht="13.5" customHeight="1" spans="1:26">
      <c r="A996" s="20"/>
      <c r="B996" s="20"/>
      <c r="C996" s="20"/>
      <c r="D996" s="20"/>
      <c r="E996" s="20"/>
      <c r="F996" s="20"/>
      <c r="G996" s="20"/>
      <c r="H996" s="20"/>
      <c r="I996" s="20"/>
      <c r="J996" s="20"/>
      <c r="K996" s="20"/>
      <c r="L996" s="20"/>
      <c r="M996" s="20"/>
      <c r="N996" s="20"/>
      <c r="O996" s="20"/>
      <c r="P996" s="20"/>
      <c r="Q996" s="20"/>
      <c r="R996" s="20"/>
      <c r="S996" s="20"/>
      <c r="T996" s="20"/>
      <c r="U996" s="20"/>
      <c r="V996" s="20"/>
      <c r="W996" s="20"/>
      <c r="X996" s="20"/>
      <c r="Y996" s="20"/>
      <c r="Z996" s="20"/>
    </row>
    <row r="997" ht="13.5" customHeight="1" spans="1:26">
      <c r="A997" s="20"/>
      <c r="B997" s="20"/>
      <c r="C997" s="20"/>
      <c r="D997" s="20"/>
      <c r="E997" s="20"/>
      <c r="F997" s="20"/>
      <c r="G997" s="20"/>
      <c r="H997" s="20"/>
      <c r="I997" s="20"/>
      <c r="J997" s="20"/>
      <c r="K997" s="20"/>
      <c r="L997" s="20"/>
      <c r="M997" s="20"/>
      <c r="N997" s="20"/>
      <c r="O997" s="20"/>
      <c r="P997" s="20"/>
      <c r="Q997" s="20"/>
      <c r="R997" s="20"/>
      <c r="S997" s="20"/>
      <c r="T997" s="20"/>
      <c r="U997" s="20"/>
      <c r="V997" s="20"/>
      <c r="W997" s="20"/>
      <c r="X997" s="20"/>
      <c r="Y997" s="20"/>
      <c r="Z997" s="20"/>
    </row>
    <row r="998" ht="13.5" customHeight="1" spans="1:26">
      <c r="A998" s="20"/>
      <c r="B998" s="20"/>
      <c r="C998" s="20"/>
      <c r="D998" s="20"/>
      <c r="E998" s="20"/>
      <c r="F998" s="20"/>
      <c r="G998" s="20"/>
      <c r="H998" s="20"/>
      <c r="I998" s="20"/>
      <c r="J998" s="20"/>
      <c r="K998" s="20"/>
      <c r="L998" s="20"/>
      <c r="M998" s="20"/>
      <c r="N998" s="20"/>
      <c r="O998" s="20"/>
      <c r="P998" s="20"/>
      <c r="Q998" s="20"/>
      <c r="R998" s="20"/>
      <c r="S998" s="20"/>
      <c r="T998" s="20"/>
      <c r="U998" s="20"/>
      <c r="V998" s="20"/>
      <c r="W998" s="20"/>
      <c r="X998" s="20"/>
      <c r="Y998" s="20"/>
      <c r="Z998" s="20"/>
    </row>
    <row r="999" ht="13.5" customHeight="1" spans="1:26">
      <c r="A999" s="20"/>
      <c r="B999" s="20"/>
      <c r="C999" s="20"/>
      <c r="D999" s="20"/>
      <c r="E999" s="20"/>
      <c r="F999" s="20"/>
      <c r="G999" s="20"/>
      <c r="H999" s="20"/>
      <c r="I999" s="20"/>
      <c r="J999" s="20"/>
      <c r="K999" s="20"/>
      <c r="L999" s="20"/>
      <c r="M999" s="20"/>
      <c r="N999" s="20"/>
      <c r="O999" s="20"/>
      <c r="P999" s="20"/>
      <c r="Q999" s="20"/>
      <c r="R999" s="20"/>
      <c r="S999" s="20"/>
      <c r="T999" s="20"/>
      <c r="U999" s="20"/>
      <c r="V999" s="20"/>
      <c r="W999" s="20"/>
      <c r="X999" s="20"/>
      <c r="Y999" s="20"/>
      <c r="Z999" s="20"/>
    </row>
    <row r="1000" ht="13.5" customHeight="1" spans="1:26">
      <c r="A1000" s="20"/>
      <c r="B1000" s="20"/>
      <c r="C1000" s="20"/>
      <c r="D1000" s="20"/>
      <c r="E1000" s="20"/>
      <c r="F1000" s="20"/>
      <c r="G1000" s="20"/>
      <c r="H1000" s="20"/>
      <c r="I1000" s="20"/>
      <c r="J1000" s="20"/>
      <c r="K1000" s="20"/>
      <c r="L1000" s="20"/>
      <c r="M1000" s="20"/>
      <c r="N1000" s="20"/>
      <c r="O1000" s="20"/>
      <c r="P1000" s="20"/>
      <c r="Q1000" s="20"/>
      <c r="R1000" s="20"/>
      <c r="S1000" s="20"/>
      <c r="T1000" s="20"/>
      <c r="U1000" s="20"/>
      <c r="V1000" s="20"/>
      <c r="W1000" s="20"/>
      <c r="X1000" s="20"/>
      <c r="Y1000" s="20"/>
      <c r="Z1000" s="20"/>
    </row>
  </sheetData>
  <pageMargins left="0.7" right="0.7" top="0.75" bottom="0.75" header="0" footer="0"/>
  <pageSetup paperSize="1" orientation="landscape"/>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9"/>
  </sheetPr>
  <dimension ref="A1:Z1000"/>
  <sheetViews>
    <sheetView showGridLines="0" workbookViewId="0">
      <selection activeCell="A1" sqref="A1"/>
    </sheetView>
  </sheetViews>
  <sheetFormatPr defaultColWidth="14.4285714285714" defaultRowHeight="15" customHeight="1"/>
  <cols>
    <col min="1" max="1" width="9.14285714285714" customWidth="1"/>
    <col min="2" max="2" width="15.7142857142857" customWidth="1"/>
    <col min="3" max="3" width="14" customWidth="1"/>
    <col min="4" max="4" width="11.8571428571429" customWidth="1"/>
    <col min="5" max="5" width="15.7142857142857" customWidth="1"/>
    <col min="6" max="8" width="9.14285714285714" customWidth="1"/>
    <col min="9" max="9" width="14" customWidth="1"/>
    <col min="10" max="26" width="9.14285714285714" customWidth="1"/>
  </cols>
  <sheetData>
    <row r="1" ht="13.5" customHeight="1" spans="1:26">
      <c r="A1" s="20"/>
      <c r="B1" s="20"/>
      <c r="C1" s="20"/>
      <c r="D1" s="20"/>
      <c r="E1" s="20"/>
      <c r="F1" s="20"/>
      <c r="G1" s="20"/>
      <c r="H1" s="20"/>
      <c r="I1" s="20"/>
      <c r="J1" s="20"/>
      <c r="K1" s="20"/>
      <c r="L1" s="20"/>
      <c r="M1" s="20"/>
      <c r="N1" s="20"/>
      <c r="O1" s="20"/>
      <c r="P1" s="20"/>
      <c r="Q1" s="20"/>
      <c r="R1" s="20"/>
      <c r="S1" s="20"/>
      <c r="T1" s="20"/>
      <c r="U1" s="20"/>
      <c r="V1" s="20"/>
      <c r="W1" s="20"/>
      <c r="X1" s="20"/>
      <c r="Y1" s="20"/>
      <c r="Z1" s="20"/>
    </row>
    <row r="2" ht="13.5" customHeight="1" spans="1:26">
      <c r="A2" s="20"/>
      <c r="B2" s="99" t="s">
        <v>1108</v>
      </c>
      <c r="C2" s="100"/>
      <c r="D2" s="100"/>
      <c r="E2" s="100"/>
      <c r="F2" s="100"/>
      <c r="G2" s="100"/>
      <c r="H2" s="100"/>
      <c r="I2" s="100"/>
      <c r="J2" s="100"/>
      <c r="K2" s="100"/>
      <c r="L2" s="100"/>
      <c r="M2" s="100"/>
      <c r="N2" s="111" t="s">
        <v>1037</v>
      </c>
      <c r="O2" s="20"/>
      <c r="P2" s="20"/>
      <c r="Q2" s="20"/>
      <c r="R2" s="20"/>
      <c r="S2" s="20"/>
      <c r="T2" s="20"/>
      <c r="U2" s="20"/>
      <c r="V2" s="20"/>
      <c r="W2" s="20"/>
      <c r="X2" s="20"/>
      <c r="Y2" s="20"/>
      <c r="Z2" s="20"/>
    </row>
    <row r="3" ht="13.5" customHeight="1" spans="1:26">
      <c r="A3" s="20"/>
      <c r="B3" s="101" t="s">
        <v>1109</v>
      </c>
      <c r="C3" s="102"/>
      <c r="D3" s="102"/>
      <c r="E3" s="102"/>
      <c r="F3" s="102"/>
      <c r="G3" s="102"/>
      <c r="H3" s="102"/>
      <c r="I3" s="102"/>
      <c r="J3" s="102"/>
      <c r="K3" s="102"/>
      <c r="L3" s="102"/>
      <c r="M3" s="102"/>
      <c r="N3" s="112">
        <f>SUMPRODUCT((C10:C59="Sales")*(YEAR(E10:E59)&lt;=2006)*(YEAR(E10:E59)&lt;=2024))</f>
        <v>8</v>
      </c>
      <c r="O3" s="20"/>
      <c r="P3" s="20"/>
      <c r="Q3" s="20"/>
      <c r="R3" s="20"/>
      <c r="S3" s="20"/>
      <c r="T3" s="20"/>
      <c r="U3" s="20"/>
      <c r="V3" s="20"/>
      <c r="W3" s="20"/>
      <c r="X3" s="20"/>
      <c r="Y3" s="20"/>
      <c r="Z3" s="20"/>
    </row>
    <row r="4" ht="13.5" customHeight="1" spans="1:26">
      <c r="A4" s="20"/>
      <c r="B4" s="103" t="s">
        <v>1110</v>
      </c>
      <c r="C4" s="104"/>
      <c r="D4" s="104"/>
      <c r="E4" s="104"/>
      <c r="F4" s="104"/>
      <c r="G4" s="104"/>
      <c r="H4" s="104"/>
      <c r="I4" s="104"/>
      <c r="J4" s="104"/>
      <c r="K4" s="104"/>
      <c r="L4" s="104"/>
      <c r="M4" s="104"/>
      <c r="N4" s="112">
        <f>SUMPRODUCT((C10:C59="Sales")*(D10:D59&lt;=DATE(2009,3,31))*(E10:E59))</f>
        <v>17</v>
      </c>
      <c r="O4" s="20"/>
      <c r="P4" s="20"/>
      <c r="Q4" s="20"/>
      <c r="R4" s="20"/>
      <c r="S4" s="20"/>
      <c r="T4" s="20"/>
      <c r="U4" s="20"/>
      <c r="V4" s="20"/>
      <c r="W4" s="20"/>
      <c r="X4" s="20"/>
      <c r="Y4" s="20"/>
      <c r="Z4" s="20"/>
    </row>
    <row r="5" ht="13.5" customHeight="1" spans="1:26">
      <c r="A5" s="20"/>
      <c r="B5" s="20"/>
      <c r="C5" s="20"/>
      <c r="D5" s="20"/>
      <c r="E5" s="20"/>
      <c r="F5" s="20"/>
      <c r="G5" s="20"/>
      <c r="H5" s="20"/>
      <c r="I5" s="20"/>
      <c r="J5" s="20"/>
      <c r="K5" s="20"/>
      <c r="L5" s="20"/>
      <c r="M5" s="20"/>
      <c r="N5" s="20"/>
      <c r="O5" s="20"/>
      <c r="P5" s="20"/>
      <c r="Q5" s="20"/>
      <c r="R5" s="20"/>
      <c r="S5" s="20"/>
      <c r="T5" s="20"/>
      <c r="U5" s="20"/>
      <c r="V5" s="20"/>
      <c r="W5" s="20"/>
      <c r="X5" s="20"/>
      <c r="Y5" s="20"/>
      <c r="Z5" s="20"/>
    </row>
    <row r="6" ht="13.5" customHeight="1" spans="1:26">
      <c r="A6" s="20"/>
      <c r="B6" s="99" t="s">
        <v>1111</v>
      </c>
      <c r="C6" s="100"/>
      <c r="D6" s="100"/>
      <c r="E6" s="105"/>
      <c r="F6" s="20"/>
      <c r="G6" s="20"/>
      <c r="H6" s="20"/>
      <c r="I6" s="20"/>
      <c r="J6" s="20"/>
      <c r="K6" s="20"/>
      <c r="L6" s="20"/>
      <c r="M6" s="20"/>
      <c r="N6" s="20"/>
      <c r="O6" s="20"/>
      <c r="P6" s="20"/>
      <c r="Q6" s="20"/>
      <c r="R6" s="20"/>
      <c r="S6" s="20"/>
      <c r="T6" s="20"/>
      <c r="U6" s="20"/>
      <c r="V6" s="20"/>
      <c r="W6" s="20"/>
      <c r="X6" s="20"/>
      <c r="Y6" s="20"/>
      <c r="Z6" s="20"/>
    </row>
    <row r="7" ht="13.5" customHeight="1" spans="1:26">
      <c r="A7" s="20"/>
      <c r="B7" s="103" t="s">
        <v>1112</v>
      </c>
      <c r="C7" s="106">
        <v>45405</v>
      </c>
      <c r="D7" s="104"/>
      <c r="E7" s="107"/>
      <c r="F7" s="20"/>
      <c r="G7" s="20"/>
      <c r="H7" s="20"/>
      <c r="I7" s="20"/>
      <c r="J7" s="20"/>
      <c r="K7" s="20"/>
      <c r="L7" s="20"/>
      <c r="M7" s="20"/>
      <c r="N7" s="20"/>
      <c r="O7" s="20"/>
      <c r="P7" s="20"/>
      <c r="Q7" s="20"/>
      <c r="R7" s="20"/>
      <c r="S7" s="20"/>
      <c r="T7" s="20"/>
      <c r="U7" s="20"/>
      <c r="V7" s="20"/>
      <c r="W7" s="20"/>
      <c r="X7" s="20"/>
      <c r="Y7" s="20"/>
      <c r="Z7" s="20"/>
    </row>
    <row r="8" ht="13.5" customHeight="1" spans="1:26">
      <c r="A8" s="20"/>
      <c r="B8" s="20"/>
      <c r="C8" s="20"/>
      <c r="D8" s="20"/>
      <c r="E8" s="20"/>
      <c r="F8" s="20"/>
      <c r="G8" s="20"/>
      <c r="H8" s="20"/>
      <c r="I8" s="20"/>
      <c r="J8" s="20"/>
      <c r="K8" s="20"/>
      <c r="L8" s="20"/>
      <c r="M8" s="20"/>
      <c r="N8" s="20"/>
      <c r="O8" s="20"/>
      <c r="P8" s="20"/>
      <c r="Q8" s="20"/>
      <c r="R8" s="20"/>
      <c r="S8" s="20"/>
      <c r="T8" s="20"/>
      <c r="U8" s="20"/>
      <c r="V8" s="20"/>
      <c r="W8" s="20"/>
      <c r="X8" s="20"/>
      <c r="Y8" s="20"/>
      <c r="Z8" s="20"/>
    </row>
    <row r="9" ht="13.5" customHeight="1" spans="1:26">
      <c r="A9" s="20"/>
      <c r="B9" s="108" t="s">
        <v>1113</v>
      </c>
      <c r="C9" s="108" t="s">
        <v>1114</v>
      </c>
      <c r="D9" s="108" t="s">
        <v>1115</v>
      </c>
      <c r="E9" s="108" t="s">
        <v>1116</v>
      </c>
      <c r="F9" s="20"/>
      <c r="G9" s="20"/>
      <c r="H9" s="109"/>
      <c r="I9" s="20"/>
      <c r="J9" s="20"/>
      <c r="K9" s="20"/>
      <c r="L9" s="20"/>
      <c r="M9" s="20"/>
      <c r="N9" s="20"/>
      <c r="O9" s="20"/>
      <c r="P9" s="20"/>
      <c r="Q9" s="20"/>
      <c r="R9" s="20"/>
      <c r="S9" s="20"/>
      <c r="T9" s="20"/>
      <c r="U9" s="20"/>
      <c r="V9" s="20"/>
      <c r="W9" s="20"/>
      <c r="X9" s="20"/>
      <c r="Y9" s="20"/>
      <c r="Z9" s="20"/>
    </row>
    <row r="10" ht="13.5" customHeight="1" spans="1:26">
      <c r="A10" s="20"/>
      <c r="B10" s="63" t="s">
        <v>1046</v>
      </c>
      <c r="C10" s="110" t="s">
        <v>1117</v>
      </c>
      <c r="D10" s="91">
        <v>37742</v>
      </c>
      <c r="E10" s="63">
        <v>2</v>
      </c>
      <c r="F10" s="20"/>
      <c r="G10" s="20"/>
      <c r="H10" s="20"/>
      <c r="I10" s="20"/>
      <c r="J10" s="20"/>
      <c r="K10" s="20"/>
      <c r="L10" s="20"/>
      <c r="M10" s="20"/>
      <c r="N10" s="20"/>
      <c r="O10" s="20"/>
      <c r="P10" s="20"/>
      <c r="Q10" s="20"/>
      <c r="R10" s="20"/>
      <c r="S10" s="20"/>
      <c r="T10" s="20"/>
      <c r="U10" s="20"/>
      <c r="V10" s="20"/>
      <c r="W10" s="20"/>
      <c r="X10" s="20"/>
      <c r="Y10" s="20"/>
      <c r="Z10" s="20"/>
    </row>
    <row r="11" ht="13.5" customHeight="1" spans="1:26">
      <c r="A11" s="20"/>
      <c r="B11" s="63" t="s">
        <v>1050</v>
      </c>
      <c r="C11" s="110" t="s">
        <v>1118</v>
      </c>
      <c r="D11" s="91">
        <v>39456</v>
      </c>
      <c r="E11" s="63">
        <v>1</v>
      </c>
      <c r="F11" s="20"/>
      <c r="G11" s="20"/>
      <c r="H11" s="20"/>
      <c r="J11" s="20"/>
      <c r="K11" s="20"/>
      <c r="L11" s="20"/>
      <c r="M11" s="20"/>
      <c r="N11" s="20"/>
      <c r="O11" s="20"/>
      <c r="P11" s="20"/>
      <c r="Q11" s="20"/>
      <c r="R11" s="20"/>
      <c r="S11" s="20"/>
      <c r="T11" s="20"/>
      <c r="U11" s="20"/>
      <c r="V11" s="20"/>
      <c r="W11" s="20"/>
      <c r="X11" s="20"/>
      <c r="Y11" s="20"/>
      <c r="Z11" s="20"/>
    </row>
    <row r="12" ht="13.5" customHeight="1" spans="1:26">
      <c r="A12" s="20"/>
      <c r="B12" s="63" t="s">
        <v>1052</v>
      </c>
      <c r="C12" s="110" t="s">
        <v>1119</v>
      </c>
      <c r="D12" s="91">
        <v>39155</v>
      </c>
      <c r="E12" s="63">
        <v>0</v>
      </c>
      <c r="F12" s="20"/>
      <c r="G12" s="20"/>
      <c r="H12" s="20"/>
      <c r="I12" s="20"/>
      <c r="J12" s="20"/>
      <c r="K12" s="20"/>
      <c r="L12" s="20"/>
      <c r="M12" s="20"/>
      <c r="N12" s="20"/>
      <c r="O12" s="20"/>
      <c r="P12" s="20"/>
      <c r="Q12" s="20"/>
      <c r="R12" s="20"/>
      <c r="S12" s="20"/>
      <c r="T12" s="20"/>
      <c r="U12" s="20"/>
      <c r="V12" s="20"/>
      <c r="W12" s="20"/>
      <c r="X12" s="20"/>
      <c r="Y12" s="20"/>
      <c r="Z12" s="20"/>
    </row>
    <row r="13" ht="13.5" customHeight="1" spans="1:26">
      <c r="A13" s="20"/>
      <c r="B13" s="63" t="s">
        <v>1053</v>
      </c>
      <c r="C13" s="110" t="s">
        <v>1120</v>
      </c>
      <c r="D13" s="91">
        <v>40162</v>
      </c>
      <c r="E13" s="63">
        <v>1</v>
      </c>
      <c r="F13" s="20"/>
      <c r="G13" s="20"/>
      <c r="H13" s="20"/>
      <c r="I13" s="20"/>
      <c r="J13" s="20"/>
      <c r="K13" s="20"/>
      <c r="L13" s="20"/>
      <c r="M13" s="20"/>
      <c r="N13" s="20"/>
      <c r="O13" s="20"/>
      <c r="P13" s="20"/>
      <c r="Q13" s="20"/>
      <c r="R13" s="20"/>
      <c r="S13" s="20"/>
      <c r="T13" s="20"/>
      <c r="U13" s="20"/>
      <c r="V13" s="20"/>
      <c r="W13" s="20"/>
      <c r="X13" s="20"/>
      <c r="Y13" s="20"/>
      <c r="Z13" s="20"/>
    </row>
    <row r="14" ht="13.5" customHeight="1" spans="1:26">
      <c r="A14" s="20"/>
      <c r="B14" s="63" t="s">
        <v>1054</v>
      </c>
      <c r="C14" s="110" t="s">
        <v>1117</v>
      </c>
      <c r="D14" s="91">
        <v>37408</v>
      </c>
      <c r="E14" s="63">
        <v>2</v>
      </c>
      <c r="F14" s="20"/>
      <c r="G14" s="20"/>
      <c r="H14" s="20"/>
      <c r="I14" s="20"/>
      <c r="J14" s="20"/>
      <c r="K14" s="20"/>
      <c r="L14" s="20"/>
      <c r="M14" s="20"/>
      <c r="N14" s="20"/>
      <c r="O14" s="20"/>
      <c r="P14" s="20"/>
      <c r="Q14" s="20"/>
      <c r="R14" s="20"/>
      <c r="S14" s="20"/>
      <c r="T14" s="20"/>
      <c r="U14" s="20"/>
      <c r="V14" s="20"/>
      <c r="W14" s="20"/>
      <c r="X14" s="20"/>
      <c r="Y14" s="20"/>
      <c r="Z14" s="20"/>
    </row>
    <row r="15" ht="13.5" customHeight="1" spans="1:26">
      <c r="A15" s="20"/>
      <c r="B15" s="63" t="s">
        <v>1055</v>
      </c>
      <c r="C15" s="110" t="s">
        <v>1118</v>
      </c>
      <c r="D15" s="91">
        <v>39860</v>
      </c>
      <c r="E15" s="63">
        <v>1</v>
      </c>
      <c r="F15" s="20"/>
      <c r="G15" s="20"/>
      <c r="H15" s="20"/>
      <c r="I15" s="20"/>
      <c r="J15" s="20"/>
      <c r="K15" s="20"/>
      <c r="L15" s="20"/>
      <c r="M15" s="20"/>
      <c r="N15" s="20"/>
      <c r="O15" s="20"/>
      <c r="P15" s="20"/>
      <c r="Q15" s="20"/>
      <c r="R15" s="20"/>
      <c r="S15" s="20"/>
      <c r="T15" s="20"/>
      <c r="U15" s="20"/>
      <c r="V15" s="20"/>
      <c r="W15" s="20"/>
      <c r="X15" s="20"/>
      <c r="Y15" s="20"/>
      <c r="Z15" s="20"/>
    </row>
    <row r="16" ht="13.5" customHeight="1" spans="1:26">
      <c r="A16" s="20"/>
      <c r="B16" s="63" t="s">
        <v>1056</v>
      </c>
      <c r="C16" s="110" t="s">
        <v>1121</v>
      </c>
      <c r="D16" s="91">
        <v>38740</v>
      </c>
      <c r="E16" s="63">
        <v>0</v>
      </c>
      <c r="F16" s="20"/>
      <c r="G16" s="20"/>
      <c r="H16" s="20"/>
      <c r="I16" s="20"/>
      <c r="J16" s="20"/>
      <c r="K16" s="20"/>
      <c r="L16" s="20"/>
      <c r="M16" s="20"/>
      <c r="N16" s="20"/>
      <c r="O16" s="20"/>
      <c r="P16" s="20"/>
      <c r="Q16" s="20"/>
      <c r="R16" s="20"/>
      <c r="S16" s="20"/>
      <c r="T16" s="20"/>
      <c r="U16" s="20"/>
      <c r="V16" s="20"/>
      <c r="W16" s="20"/>
      <c r="X16" s="20"/>
      <c r="Y16" s="20"/>
      <c r="Z16" s="20"/>
    </row>
    <row r="17" ht="13.5" customHeight="1" spans="1:26">
      <c r="A17" s="20"/>
      <c r="B17" s="63" t="s">
        <v>1057</v>
      </c>
      <c r="C17" s="110" t="s">
        <v>1122</v>
      </c>
      <c r="D17" s="91">
        <v>40210</v>
      </c>
      <c r="E17" s="63">
        <v>3</v>
      </c>
      <c r="F17" s="20"/>
      <c r="G17" s="20"/>
      <c r="H17" s="20"/>
      <c r="I17" s="20"/>
      <c r="J17" s="20"/>
      <c r="K17" s="20"/>
      <c r="L17" s="20"/>
      <c r="M17" s="20"/>
      <c r="N17" s="20"/>
      <c r="O17" s="20"/>
      <c r="P17" s="20"/>
      <c r="Q17" s="20"/>
      <c r="R17" s="20"/>
      <c r="S17" s="20"/>
      <c r="T17" s="20"/>
      <c r="U17" s="20"/>
      <c r="V17" s="20"/>
      <c r="W17" s="20"/>
      <c r="X17" s="20"/>
      <c r="Y17" s="20"/>
      <c r="Z17" s="20"/>
    </row>
    <row r="18" ht="13.5" customHeight="1" spans="1:26">
      <c r="A18" s="20"/>
      <c r="B18" s="63" t="s">
        <v>1058</v>
      </c>
      <c r="C18" s="110" t="s">
        <v>1123</v>
      </c>
      <c r="D18" s="91">
        <v>37742</v>
      </c>
      <c r="E18" s="63">
        <v>3</v>
      </c>
      <c r="F18" s="20"/>
      <c r="G18" s="20"/>
      <c r="H18" s="20"/>
      <c r="I18" s="20"/>
      <c r="J18" s="20"/>
      <c r="K18" s="20"/>
      <c r="L18" s="20"/>
      <c r="M18" s="20"/>
      <c r="N18" s="20"/>
      <c r="O18" s="20"/>
      <c r="P18" s="20"/>
      <c r="Q18" s="20"/>
      <c r="R18" s="20"/>
      <c r="S18" s="20"/>
      <c r="T18" s="20"/>
      <c r="U18" s="20"/>
      <c r="V18" s="20"/>
      <c r="W18" s="20"/>
      <c r="X18" s="20"/>
      <c r="Y18" s="20"/>
      <c r="Z18" s="20"/>
    </row>
    <row r="19" ht="13.5" customHeight="1" spans="1:26">
      <c r="A19" s="20"/>
      <c r="B19" s="63" t="s">
        <v>1059</v>
      </c>
      <c r="C19" s="110" t="s">
        <v>1119</v>
      </c>
      <c r="D19" s="91">
        <v>37787</v>
      </c>
      <c r="E19" s="63">
        <v>0</v>
      </c>
      <c r="F19" s="20"/>
      <c r="G19" s="20"/>
      <c r="H19" s="20"/>
      <c r="I19" s="20"/>
      <c r="J19" s="20"/>
      <c r="K19" s="20"/>
      <c r="L19" s="20"/>
      <c r="M19" s="20"/>
      <c r="N19" s="20"/>
      <c r="O19" s="20"/>
      <c r="P19" s="20"/>
      <c r="Q19" s="20"/>
      <c r="R19" s="20"/>
      <c r="S19" s="20"/>
      <c r="T19" s="20"/>
      <c r="U19" s="20"/>
      <c r="V19" s="20"/>
      <c r="W19" s="20"/>
      <c r="X19" s="20"/>
      <c r="Y19" s="20"/>
      <c r="Z19" s="20"/>
    </row>
    <row r="20" ht="13.5" customHeight="1" spans="1:26">
      <c r="A20" s="20"/>
      <c r="B20" s="63" t="s">
        <v>1060</v>
      </c>
      <c r="C20" s="110" t="s">
        <v>1121</v>
      </c>
      <c r="D20" s="91">
        <v>37742</v>
      </c>
      <c r="E20" s="63">
        <v>5</v>
      </c>
      <c r="F20" s="20"/>
      <c r="G20" s="20"/>
      <c r="H20" s="20"/>
      <c r="I20" s="20"/>
      <c r="J20" s="20"/>
      <c r="K20" s="20"/>
      <c r="L20" s="20"/>
      <c r="M20" s="20"/>
      <c r="N20" s="20"/>
      <c r="O20" s="20"/>
      <c r="P20" s="20"/>
      <c r="Q20" s="20"/>
      <c r="R20" s="20"/>
      <c r="S20" s="20"/>
      <c r="T20" s="20"/>
      <c r="U20" s="20"/>
      <c r="V20" s="20"/>
      <c r="W20" s="20"/>
      <c r="X20" s="20"/>
      <c r="Y20" s="20"/>
      <c r="Z20" s="20"/>
    </row>
    <row r="21" ht="13.5" customHeight="1" spans="1:26">
      <c r="A21" s="20"/>
      <c r="B21" s="63" t="s">
        <v>1061</v>
      </c>
      <c r="C21" s="110" t="s">
        <v>1117</v>
      </c>
      <c r="D21" s="91">
        <v>39814</v>
      </c>
      <c r="E21" s="63">
        <v>1</v>
      </c>
      <c r="F21" s="20"/>
      <c r="G21" s="20"/>
      <c r="H21" s="20"/>
      <c r="I21" s="20"/>
      <c r="J21" s="20"/>
      <c r="K21" s="20"/>
      <c r="L21" s="20"/>
      <c r="M21" s="20"/>
      <c r="N21" s="20"/>
      <c r="O21" s="20"/>
      <c r="P21" s="20"/>
      <c r="Q21" s="20"/>
      <c r="R21" s="20"/>
      <c r="S21" s="20"/>
      <c r="T21" s="20"/>
      <c r="U21" s="20"/>
      <c r="V21" s="20"/>
      <c r="W21" s="20"/>
      <c r="X21" s="20"/>
      <c r="Y21" s="20"/>
      <c r="Z21" s="20"/>
    </row>
    <row r="22" ht="13.5" customHeight="1" spans="1:26">
      <c r="A22" s="20"/>
      <c r="B22" s="63" t="s">
        <v>1062</v>
      </c>
      <c r="C22" s="110" t="s">
        <v>1119</v>
      </c>
      <c r="D22" s="91">
        <v>40203</v>
      </c>
      <c r="E22" s="63">
        <v>0</v>
      </c>
      <c r="F22" s="20"/>
      <c r="G22" s="20"/>
      <c r="H22" s="20"/>
      <c r="I22" s="20"/>
      <c r="J22" s="20"/>
      <c r="K22" s="20"/>
      <c r="L22" s="20"/>
      <c r="M22" s="20"/>
      <c r="N22" s="20"/>
      <c r="O22" s="20"/>
      <c r="P22" s="20"/>
      <c r="Q22" s="20"/>
      <c r="R22" s="20"/>
      <c r="S22" s="20"/>
      <c r="T22" s="20"/>
      <c r="U22" s="20"/>
      <c r="V22" s="20"/>
      <c r="W22" s="20"/>
      <c r="X22" s="20"/>
      <c r="Y22" s="20"/>
      <c r="Z22" s="20"/>
    </row>
    <row r="23" ht="13.5" customHeight="1" spans="1:26">
      <c r="A23" s="20"/>
      <c r="B23" s="63" t="s">
        <v>1063</v>
      </c>
      <c r="C23" s="110" t="s">
        <v>1122</v>
      </c>
      <c r="D23" s="91">
        <v>38299</v>
      </c>
      <c r="E23" s="63">
        <v>4</v>
      </c>
      <c r="F23" s="20"/>
      <c r="G23" s="20"/>
      <c r="H23" s="20"/>
      <c r="I23" s="20"/>
      <c r="J23" s="20"/>
      <c r="K23" s="20"/>
      <c r="L23" s="20"/>
      <c r="M23" s="20"/>
      <c r="N23" s="20"/>
      <c r="O23" s="20"/>
      <c r="P23" s="20"/>
      <c r="Q23" s="20"/>
      <c r="R23" s="20"/>
      <c r="S23" s="20"/>
      <c r="T23" s="20"/>
      <c r="U23" s="20"/>
      <c r="V23" s="20"/>
      <c r="W23" s="20"/>
      <c r="X23" s="20"/>
      <c r="Y23" s="20"/>
      <c r="Z23" s="20"/>
    </row>
    <row r="24" ht="13.5" customHeight="1" spans="1:26">
      <c r="A24" s="20"/>
      <c r="B24" s="63" t="s">
        <v>1064</v>
      </c>
      <c r="C24" s="110" t="s">
        <v>1122</v>
      </c>
      <c r="D24" s="91">
        <v>40210</v>
      </c>
      <c r="E24" s="63">
        <v>0</v>
      </c>
      <c r="F24" s="20"/>
      <c r="G24" s="20"/>
      <c r="H24" s="20"/>
      <c r="I24" s="20"/>
      <c r="J24" s="20"/>
      <c r="K24" s="20"/>
      <c r="L24" s="20"/>
      <c r="M24" s="20"/>
      <c r="N24" s="20"/>
      <c r="O24" s="20"/>
      <c r="P24" s="20"/>
      <c r="Q24" s="20"/>
      <c r="R24" s="20"/>
      <c r="S24" s="20"/>
      <c r="T24" s="20"/>
      <c r="U24" s="20"/>
      <c r="V24" s="20"/>
      <c r="W24" s="20"/>
      <c r="X24" s="20"/>
      <c r="Y24" s="20"/>
      <c r="Z24" s="20"/>
    </row>
    <row r="25" ht="13.5" customHeight="1" spans="1:26">
      <c r="A25" s="20"/>
      <c r="B25" s="63" t="s">
        <v>1065</v>
      </c>
      <c r="C25" s="110" t="s">
        <v>1119</v>
      </c>
      <c r="D25" s="91">
        <v>39155</v>
      </c>
      <c r="E25" s="63">
        <v>3</v>
      </c>
      <c r="F25" s="20"/>
      <c r="G25" s="20"/>
      <c r="H25" s="20"/>
      <c r="I25" s="20"/>
      <c r="J25" s="20"/>
      <c r="K25" s="20"/>
      <c r="L25" s="20"/>
      <c r="M25" s="20"/>
      <c r="N25" s="20"/>
      <c r="O25" s="20"/>
      <c r="P25" s="20"/>
      <c r="Q25" s="20"/>
      <c r="R25" s="20"/>
      <c r="S25" s="20"/>
      <c r="T25" s="20"/>
      <c r="U25" s="20"/>
      <c r="V25" s="20"/>
      <c r="W25" s="20"/>
      <c r="X25" s="20"/>
      <c r="Y25" s="20"/>
      <c r="Z25" s="20"/>
    </row>
    <row r="26" ht="13.5" customHeight="1" spans="1:26">
      <c r="A26" s="20"/>
      <c r="B26" s="63" t="s">
        <v>1066</v>
      </c>
      <c r="C26" s="110" t="s">
        <v>1123</v>
      </c>
      <c r="D26" s="91">
        <v>39155</v>
      </c>
      <c r="E26" s="63">
        <v>2</v>
      </c>
      <c r="F26" s="20"/>
      <c r="G26" s="20"/>
      <c r="H26" s="20"/>
      <c r="I26" s="20"/>
      <c r="J26" s="20"/>
      <c r="K26" s="20"/>
      <c r="L26" s="20"/>
      <c r="M26" s="20"/>
      <c r="N26" s="20"/>
      <c r="O26" s="20"/>
      <c r="P26" s="20"/>
      <c r="Q26" s="20"/>
      <c r="R26" s="20"/>
      <c r="S26" s="20"/>
      <c r="T26" s="20"/>
      <c r="U26" s="20"/>
      <c r="V26" s="20"/>
      <c r="W26" s="20"/>
      <c r="X26" s="20"/>
      <c r="Y26" s="20"/>
      <c r="Z26" s="20"/>
    </row>
    <row r="27" ht="13.5" customHeight="1" spans="1:26">
      <c r="A27" s="20"/>
      <c r="B27" s="63" t="s">
        <v>1067</v>
      </c>
      <c r="C27" s="110" t="s">
        <v>1120</v>
      </c>
      <c r="D27" s="91">
        <v>39431</v>
      </c>
      <c r="E27" s="63">
        <v>8</v>
      </c>
      <c r="F27" s="20"/>
      <c r="G27" s="20"/>
      <c r="H27" s="20"/>
      <c r="I27" s="20"/>
      <c r="J27" s="20"/>
      <c r="K27" s="20"/>
      <c r="L27" s="20"/>
      <c r="M27" s="20"/>
      <c r="N27" s="20"/>
      <c r="O27" s="20"/>
      <c r="P27" s="20"/>
      <c r="Q27" s="20"/>
      <c r="R27" s="20"/>
      <c r="S27" s="20"/>
      <c r="T27" s="20"/>
      <c r="U27" s="20"/>
      <c r="V27" s="20"/>
      <c r="W27" s="20"/>
      <c r="X27" s="20"/>
      <c r="Y27" s="20"/>
      <c r="Z27" s="20"/>
    </row>
    <row r="28" ht="13.5" customHeight="1" spans="1:26">
      <c r="A28" s="20"/>
      <c r="B28" s="63" t="s">
        <v>1068</v>
      </c>
      <c r="C28" s="110" t="s">
        <v>1117</v>
      </c>
      <c r="D28" s="91">
        <v>38299</v>
      </c>
      <c r="E28" s="63">
        <v>2</v>
      </c>
      <c r="F28" s="20"/>
      <c r="G28" s="20"/>
      <c r="H28" s="20"/>
      <c r="I28" s="20"/>
      <c r="J28" s="20"/>
      <c r="K28" s="20"/>
      <c r="L28" s="20"/>
      <c r="M28" s="20"/>
      <c r="N28" s="20"/>
      <c r="O28" s="20"/>
      <c r="P28" s="20"/>
      <c r="Q28" s="20"/>
      <c r="R28" s="20"/>
      <c r="S28" s="20"/>
      <c r="T28" s="20"/>
      <c r="U28" s="20"/>
      <c r="V28" s="20"/>
      <c r="W28" s="20"/>
      <c r="X28" s="20"/>
      <c r="Y28" s="20"/>
      <c r="Z28" s="20"/>
    </row>
    <row r="29" ht="13.5" customHeight="1" spans="1:26">
      <c r="A29" s="20"/>
      <c r="B29" s="63" t="s">
        <v>1069</v>
      </c>
      <c r="C29" s="110" t="s">
        <v>1122</v>
      </c>
      <c r="D29" s="91">
        <v>37742</v>
      </c>
      <c r="E29" s="63">
        <v>3</v>
      </c>
      <c r="F29" s="20"/>
      <c r="G29" s="20"/>
      <c r="H29" s="20"/>
      <c r="I29" s="20"/>
      <c r="J29" s="20"/>
      <c r="K29" s="20"/>
      <c r="L29" s="20"/>
      <c r="M29" s="20"/>
      <c r="N29" s="20"/>
      <c r="O29" s="20"/>
      <c r="P29" s="20"/>
      <c r="Q29" s="20"/>
      <c r="R29" s="20"/>
      <c r="S29" s="20"/>
      <c r="T29" s="20"/>
      <c r="U29" s="20"/>
      <c r="V29" s="20"/>
      <c r="W29" s="20"/>
      <c r="X29" s="20"/>
      <c r="Y29" s="20"/>
      <c r="Z29" s="20"/>
    </row>
    <row r="30" ht="13.5" customHeight="1" spans="1:26">
      <c r="A30" s="20"/>
      <c r="B30" s="63" t="s">
        <v>1070</v>
      </c>
      <c r="C30" s="110" t="s">
        <v>1120</v>
      </c>
      <c r="D30" s="91">
        <v>37174</v>
      </c>
      <c r="E30" s="63">
        <v>0</v>
      </c>
      <c r="F30" s="20"/>
      <c r="G30" s="20"/>
      <c r="H30" s="20"/>
      <c r="I30" s="20"/>
      <c r="J30" s="20"/>
      <c r="K30" s="20"/>
      <c r="L30" s="20"/>
      <c r="M30" s="20"/>
      <c r="N30" s="20"/>
      <c r="O30" s="20"/>
      <c r="P30" s="20"/>
      <c r="Q30" s="20"/>
      <c r="R30" s="20"/>
      <c r="S30" s="20"/>
      <c r="T30" s="20"/>
      <c r="U30" s="20"/>
      <c r="V30" s="20"/>
      <c r="W30" s="20"/>
      <c r="X30" s="20"/>
      <c r="Y30" s="20"/>
      <c r="Z30" s="20"/>
    </row>
    <row r="31" ht="13.5" customHeight="1" spans="1:26">
      <c r="A31" s="20"/>
      <c r="B31" s="63" t="s">
        <v>1071</v>
      </c>
      <c r="C31" s="110" t="s">
        <v>1122</v>
      </c>
      <c r="D31" s="91">
        <v>39814</v>
      </c>
      <c r="E31" s="63">
        <v>0</v>
      </c>
      <c r="F31" s="20"/>
      <c r="G31" s="20"/>
      <c r="H31" s="20"/>
      <c r="I31" s="20"/>
      <c r="J31" s="20"/>
      <c r="K31" s="20"/>
      <c r="L31" s="20"/>
      <c r="M31" s="20"/>
      <c r="N31" s="20"/>
      <c r="O31" s="20"/>
      <c r="P31" s="20"/>
      <c r="Q31" s="20"/>
      <c r="R31" s="20"/>
      <c r="S31" s="20"/>
      <c r="T31" s="20"/>
      <c r="U31" s="20"/>
      <c r="V31" s="20"/>
      <c r="W31" s="20"/>
      <c r="X31" s="20"/>
      <c r="Y31" s="20"/>
      <c r="Z31" s="20"/>
    </row>
    <row r="32" ht="13.5" customHeight="1" spans="1:26">
      <c r="A32" s="20"/>
      <c r="B32" s="63" t="s">
        <v>1072</v>
      </c>
      <c r="C32" s="110" t="s">
        <v>1122</v>
      </c>
      <c r="D32" s="91">
        <v>37787</v>
      </c>
      <c r="E32" s="63">
        <v>1</v>
      </c>
      <c r="F32" s="20"/>
      <c r="G32" s="20"/>
      <c r="H32" s="20"/>
      <c r="I32" s="20"/>
      <c r="J32" s="20"/>
      <c r="K32" s="20"/>
      <c r="L32" s="20"/>
      <c r="M32" s="20"/>
      <c r="N32" s="20"/>
      <c r="O32" s="20"/>
      <c r="P32" s="20"/>
      <c r="Q32" s="20"/>
      <c r="R32" s="20"/>
      <c r="S32" s="20"/>
      <c r="T32" s="20"/>
      <c r="U32" s="20"/>
      <c r="V32" s="20"/>
      <c r="W32" s="20"/>
      <c r="X32" s="20"/>
      <c r="Y32" s="20"/>
      <c r="Z32" s="20"/>
    </row>
    <row r="33" ht="13.5" customHeight="1" spans="1:26">
      <c r="A33" s="20"/>
      <c r="B33" s="63" t="s">
        <v>1050</v>
      </c>
      <c r="C33" s="110" t="s">
        <v>1124</v>
      </c>
      <c r="D33" s="91">
        <v>38471</v>
      </c>
      <c r="E33" s="63">
        <v>4</v>
      </c>
      <c r="F33" s="20"/>
      <c r="G33" s="20"/>
      <c r="H33" s="20"/>
      <c r="I33" s="20"/>
      <c r="J33" s="20"/>
      <c r="K33" s="20"/>
      <c r="L33" s="20"/>
      <c r="M33" s="20"/>
      <c r="N33" s="20"/>
      <c r="O33" s="20"/>
      <c r="P33" s="20"/>
      <c r="Q33" s="20"/>
      <c r="R33" s="20"/>
      <c r="S33" s="20"/>
      <c r="T33" s="20"/>
      <c r="U33" s="20"/>
      <c r="V33" s="20"/>
      <c r="W33" s="20"/>
      <c r="X33" s="20"/>
      <c r="Y33" s="20"/>
      <c r="Z33" s="20"/>
    </row>
    <row r="34" ht="13.5" customHeight="1" spans="1:26">
      <c r="A34" s="20"/>
      <c r="B34" s="63" t="s">
        <v>1073</v>
      </c>
      <c r="C34" s="110" t="s">
        <v>1118</v>
      </c>
      <c r="D34" s="91">
        <v>39456</v>
      </c>
      <c r="E34" s="63">
        <v>2</v>
      </c>
      <c r="F34" s="20"/>
      <c r="G34" s="20"/>
      <c r="H34" s="20"/>
      <c r="I34" s="20"/>
      <c r="J34" s="20"/>
      <c r="K34" s="20"/>
      <c r="L34" s="20"/>
      <c r="M34" s="20"/>
      <c r="N34" s="20"/>
      <c r="O34" s="20"/>
      <c r="P34" s="20"/>
      <c r="Q34" s="20"/>
      <c r="R34" s="20"/>
      <c r="S34" s="20"/>
      <c r="T34" s="20"/>
      <c r="U34" s="20"/>
      <c r="V34" s="20"/>
      <c r="W34" s="20"/>
      <c r="X34" s="20"/>
      <c r="Y34" s="20"/>
      <c r="Z34" s="20"/>
    </row>
    <row r="35" ht="13.5" customHeight="1" spans="1:26">
      <c r="A35" s="20"/>
      <c r="B35" s="63" t="s">
        <v>1074</v>
      </c>
      <c r="C35" s="110" t="s">
        <v>1117</v>
      </c>
      <c r="D35" s="91">
        <v>39668</v>
      </c>
      <c r="E35" s="63">
        <v>5</v>
      </c>
      <c r="F35" s="20"/>
      <c r="G35" s="20"/>
      <c r="H35" s="20"/>
      <c r="I35" s="20"/>
      <c r="J35" s="20"/>
      <c r="K35" s="20"/>
      <c r="L35" s="20"/>
      <c r="M35" s="20"/>
      <c r="N35" s="20"/>
      <c r="O35" s="20"/>
      <c r="P35" s="20"/>
      <c r="Q35" s="20"/>
      <c r="R35" s="20"/>
      <c r="S35" s="20"/>
      <c r="T35" s="20"/>
      <c r="U35" s="20"/>
      <c r="V35" s="20"/>
      <c r="W35" s="20"/>
      <c r="X35" s="20"/>
      <c r="Y35" s="20"/>
      <c r="Z35" s="20"/>
    </row>
    <row r="36" ht="13.5" customHeight="1" spans="1:26">
      <c r="A36" s="20"/>
      <c r="B36" s="63" t="s">
        <v>1075</v>
      </c>
      <c r="C36" s="110" t="s">
        <v>1121</v>
      </c>
      <c r="D36" s="91">
        <v>39860</v>
      </c>
      <c r="E36" s="63">
        <v>3</v>
      </c>
      <c r="F36" s="20"/>
      <c r="G36" s="20"/>
      <c r="H36" s="20"/>
      <c r="I36" s="20"/>
      <c r="J36" s="20"/>
      <c r="K36" s="20"/>
      <c r="L36" s="20"/>
      <c r="M36" s="20"/>
      <c r="N36" s="20"/>
      <c r="O36" s="20"/>
      <c r="P36" s="20"/>
      <c r="Q36" s="20"/>
      <c r="R36" s="20"/>
      <c r="S36" s="20"/>
      <c r="T36" s="20"/>
      <c r="U36" s="20"/>
      <c r="V36" s="20"/>
      <c r="W36" s="20"/>
      <c r="X36" s="20"/>
      <c r="Y36" s="20"/>
      <c r="Z36" s="20"/>
    </row>
    <row r="37" ht="13.5" customHeight="1" spans="1:26">
      <c r="A37" s="20"/>
      <c r="B37" s="63" t="s">
        <v>1076</v>
      </c>
      <c r="C37" s="110" t="s">
        <v>1119</v>
      </c>
      <c r="D37" s="91">
        <v>39668</v>
      </c>
      <c r="E37" s="63">
        <v>0</v>
      </c>
      <c r="F37" s="20"/>
      <c r="G37" s="20"/>
      <c r="H37" s="20"/>
      <c r="I37" s="20"/>
      <c r="J37" s="20"/>
      <c r="K37" s="20"/>
      <c r="L37" s="20"/>
      <c r="M37" s="20"/>
      <c r="N37" s="20"/>
      <c r="O37" s="20"/>
      <c r="P37" s="20"/>
      <c r="Q37" s="20"/>
      <c r="R37" s="20"/>
      <c r="S37" s="20"/>
      <c r="T37" s="20"/>
      <c r="U37" s="20"/>
      <c r="V37" s="20"/>
      <c r="W37" s="20"/>
      <c r="X37" s="20"/>
      <c r="Y37" s="20"/>
      <c r="Z37" s="20"/>
    </row>
    <row r="38" ht="13.5" customHeight="1" spans="1:26">
      <c r="A38" s="20"/>
      <c r="B38" s="63" t="s">
        <v>1077</v>
      </c>
      <c r="C38" s="110" t="s">
        <v>1122</v>
      </c>
      <c r="D38" s="91">
        <v>38740</v>
      </c>
      <c r="E38" s="63">
        <v>0</v>
      </c>
      <c r="F38" s="20"/>
      <c r="G38" s="20"/>
      <c r="H38" s="20"/>
      <c r="I38" s="20"/>
      <c r="J38" s="20"/>
      <c r="K38" s="20"/>
      <c r="L38" s="20"/>
      <c r="M38" s="20"/>
      <c r="N38" s="20"/>
      <c r="O38" s="20"/>
      <c r="P38" s="20"/>
      <c r="Q38" s="20"/>
      <c r="R38" s="20"/>
      <c r="S38" s="20"/>
      <c r="T38" s="20"/>
      <c r="U38" s="20"/>
      <c r="V38" s="20"/>
      <c r="W38" s="20"/>
      <c r="X38" s="20"/>
      <c r="Y38" s="20"/>
      <c r="Z38" s="20"/>
    </row>
    <row r="39" ht="13.5" customHeight="1" spans="1:26">
      <c r="A39" s="20"/>
      <c r="B39" s="63" t="s">
        <v>1078</v>
      </c>
      <c r="C39" s="110" t="s">
        <v>1122</v>
      </c>
      <c r="D39" s="91">
        <v>40203</v>
      </c>
      <c r="E39" s="63">
        <v>1</v>
      </c>
      <c r="F39" s="20"/>
      <c r="G39" s="20"/>
      <c r="H39" s="20"/>
      <c r="I39" s="20"/>
      <c r="J39" s="20"/>
      <c r="K39" s="20"/>
      <c r="L39" s="20"/>
      <c r="M39" s="20"/>
      <c r="N39" s="20"/>
      <c r="O39" s="20"/>
      <c r="P39" s="20"/>
      <c r="Q39" s="20"/>
      <c r="R39" s="20"/>
      <c r="S39" s="20"/>
      <c r="T39" s="20"/>
      <c r="U39" s="20"/>
      <c r="V39" s="20"/>
      <c r="W39" s="20"/>
      <c r="X39" s="20"/>
      <c r="Y39" s="20"/>
      <c r="Z39" s="20"/>
    </row>
    <row r="40" ht="13.5" customHeight="1" spans="1:26">
      <c r="A40" s="20"/>
      <c r="B40" s="63" t="s">
        <v>1079</v>
      </c>
      <c r="C40" s="110" t="s">
        <v>1122</v>
      </c>
      <c r="D40" s="91">
        <v>38471</v>
      </c>
      <c r="E40" s="63">
        <v>2</v>
      </c>
      <c r="F40" s="20"/>
      <c r="G40" s="20"/>
      <c r="H40" s="20"/>
      <c r="I40" s="20"/>
      <c r="J40" s="20"/>
      <c r="K40" s="20"/>
      <c r="L40" s="20"/>
      <c r="M40" s="20"/>
      <c r="N40" s="20"/>
      <c r="O40" s="20"/>
      <c r="P40" s="20"/>
      <c r="Q40" s="20"/>
      <c r="R40" s="20"/>
      <c r="S40" s="20"/>
      <c r="T40" s="20"/>
      <c r="U40" s="20"/>
      <c r="V40" s="20"/>
      <c r="W40" s="20"/>
      <c r="X40" s="20"/>
      <c r="Y40" s="20"/>
      <c r="Z40" s="20"/>
    </row>
    <row r="41" ht="13.5" customHeight="1" spans="1:26">
      <c r="A41" s="20"/>
      <c r="B41" s="63" t="s">
        <v>1080</v>
      </c>
      <c r="C41" s="110" t="s">
        <v>1119</v>
      </c>
      <c r="D41" s="91">
        <v>38299</v>
      </c>
      <c r="E41" s="63">
        <v>2</v>
      </c>
      <c r="F41" s="20"/>
      <c r="G41" s="20"/>
      <c r="H41" s="20"/>
      <c r="I41" s="20"/>
      <c r="J41" s="20"/>
      <c r="K41" s="20"/>
      <c r="L41" s="20"/>
      <c r="M41" s="20"/>
      <c r="N41" s="20"/>
      <c r="O41" s="20"/>
      <c r="P41" s="20"/>
      <c r="Q41" s="20"/>
      <c r="R41" s="20"/>
      <c r="S41" s="20"/>
      <c r="T41" s="20"/>
      <c r="U41" s="20"/>
      <c r="V41" s="20"/>
      <c r="W41" s="20"/>
      <c r="X41" s="20"/>
      <c r="Y41" s="20"/>
      <c r="Z41" s="20"/>
    </row>
    <row r="42" ht="13.5" customHeight="1" spans="1:26">
      <c r="A42" s="20"/>
      <c r="B42" s="63" t="s">
        <v>1081</v>
      </c>
      <c r="C42" s="110" t="s">
        <v>1117</v>
      </c>
      <c r="D42" s="91">
        <v>38607</v>
      </c>
      <c r="E42" s="63">
        <v>5</v>
      </c>
      <c r="F42" s="20"/>
      <c r="G42" s="20"/>
      <c r="H42" s="20"/>
      <c r="I42" s="20"/>
      <c r="J42" s="20"/>
      <c r="K42" s="20"/>
      <c r="L42" s="20"/>
      <c r="M42" s="20"/>
      <c r="N42" s="20"/>
      <c r="O42" s="20"/>
      <c r="P42" s="20"/>
      <c r="Q42" s="20"/>
      <c r="R42" s="20"/>
      <c r="S42" s="20"/>
      <c r="T42" s="20"/>
      <c r="U42" s="20"/>
      <c r="V42" s="20"/>
      <c r="W42" s="20"/>
      <c r="X42" s="20"/>
      <c r="Y42" s="20"/>
      <c r="Z42" s="20"/>
    </row>
    <row r="43" ht="13.5" customHeight="1" spans="1:26">
      <c r="A43" s="20"/>
      <c r="B43" s="63" t="s">
        <v>1082</v>
      </c>
      <c r="C43" s="110" t="s">
        <v>1120</v>
      </c>
      <c r="D43" s="91">
        <v>38342</v>
      </c>
      <c r="E43" s="63">
        <v>4</v>
      </c>
      <c r="F43" s="20"/>
      <c r="G43" s="20"/>
      <c r="H43" s="20"/>
      <c r="I43" s="20"/>
      <c r="J43" s="20"/>
      <c r="K43" s="20"/>
      <c r="L43" s="20"/>
      <c r="M43" s="20"/>
      <c r="N43" s="20"/>
      <c r="O43" s="20"/>
      <c r="P43" s="20"/>
      <c r="Q43" s="20"/>
      <c r="R43" s="20"/>
      <c r="S43" s="20"/>
      <c r="T43" s="20"/>
      <c r="U43" s="20"/>
      <c r="V43" s="20"/>
      <c r="W43" s="20"/>
      <c r="X43" s="20"/>
      <c r="Y43" s="20"/>
      <c r="Z43" s="20"/>
    </row>
    <row r="44" ht="13.5" customHeight="1" spans="1:26">
      <c r="A44" s="20"/>
      <c r="B44" s="63" t="s">
        <v>1083</v>
      </c>
      <c r="C44" s="110" t="s">
        <v>1120</v>
      </c>
      <c r="D44" s="91">
        <v>37787</v>
      </c>
      <c r="E44" s="63">
        <v>2</v>
      </c>
      <c r="F44" s="20"/>
      <c r="G44" s="20"/>
      <c r="H44" s="20"/>
      <c r="I44" s="20"/>
      <c r="J44" s="20"/>
      <c r="K44" s="20"/>
      <c r="L44" s="20"/>
      <c r="M44" s="20"/>
      <c r="N44" s="20"/>
      <c r="O44" s="20"/>
      <c r="P44" s="20"/>
      <c r="Q44" s="20"/>
      <c r="R44" s="20"/>
      <c r="S44" s="20"/>
      <c r="T44" s="20"/>
      <c r="U44" s="20"/>
      <c r="V44" s="20"/>
      <c r="W44" s="20"/>
      <c r="X44" s="20"/>
      <c r="Y44" s="20"/>
      <c r="Z44" s="20"/>
    </row>
    <row r="45" ht="13.5" customHeight="1" spans="1:26">
      <c r="A45" s="20"/>
      <c r="B45" s="63" t="s">
        <v>1084</v>
      </c>
      <c r="C45" s="110" t="s">
        <v>1123</v>
      </c>
      <c r="D45" s="91">
        <v>40210</v>
      </c>
      <c r="E45" s="63">
        <v>3</v>
      </c>
      <c r="F45" s="20"/>
      <c r="G45" s="20"/>
      <c r="H45" s="20"/>
      <c r="I45" s="20"/>
      <c r="J45" s="20"/>
      <c r="K45" s="20"/>
      <c r="L45" s="20"/>
      <c r="M45" s="20"/>
      <c r="N45" s="20"/>
      <c r="O45" s="20"/>
      <c r="P45" s="20"/>
      <c r="Q45" s="20"/>
      <c r="R45" s="20"/>
      <c r="S45" s="20"/>
      <c r="T45" s="20"/>
      <c r="U45" s="20"/>
      <c r="V45" s="20"/>
      <c r="W45" s="20"/>
      <c r="X45" s="20"/>
      <c r="Y45" s="20"/>
      <c r="Z45" s="20"/>
    </row>
    <row r="46" ht="13.5" customHeight="1" spans="1:26">
      <c r="A46" s="20"/>
      <c r="B46" s="63" t="s">
        <v>1085</v>
      </c>
      <c r="C46" s="110" t="s">
        <v>1121</v>
      </c>
      <c r="D46" s="91">
        <v>39090</v>
      </c>
      <c r="E46" s="63">
        <v>3</v>
      </c>
      <c r="F46" s="20"/>
      <c r="G46" s="20"/>
      <c r="H46" s="20"/>
      <c r="I46" s="20"/>
      <c r="J46" s="20"/>
      <c r="K46" s="20"/>
      <c r="L46" s="20"/>
      <c r="M46" s="20"/>
      <c r="N46" s="20"/>
      <c r="O46" s="20"/>
      <c r="P46" s="20"/>
      <c r="Q46" s="20"/>
      <c r="R46" s="20"/>
      <c r="S46" s="20"/>
      <c r="T46" s="20"/>
      <c r="U46" s="20"/>
      <c r="V46" s="20"/>
      <c r="W46" s="20"/>
      <c r="X46" s="20"/>
      <c r="Y46" s="20"/>
      <c r="Z46" s="20"/>
    </row>
    <row r="47" ht="13.5" customHeight="1" spans="1:26">
      <c r="A47" s="20"/>
      <c r="B47" s="63" t="s">
        <v>1086</v>
      </c>
      <c r="C47" s="110" t="s">
        <v>1120</v>
      </c>
      <c r="D47" s="91">
        <v>40210</v>
      </c>
      <c r="E47" s="63">
        <v>0</v>
      </c>
      <c r="F47" s="20"/>
      <c r="G47" s="20"/>
      <c r="H47" s="20"/>
      <c r="I47" s="20"/>
      <c r="J47" s="20"/>
      <c r="K47" s="20"/>
      <c r="L47" s="20"/>
      <c r="M47" s="20"/>
      <c r="N47" s="20"/>
      <c r="O47" s="20"/>
      <c r="P47" s="20"/>
      <c r="Q47" s="20"/>
      <c r="R47" s="20"/>
      <c r="S47" s="20"/>
      <c r="T47" s="20"/>
      <c r="U47" s="20"/>
      <c r="V47" s="20"/>
      <c r="W47" s="20"/>
      <c r="X47" s="20"/>
      <c r="Y47" s="20"/>
      <c r="Z47" s="20"/>
    </row>
    <row r="48" ht="13.5" customHeight="1" spans="1:26">
      <c r="A48" s="20"/>
      <c r="B48" s="63" t="s">
        <v>1053</v>
      </c>
      <c r="C48" s="110" t="s">
        <v>1118</v>
      </c>
      <c r="D48" s="91">
        <v>38471</v>
      </c>
      <c r="E48" s="63">
        <v>2</v>
      </c>
      <c r="F48" s="20"/>
      <c r="G48" s="20"/>
      <c r="H48" s="20"/>
      <c r="I48" s="20"/>
      <c r="J48" s="20"/>
      <c r="K48" s="20"/>
      <c r="L48" s="20"/>
      <c r="M48" s="20"/>
      <c r="N48" s="20"/>
      <c r="O48" s="20"/>
      <c r="P48" s="20"/>
      <c r="Q48" s="20"/>
      <c r="R48" s="20"/>
      <c r="S48" s="20"/>
      <c r="T48" s="20"/>
      <c r="U48" s="20"/>
      <c r="V48" s="20"/>
      <c r="W48" s="20"/>
      <c r="X48" s="20"/>
      <c r="Y48" s="20"/>
      <c r="Z48" s="20"/>
    </row>
    <row r="49" ht="13.5" customHeight="1" spans="1:26">
      <c r="A49" s="20"/>
      <c r="B49" s="63" t="s">
        <v>1087</v>
      </c>
      <c r="C49" s="110" t="s">
        <v>1117</v>
      </c>
      <c r="D49" s="91">
        <v>37787</v>
      </c>
      <c r="E49" s="63">
        <v>0</v>
      </c>
      <c r="F49" s="20"/>
      <c r="G49" s="20"/>
      <c r="H49" s="20"/>
      <c r="I49" s="20"/>
      <c r="J49" s="20"/>
      <c r="K49" s="20"/>
      <c r="L49" s="20"/>
      <c r="M49" s="20"/>
      <c r="N49" s="20"/>
      <c r="O49" s="20"/>
      <c r="P49" s="20"/>
      <c r="Q49" s="20"/>
      <c r="R49" s="20"/>
      <c r="S49" s="20"/>
      <c r="T49" s="20"/>
      <c r="U49" s="20"/>
      <c r="V49" s="20"/>
      <c r="W49" s="20"/>
      <c r="X49" s="20"/>
      <c r="Y49" s="20"/>
      <c r="Z49" s="20"/>
    </row>
    <row r="50" ht="13.5" customHeight="1" spans="1:26">
      <c r="A50" s="20"/>
      <c r="B50" s="63" t="s">
        <v>1088</v>
      </c>
      <c r="C50" s="110" t="s">
        <v>1124</v>
      </c>
      <c r="D50" s="91">
        <v>40203</v>
      </c>
      <c r="E50" s="63">
        <v>4</v>
      </c>
      <c r="F50" s="20"/>
      <c r="G50" s="20"/>
      <c r="H50" s="20"/>
      <c r="I50" s="20"/>
      <c r="J50" s="20"/>
      <c r="K50" s="20"/>
      <c r="L50" s="20"/>
      <c r="M50" s="20"/>
      <c r="N50" s="20"/>
      <c r="O50" s="20"/>
      <c r="P50" s="20"/>
      <c r="Q50" s="20"/>
      <c r="R50" s="20"/>
      <c r="S50" s="20"/>
      <c r="T50" s="20"/>
      <c r="U50" s="20"/>
      <c r="V50" s="20"/>
      <c r="W50" s="20"/>
      <c r="X50" s="20"/>
      <c r="Y50" s="20"/>
      <c r="Z50" s="20"/>
    </row>
    <row r="51" ht="13.5" customHeight="1" spans="1:26">
      <c r="A51" s="20"/>
      <c r="B51" s="63" t="s">
        <v>1089</v>
      </c>
      <c r="C51" s="110" t="s">
        <v>1122</v>
      </c>
      <c r="D51" s="91">
        <v>39640</v>
      </c>
      <c r="E51" s="63">
        <v>4</v>
      </c>
      <c r="F51" s="20"/>
      <c r="G51" s="20"/>
      <c r="H51" s="20"/>
      <c r="I51" s="20"/>
      <c r="J51" s="20"/>
      <c r="K51" s="20"/>
      <c r="L51" s="20"/>
      <c r="M51" s="20"/>
      <c r="N51" s="20"/>
      <c r="O51" s="20"/>
      <c r="P51" s="20"/>
      <c r="Q51" s="20"/>
      <c r="R51" s="20"/>
      <c r="S51" s="20"/>
      <c r="T51" s="20"/>
      <c r="U51" s="20"/>
      <c r="V51" s="20"/>
      <c r="W51" s="20"/>
      <c r="X51" s="20"/>
      <c r="Y51" s="20"/>
      <c r="Z51" s="20"/>
    </row>
    <row r="52" ht="13.5" customHeight="1" spans="1:26">
      <c r="A52" s="20"/>
      <c r="B52" s="63" t="s">
        <v>1090</v>
      </c>
      <c r="C52" s="110" t="s">
        <v>1122</v>
      </c>
      <c r="D52" s="91">
        <v>39814</v>
      </c>
      <c r="E52" s="63">
        <v>0</v>
      </c>
      <c r="F52" s="20"/>
      <c r="G52" s="20"/>
      <c r="H52" s="20"/>
      <c r="I52" s="20"/>
      <c r="J52" s="20"/>
      <c r="K52" s="20"/>
      <c r="L52" s="20"/>
      <c r="M52" s="20"/>
      <c r="N52" s="20"/>
      <c r="O52" s="20"/>
      <c r="P52" s="20"/>
      <c r="Q52" s="20"/>
      <c r="R52" s="20"/>
      <c r="S52" s="20"/>
      <c r="T52" s="20"/>
      <c r="U52" s="20"/>
      <c r="V52" s="20"/>
      <c r="W52" s="20"/>
      <c r="X52" s="20"/>
      <c r="Y52" s="20"/>
      <c r="Z52" s="20"/>
    </row>
    <row r="53" ht="13.5" customHeight="1" spans="1:26">
      <c r="A53" s="20"/>
      <c r="B53" s="63" t="s">
        <v>1091</v>
      </c>
      <c r="C53" s="110" t="s">
        <v>1119</v>
      </c>
      <c r="D53" s="91">
        <v>38299</v>
      </c>
      <c r="E53" s="63">
        <v>4</v>
      </c>
      <c r="F53" s="20"/>
      <c r="G53" s="20"/>
      <c r="H53" s="20"/>
      <c r="I53" s="20"/>
      <c r="J53" s="20"/>
      <c r="K53" s="20"/>
      <c r="L53" s="20"/>
      <c r="M53" s="20"/>
      <c r="N53" s="20"/>
      <c r="O53" s="20"/>
      <c r="P53" s="20"/>
      <c r="Q53" s="20"/>
      <c r="R53" s="20"/>
      <c r="S53" s="20"/>
      <c r="T53" s="20"/>
      <c r="U53" s="20"/>
      <c r="V53" s="20"/>
      <c r="W53" s="20"/>
      <c r="X53" s="20"/>
      <c r="Y53" s="20"/>
      <c r="Z53" s="20"/>
    </row>
    <row r="54" ht="13.5" customHeight="1" spans="1:26">
      <c r="A54" s="20"/>
      <c r="B54" s="63" t="s">
        <v>1092</v>
      </c>
      <c r="C54" s="110" t="s">
        <v>1119</v>
      </c>
      <c r="D54" s="91">
        <v>39860</v>
      </c>
      <c r="E54" s="63">
        <v>1</v>
      </c>
      <c r="F54" s="20"/>
      <c r="G54" s="20"/>
      <c r="H54" s="20"/>
      <c r="I54" s="20"/>
      <c r="J54" s="20"/>
      <c r="K54" s="20"/>
      <c r="L54" s="20"/>
      <c r="M54" s="20"/>
      <c r="N54" s="20"/>
      <c r="O54" s="20"/>
      <c r="P54" s="20"/>
      <c r="Q54" s="20"/>
      <c r="R54" s="20"/>
      <c r="S54" s="20"/>
      <c r="T54" s="20"/>
      <c r="U54" s="20"/>
      <c r="V54" s="20"/>
      <c r="W54" s="20"/>
      <c r="X54" s="20"/>
      <c r="Y54" s="20"/>
      <c r="Z54" s="20"/>
    </row>
    <row r="55" ht="13.5" customHeight="1" spans="1:26">
      <c r="A55" s="20"/>
      <c r="B55" s="63" t="s">
        <v>1093</v>
      </c>
      <c r="C55" s="110" t="s">
        <v>1120</v>
      </c>
      <c r="D55" s="91">
        <v>39860</v>
      </c>
      <c r="E55" s="63">
        <v>0</v>
      </c>
      <c r="F55" s="20"/>
      <c r="G55" s="20"/>
      <c r="H55" s="20"/>
      <c r="I55" s="20"/>
      <c r="J55" s="20"/>
      <c r="K55" s="20"/>
      <c r="L55" s="20"/>
      <c r="M55" s="20"/>
      <c r="N55" s="20"/>
      <c r="O55" s="20"/>
      <c r="P55" s="20"/>
      <c r="Q55" s="20"/>
      <c r="R55" s="20"/>
      <c r="S55" s="20"/>
      <c r="T55" s="20"/>
      <c r="U55" s="20"/>
      <c r="V55" s="20"/>
      <c r="W55" s="20"/>
      <c r="X55" s="20"/>
      <c r="Y55" s="20"/>
      <c r="Z55" s="20"/>
    </row>
    <row r="56" ht="13.5" customHeight="1" spans="1:26">
      <c r="A56" s="20"/>
      <c r="B56" s="63" t="s">
        <v>1094</v>
      </c>
      <c r="C56" s="110" t="s">
        <v>1120</v>
      </c>
      <c r="D56" s="91">
        <v>37174</v>
      </c>
      <c r="E56" s="63">
        <v>3</v>
      </c>
      <c r="F56" s="20"/>
      <c r="G56" s="20"/>
      <c r="H56" s="20"/>
      <c r="I56" s="20"/>
      <c r="J56" s="20"/>
      <c r="K56" s="20"/>
      <c r="L56" s="20"/>
      <c r="M56" s="20"/>
      <c r="N56" s="20"/>
      <c r="O56" s="20"/>
      <c r="P56" s="20"/>
      <c r="Q56" s="20"/>
      <c r="R56" s="20"/>
      <c r="S56" s="20"/>
      <c r="T56" s="20"/>
      <c r="U56" s="20"/>
      <c r="V56" s="20"/>
      <c r="W56" s="20"/>
      <c r="X56" s="20"/>
      <c r="Y56" s="20"/>
      <c r="Z56" s="20"/>
    </row>
    <row r="57" ht="13.5" customHeight="1" spans="1:26">
      <c r="A57" s="20"/>
      <c r="B57" s="63" t="s">
        <v>1095</v>
      </c>
      <c r="C57" s="110" t="s">
        <v>1123</v>
      </c>
      <c r="D57" s="91">
        <v>38342</v>
      </c>
      <c r="E57" s="63">
        <v>4</v>
      </c>
      <c r="F57" s="20"/>
      <c r="G57" s="20"/>
      <c r="H57" s="20"/>
      <c r="I57" s="20"/>
      <c r="J57" s="20"/>
      <c r="K57" s="20"/>
      <c r="L57" s="20"/>
      <c r="M57" s="20"/>
      <c r="N57" s="20"/>
      <c r="O57" s="20"/>
      <c r="P57" s="20"/>
      <c r="Q57" s="20"/>
      <c r="R57" s="20"/>
      <c r="S57" s="20"/>
      <c r="T57" s="20"/>
      <c r="U57" s="20"/>
      <c r="V57" s="20"/>
      <c r="W57" s="20"/>
      <c r="X57" s="20"/>
      <c r="Y57" s="20"/>
      <c r="Z57" s="20"/>
    </row>
    <row r="58" ht="13.5" customHeight="1" spans="1:26">
      <c r="A58" s="20"/>
      <c r="B58" s="63" t="s">
        <v>1096</v>
      </c>
      <c r="C58" s="110" t="s">
        <v>1118</v>
      </c>
      <c r="D58" s="91">
        <v>38299</v>
      </c>
      <c r="E58" s="63">
        <v>0</v>
      </c>
      <c r="F58" s="20"/>
      <c r="G58" s="20"/>
      <c r="H58" s="20"/>
      <c r="I58" s="20"/>
      <c r="J58" s="20"/>
      <c r="K58" s="20"/>
      <c r="L58" s="20"/>
      <c r="M58" s="20"/>
      <c r="N58" s="20"/>
      <c r="O58" s="20"/>
      <c r="P58" s="20"/>
      <c r="Q58" s="20"/>
      <c r="R58" s="20"/>
      <c r="S58" s="20"/>
      <c r="T58" s="20"/>
      <c r="U58" s="20"/>
      <c r="V58" s="20"/>
      <c r="W58" s="20"/>
      <c r="X58" s="20"/>
      <c r="Y58" s="20"/>
      <c r="Z58" s="20"/>
    </row>
    <row r="59" ht="13.5" customHeight="1" spans="1:26">
      <c r="A59" s="20"/>
      <c r="B59" s="63" t="s">
        <v>1097</v>
      </c>
      <c r="C59" s="110" t="s">
        <v>1121</v>
      </c>
      <c r="D59" s="91">
        <v>39668</v>
      </c>
      <c r="E59" s="63">
        <v>1</v>
      </c>
      <c r="F59" s="20"/>
      <c r="G59" s="20"/>
      <c r="H59" s="20"/>
      <c r="I59" s="20"/>
      <c r="J59" s="20"/>
      <c r="K59" s="20"/>
      <c r="L59" s="20"/>
      <c r="M59" s="20"/>
      <c r="N59" s="20"/>
      <c r="O59" s="20"/>
      <c r="P59" s="20"/>
      <c r="Q59" s="20"/>
      <c r="R59" s="20"/>
      <c r="S59" s="20"/>
      <c r="T59" s="20"/>
      <c r="U59" s="20"/>
      <c r="V59" s="20"/>
      <c r="W59" s="20"/>
      <c r="X59" s="20"/>
      <c r="Y59" s="20"/>
      <c r="Z59" s="20"/>
    </row>
    <row r="60" ht="13.5" customHeight="1" spans="1:26">
      <c r="A60" s="20"/>
      <c r="B60" s="20"/>
      <c r="C60" s="20"/>
      <c r="D60" s="20"/>
      <c r="E60" s="20">
        <v>1</v>
      </c>
      <c r="F60" s="20"/>
      <c r="G60" s="20"/>
      <c r="H60" s="20"/>
      <c r="I60" s="20"/>
      <c r="J60" s="20"/>
      <c r="K60" s="20"/>
      <c r="L60" s="20"/>
      <c r="M60" s="20"/>
      <c r="N60" s="20"/>
      <c r="O60" s="20"/>
      <c r="P60" s="20"/>
      <c r="Q60" s="20"/>
      <c r="R60" s="20"/>
      <c r="S60" s="20"/>
      <c r="T60" s="20"/>
      <c r="U60" s="20"/>
      <c r="V60" s="20"/>
      <c r="W60" s="20"/>
      <c r="X60" s="20"/>
      <c r="Y60" s="20"/>
      <c r="Z60" s="20"/>
    </row>
    <row r="61" ht="13.5" customHeight="1" spans="1:26">
      <c r="A61" s="20"/>
      <c r="B61" s="20"/>
      <c r="C61" s="20"/>
      <c r="D61" s="20"/>
      <c r="E61" s="20">
        <v>1</v>
      </c>
      <c r="F61" s="20"/>
      <c r="G61" s="20"/>
      <c r="H61" s="20"/>
      <c r="I61" s="20"/>
      <c r="J61" s="20"/>
      <c r="K61" s="20"/>
      <c r="L61" s="20"/>
      <c r="M61" s="20"/>
      <c r="N61" s="20"/>
      <c r="O61" s="20"/>
      <c r="P61" s="20"/>
      <c r="Q61" s="20"/>
      <c r="R61" s="20"/>
      <c r="S61" s="20"/>
      <c r="T61" s="20"/>
      <c r="U61" s="20"/>
      <c r="V61" s="20"/>
      <c r="W61" s="20"/>
      <c r="X61" s="20"/>
      <c r="Y61" s="20"/>
      <c r="Z61" s="20"/>
    </row>
    <row r="62" ht="13.5" customHeight="1" spans="1:26">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row>
    <row r="63" ht="13.5" customHeight="1" spans="1:26">
      <c r="A63" s="20"/>
      <c r="B63" s="20"/>
      <c r="C63" s="20"/>
      <c r="D63" s="20"/>
      <c r="E63" s="20"/>
      <c r="F63" s="20"/>
      <c r="G63" s="20"/>
      <c r="H63" s="20"/>
      <c r="I63" s="20"/>
      <c r="J63" s="20"/>
      <c r="K63" s="20"/>
      <c r="L63" s="20"/>
      <c r="M63" s="20"/>
      <c r="N63" s="20"/>
      <c r="O63" s="20"/>
      <c r="P63" s="20"/>
      <c r="Q63" s="20"/>
      <c r="R63" s="20"/>
      <c r="S63" s="20"/>
      <c r="T63" s="20"/>
      <c r="U63" s="20"/>
      <c r="V63" s="20"/>
      <c r="W63" s="20"/>
      <c r="X63" s="20"/>
      <c r="Y63" s="20"/>
      <c r="Z63" s="20"/>
    </row>
    <row r="64" ht="13.5" customHeight="1" spans="1:26">
      <c r="A64" s="20"/>
      <c r="B64" s="20"/>
      <c r="C64" s="20"/>
      <c r="D64" s="20"/>
      <c r="E64" s="20"/>
      <c r="F64" s="20"/>
      <c r="G64" s="20"/>
      <c r="H64" s="20"/>
      <c r="I64" s="20"/>
      <c r="J64" s="20"/>
      <c r="K64" s="20"/>
      <c r="L64" s="20"/>
      <c r="M64" s="20"/>
      <c r="N64" s="20"/>
      <c r="O64" s="20"/>
      <c r="P64" s="20"/>
      <c r="Q64" s="20"/>
      <c r="R64" s="20"/>
      <c r="S64" s="20"/>
      <c r="T64" s="20"/>
      <c r="U64" s="20"/>
      <c r="V64" s="20"/>
      <c r="W64" s="20"/>
      <c r="X64" s="20"/>
      <c r="Y64" s="20"/>
      <c r="Z64" s="20"/>
    </row>
    <row r="65" ht="13.5" customHeight="1" spans="1:26">
      <c r="A65" s="20"/>
      <c r="B65" s="20"/>
      <c r="C65" s="20"/>
      <c r="D65" s="20"/>
      <c r="E65" s="20"/>
      <c r="F65" s="20"/>
      <c r="G65" s="20"/>
      <c r="H65" s="20"/>
      <c r="I65" s="20"/>
      <c r="J65" s="20"/>
      <c r="K65" s="20"/>
      <c r="L65" s="20"/>
      <c r="M65" s="20"/>
      <c r="N65" s="20"/>
      <c r="O65" s="20"/>
      <c r="P65" s="20"/>
      <c r="Q65" s="20"/>
      <c r="R65" s="20"/>
      <c r="S65" s="20"/>
      <c r="T65" s="20"/>
      <c r="U65" s="20"/>
      <c r="V65" s="20"/>
      <c r="W65" s="20"/>
      <c r="X65" s="20"/>
      <c r="Y65" s="20"/>
      <c r="Z65" s="20"/>
    </row>
    <row r="66" ht="13.5" customHeight="1" spans="1:26">
      <c r="A66" s="20"/>
      <c r="B66" s="20"/>
      <c r="C66" s="20"/>
      <c r="D66" s="20"/>
      <c r="E66" s="20"/>
      <c r="F66" s="20"/>
      <c r="G66" s="20"/>
      <c r="H66" s="20"/>
      <c r="I66" s="20"/>
      <c r="J66" s="20"/>
      <c r="K66" s="20"/>
      <c r="L66" s="20"/>
      <c r="M66" s="20"/>
      <c r="N66" s="20"/>
      <c r="O66" s="20"/>
      <c r="P66" s="20"/>
      <c r="Q66" s="20"/>
      <c r="R66" s="20"/>
      <c r="S66" s="20"/>
      <c r="T66" s="20"/>
      <c r="U66" s="20"/>
      <c r="V66" s="20"/>
      <c r="W66" s="20"/>
      <c r="X66" s="20"/>
      <c r="Y66" s="20"/>
      <c r="Z66" s="20"/>
    </row>
    <row r="67" ht="13.5" customHeight="1" spans="1:26">
      <c r="A67" s="20"/>
      <c r="B67" s="20"/>
      <c r="C67" s="20"/>
      <c r="D67" s="20"/>
      <c r="E67" s="20"/>
      <c r="F67" s="20"/>
      <c r="G67" s="20"/>
      <c r="H67" s="20"/>
      <c r="I67" s="20"/>
      <c r="J67" s="20"/>
      <c r="K67" s="20"/>
      <c r="L67" s="20"/>
      <c r="M67" s="20"/>
      <c r="N67" s="20"/>
      <c r="O67" s="20"/>
      <c r="P67" s="20"/>
      <c r="Q67" s="20"/>
      <c r="R67" s="20"/>
      <c r="S67" s="20"/>
      <c r="T67" s="20"/>
      <c r="U67" s="20"/>
      <c r="V67" s="20"/>
      <c r="W67" s="20"/>
      <c r="X67" s="20"/>
      <c r="Y67" s="20"/>
      <c r="Z67" s="20"/>
    </row>
    <row r="68" ht="13.5" customHeight="1" spans="1:26">
      <c r="A68" s="20"/>
      <c r="B68" s="20"/>
      <c r="C68" s="20"/>
      <c r="D68" s="20"/>
      <c r="E68" s="20"/>
      <c r="F68" s="20"/>
      <c r="G68" s="20"/>
      <c r="H68" s="20"/>
      <c r="I68" s="20"/>
      <c r="J68" s="20"/>
      <c r="K68" s="20"/>
      <c r="L68" s="20"/>
      <c r="M68" s="20"/>
      <c r="N68" s="20"/>
      <c r="O68" s="20"/>
      <c r="P68" s="20"/>
      <c r="Q68" s="20"/>
      <c r="R68" s="20"/>
      <c r="S68" s="20"/>
      <c r="T68" s="20"/>
      <c r="U68" s="20"/>
      <c r="V68" s="20"/>
      <c r="W68" s="20"/>
      <c r="X68" s="20"/>
      <c r="Y68" s="20"/>
      <c r="Z68" s="20"/>
    </row>
    <row r="69" ht="13.5" customHeight="1" spans="1:26">
      <c r="A69" s="20"/>
      <c r="B69" s="20"/>
      <c r="C69" s="20"/>
      <c r="D69" s="20"/>
      <c r="E69" s="20"/>
      <c r="F69" s="20"/>
      <c r="G69" s="20"/>
      <c r="H69" s="20"/>
      <c r="I69" s="20"/>
      <c r="J69" s="20"/>
      <c r="K69" s="20"/>
      <c r="L69" s="20"/>
      <c r="M69" s="20"/>
      <c r="N69" s="20"/>
      <c r="O69" s="20"/>
      <c r="P69" s="20"/>
      <c r="Q69" s="20"/>
      <c r="R69" s="20"/>
      <c r="S69" s="20"/>
      <c r="T69" s="20"/>
      <c r="U69" s="20"/>
      <c r="V69" s="20"/>
      <c r="W69" s="20"/>
      <c r="X69" s="20"/>
      <c r="Y69" s="20"/>
      <c r="Z69" s="20"/>
    </row>
    <row r="70" ht="13.5" customHeight="1" spans="1:26">
      <c r="A70" s="20"/>
      <c r="B70" s="20"/>
      <c r="C70" s="20"/>
      <c r="D70" s="20"/>
      <c r="E70" s="20"/>
      <c r="F70" s="20"/>
      <c r="G70" s="20"/>
      <c r="H70" s="20"/>
      <c r="I70" s="20"/>
      <c r="J70" s="20"/>
      <c r="K70" s="20"/>
      <c r="L70" s="20"/>
      <c r="M70" s="20"/>
      <c r="N70" s="20"/>
      <c r="O70" s="20"/>
      <c r="P70" s="20"/>
      <c r="Q70" s="20"/>
      <c r="R70" s="20"/>
      <c r="S70" s="20"/>
      <c r="T70" s="20"/>
      <c r="U70" s="20"/>
      <c r="V70" s="20"/>
      <c r="W70" s="20"/>
      <c r="X70" s="20"/>
      <c r="Y70" s="20"/>
      <c r="Z70" s="20"/>
    </row>
    <row r="71" ht="13.5" customHeight="1" spans="1:26">
      <c r="A71" s="20"/>
      <c r="B71" s="20"/>
      <c r="C71" s="20"/>
      <c r="D71" s="20"/>
      <c r="E71" s="20"/>
      <c r="F71" s="20"/>
      <c r="G71" s="20"/>
      <c r="H71" s="20"/>
      <c r="I71" s="20"/>
      <c r="J71" s="20"/>
      <c r="K71" s="20"/>
      <c r="L71" s="20"/>
      <c r="M71" s="20"/>
      <c r="N71" s="20"/>
      <c r="O71" s="20"/>
      <c r="P71" s="20"/>
      <c r="Q71" s="20"/>
      <c r="R71" s="20"/>
      <c r="S71" s="20"/>
      <c r="T71" s="20"/>
      <c r="U71" s="20"/>
      <c r="V71" s="20"/>
      <c r="W71" s="20"/>
      <c r="X71" s="20"/>
      <c r="Y71" s="20"/>
      <c r="Z71" s="20"/>
    </row>
    <row r="72" ht="13.5" customHeight="1" spans="1:26">
      <c r="A72" s="20"/>
      <c r="B72" s="20"/>
      <c r="C72" s="20"/>
      <c r="D72" s="20"/>
      <c r="E72" s="20"/>
      <c r="F72" s="20"/>
      <c r="G72" s="20"/>
      <c r="H72" s="20"/>
      <c r="I72" s="20"/>
      <c r="J72" s="20"/>
      <c r="K72" s="20"/>
      <c r="L72" s="20"/>
      <c r="M72" s="20"/>
      <c r="N72" s="20"/>
      <c r="O72" s="20"/>
      <c r="P72" s="20"/>
      <c r="Q72" s="20"/>
      <c r="R72" s="20"/>
      <c r="S72" s="20"/>
      <c r="T72" s="20"/>
      <c r="U72" s="20"/>
      <c r="V72" s="20"/>
      <c r="W72" s="20"/>
      <c r="X72" s="20"/>
      <c r="Y72" s="20"/>
      <c r="Z72" s="20"/>
    </row>
    <row r="73" ht="13.5" customHeight="1" spans="1:26">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ht="13.5" customHeight="1" spans="1:26">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ht="13.5" customHeight="1" spans="1:26">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row>
    <row r="76" ht="13.5" customHeight="1" spans="1:26">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row>
    <row r="77" ht="13.5" customHeight="1" spans="1:26">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row>
    <row r="78" ht="13.5" customHeight="1" spans="1:26">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row>
    <row r="79" ht="13.5" customHeight="1" spans="1:26">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row>
    <row r="80" ht="13.5" customHeight="1" spans="1:26">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row>
    <row r="81" ht="13.5" customHeight="1" spans="1:26">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row>
    <row r="82" ht="13.5" customHeight="1" spans="1:26">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row>
    <row r="83" ht="13.5" customHeight="1" spans="1:26">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row>
    <row r="84" ht="13.5" customHeight="1" spans="1:26">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row>
    <row r="85" ht="13.5" customHeight="1" spans="1:26">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row>
    <row r="86" ht="13.5" customHeight="1" spans="1:26">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row>
    <row r="87" ht="13.5" customHeight="1" spans="1:26">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row>
    <row r="88" ht="13.5" customHeight="1" spans="1:26">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row>
    <row r="89" ht="13.5" customHeight="1" spans="1:26">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row>
    <row r="90" ht="13.5" customHeight="1" spans="1:26">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row>
    <row r="91" ht="13.5" customHeight="1" spans="1:26">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row>
    <row r="92" ht="13.5" customHeight="1" spans="1:26">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row>
    <row r="93" ht="13.5" customHeight="1" spans="1:26">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row>
    <row r="94" ht="13.5" customHeight="1" spans="1:26">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row>
    <row r="95" ht="13.5" customHeight="1" spans="1:26">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row>
    <row r="96" ht="13.5" customHeight="1" spans="1:26">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row>
    <row r="97" ht="13.5" customHeight="1" spans="1:26">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row>
    <row r="98" ht="13.5" customHeight="1" spans="1:26">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row>
    <row r="99" ht="13.5" customHeight="1" spans="1:26">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row>
    <row r="100" ht="13.5" customHeight="1" spans="1:26">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row>
    <row r="101" ht="13.5" customHeight="1" spans="1:26">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row>
    <row r="102" ht="13.5" customHeight="1" spans="1:26">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row>
    <row r="103" ht="13.5" customHeight="1" spans="1:26">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row>
    <row r="104" ht="13.5" customHeight="1" spans="1:26">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row>
    <row r="105" ht="13.5" customHeight="1" spans="1:26">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row>
    <row r="106" ht="13.5" customHeight="1" spans="1:26">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row>
    <row r="107" ht="13.5" customHeight="1" spans="1:26">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row>
    <row r="108" ht="13.5" customHeight="1" spans="1:26">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row>
    <row r="109" ht="13.5" customHeight="1" spans="1:26">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row>
    <row r="110" ht="13.5" customHeight="1" spans="1:26">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row>
    <row r="111" ht="13.5" customHeight="1" spans="1:26">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row>
    <row r="112" ht="13.5" customHeight="1" spans="1:26">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row>
    <row r="113" ht="13.5" customHeight="1" spans="1:26">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row>
    <row r="114" ht="13.5" customHeight="1" spans="1:26">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row>
    <row r="115" ht="13.5" customHeight="1" spans="1:26">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row>
    <row r="116" ht="13.5" customHeight="1" spans="1:26">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row>
    <row r="117" ht="13.5" customHeight="1" spans="1:26">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row>
    <row r="118" ht="13.5" customHeight="1" spans="1:26">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row>
    <row r="119" ht="13.5" customHeight="1" spans="1:26">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row>
    <row r="120" ht="13.5" customHeight="1" spans="1:26">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row>
    <row r="121" ht="13.5" customHeight="1" spans="1:26">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row>
    <row r="122" ht="13.5" customHeight="1" spans="1:26">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row>
    <row r="123" ht="13.5" customHeight="1" spans="1:26">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row>
    <row r="124" ht="13.5" customHeight="1" spans="1:26">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row>
    <row r="125" ht="13.5" customHeight="1" spans="1:26">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row>
    <row r="126" ht="13.5" customHeight="1" spans="1:26">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row>
    <row r="127" ht="13.5" customHeight="1" spans="1:26">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row>
    <row r="128" ht="13.5" customHeight="1" spans="1:26">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row>
    <row r="129" ht="13.5" customHeight="1" spans="1:26">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row>
    <row r="130" ht="13.5" customHeight="1" spans="1:26">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row>
    <row r="131" ht="13.5" customHeight="1" spans="1:26">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row>
    <row r="132" ht="13.5" customHeight="1" spans="1:26">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row>
    <row r="133" ht="13.5" customHeight="1" spans="1:26">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row>
    <row r="134" ht="13.5" customHeight="1" spans="1:26">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row>
    <row r="135" ht="13.5" customHeight="1" spans="1:26">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row>
    <row r="136" ht="13.5" customHeight="1" spans="1:26">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row>
    <row r="137" ht="13.5" customHeight="1" spans="1:26">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row>
    <row r="138" ht="13.5" customHeight="1" spans="1:26">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row>
    <row r="139" ht="13.5" customHeight="1" spans="1:26">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row>
    <row r="140" ht="13.5" customHeight="1" spans="1:26">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row>
    <row r="141" ht="13.5" customHeight="1" spans="1:26">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row>
    <row r="142" ht="13.5" customHeight="1" spans="1:26">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row>
    <row r="143" ht="13.5" customHeight="1" spans="1:26">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row>
    <row r="144" ht="13.5" customHeight="1" spans="1:26">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row>
    <row r="145" ht="13.5" customHeight="1" spans="1:26">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row>
    <row r="146" ht="13.5" customHeight="1" spans="1:26">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row>
    <row r="147" ht="13.5" customHeight="1" spans="1:26">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row>
    <row r="148" ht="13.5" customHeight="1" spans="1:26">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row>
    <row r="149" ht="13.5" customHeight="1" spans="1:26">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row>
    <row r="150" ht="13.5" customHeight="1" spans="1:26">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row>
    <row r="151" ht="13.5" customHeight="1" spans="1:26">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row>
    <row r="152" ht="13.5" customHeight="1" spans="1:26">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row>
    <row r="153" ht="13.5" customHeight="1" spans="1:26">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row>
    <row r="154" ht="13.5" customHeight="1" spans="1:26">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row>
    <row r="155" ht="13.5" customHeight="1" spans="1:26">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row>
    <row r="156" ht="13.5" customHeight="1" spans="1:26">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row>
    <row r="157" ht="13.5" customHeight="1" spans="1:26">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row>
    <row r="158" ht="13.5" customHeight="1" spans="1:26">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row>
    <row r="159" ht="13.5" customHeight="1" spans="1:26">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row>
    <row r="160" ht="13.5" customHeight="1" spans="1:26">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row>
    <row r="161" ht="13.5" customHeight="1" spans="1:26">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row>
    <row r="162" ht="13.5" customHeight="1" spans="1:26">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row>
    <row r="163" ht="13.5" customHeight="1" spans="1:26">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row>
    <row r="164" ht="13.5" customHeight="1" spans="1:26">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row r="165" ht="13.5" customHeight="1" spans="1:26">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row>
    <row r="166" ht="13.5" customHeight="1" spans="1:26">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row>
    <row r="167" ht="13.5" customHeight="1" spans="1:26">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row>
    <row r="168" ht="13.5" customHeight="1" spans="1:26">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row>
    <row r="169" ht="13.5" customHeight="1" spans="1:26">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row>
    <row r="170" ht="13.5" customHeight="1" spans="1:26">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row>
    <row r="171" ht="13.5" customHeight="1" spans="1:26">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row>
    <row r="172" ht="13.5" customHeight="1" spans="1:26">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row>
    <row r="173" ht="13.5" customHeight="1" spans="1:26">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row>
    <row r="174" ht="13.5" customHeight="1" spans="1:26">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row>
    <row r="175" ht="13.5" customHeight="1" spans="1:26">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row>
    <row r="176" ht="13.5" customHeight="1" spans="1:26">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row>
    <row r="177" ht="13.5" customHeight="1" spans="1:26">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row>
    <row r="178" ht="13.5" customHeight="1" spans="1:26">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row>
    <row r="179" ht="13.5" customHeight="1" spans="1:26">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row>
    <row r="180" ht="13.5" customHeight="1" spans="1:26">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row>
    <row r="181" ht="13.5" customHeight="1" spans="1:26">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row>
    <row r="182" ht="13.5" customHeight="1" spans="1:26">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row>
    <row r="183" ht="13.5" customHeight="1" spans="1:26">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row>
    <row r="184" ht="13.5" customHeight="1" spans="1:26">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row>
    <row r="185" ht="13.5" customHeight="1" spans="1:26">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row>
    <row r="186" ht="13.5" customHeight="1" spans="1:26">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row>
    <row r="187" ht="13.5" customHeight="1" spans="1:26">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row>
    <row r="188" ht="13.5" customHeight="1" spans="1:26">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row>
    <row r="189" ht="13.5" customHeight="1" spans="1:26">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row>
    <row r="190" ht="13.5" customHeight="1" spans="1:26">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row>
    <row r="191" ht="13.5" customHeight="1" spans="1:26">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row>
    <row r="192" ht="13.5" customHeight="1" spans="1:26">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row>
    <row r="193" ht="13.5" customHeight="1" spans="1:26">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row>
    <row r="194" ht="13.5" customHeight="1" spans="1:26">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row>
    <row r="195" ht="13.5" customHeight="1" spans="1:26">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row>
    <row r="196" ht="13.5" customHeight="1" spans="1:26">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row>
    <row r="197" ht="13.5" customHeight="1" spans="1:26">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row>
    <row r="198" ht="13.5" customHeight="1" spans="1:26">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row>
    <row r="199" ht="13.5" customHeight="1" spans="1:26">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row>
    <row r="200" ht="13.5" customHeight="1" spans="1:26">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row>
    <row r="201" ht="13.5" customHeight="1" spans="1:26">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row>
    <row r="202" ht="13.5" customHeight="1" spans="1:26">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row>
    <row r="203" ht="13.5" customHeight="1" spans="1:26">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row>
    <row r="204" ht="13.5" customHeight="1" spans="1:26">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row>
    <row r="205" ht="13.5" customHeight="1" spans="1:26">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row>
    <row r="206" ht="13.5" customHeight="1" spans="1:26">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row>
    <row r="207" ht="13.5" customHeight="1" spans="1:26">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row>
    <row r="208" ht="13.5" customHeight="1" spans="1:26">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row>
    <row r="209" ht="13.5" customHeight="1" spans="1:26">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row>
    <row r="210" ht="13.5" customHeight="1" spans="1:26">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row>
    <row r="211" ht="13.5" customHeight="1" spans="1:26">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row>
    <row r="212" ht="13.5" customHeight="1" spans="1:26">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row>
    <row r="213" ht="13.5" customHeight="1" spans="1:26">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row>
    <row r="214" ht="13.5" customHeight="1" spans="1:26">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row>
    <row r="215" ht="13.5" customHeight="1" spans="1:26">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row>
    <row r="216" ht="13.5" customHeight="1" spans="1:26">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row>
    <row r="217" ht="13.5" customHeight="1" spans="1:26">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row>
    <row r="218" ht="13.5" customHeight="1" spans="1:26">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row>
    <row r="219" ht="13.5" customHeight="1" spans="1:26">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row>
    <row r="220" ht="13.5" customHeight="1" spans="1:26">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row>
    <row r="221" ht="13.5" customHeight="1" spans="1:26">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row>
    <row r="222" ht="13.5" customHeight="1" spans="1:26">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row>
    <row r="223" ht="13.5" customHeight="1" spans="1:26">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row>
    <row r="224" ht="13.5" customHeight="1" spans="1:26">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row>
    <row r="225" ht="13.5" customHeight="1" spans="1:26">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row>
    <row r="226" ht="13.5" customHeight="1" spans="1:26">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row>
    <row r="227" ht="13.5" customHeight="1" spans="1:26">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row>
    <row r="228" ht="13.5" customHeight="1" spans="1:26">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row>
    <row r="229" ht="13.5" customHeight="1" spans="1:26">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row>
    <row r="230" ht="13.5" customHeight="1" spans="1:26">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row>
    <row r="231" ht="13.5" customHeight="1" spans="1:26">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row>
    <row r="232" ht="13.5" customHeight="1" spans="1:26">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row>
    <row r="233" ht="13.5" customHeight="1" spans="1:26">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row>
    <row r="234" ht="13.5" customHeight="1" spans="1:26">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row>
    <row r="235" ht="13.5" customHeight="1" spans="1:26">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row>
    <row r="236" ht="13.5" customHeight="1" spans="1:26">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row>
    <row r="237" ht="13.5" customHeight="1" spans="1:26">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row>
    <row r="238" ht="13.5" customHeight="1" spans="1:26">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row>
    <row r="239" ht="13.5" customHeight="1" spans="1:26">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row>
    <row r="240" ht="13.5" customHeight="1" spans="1:26">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row>
    <row r="241" ht="13.5" customHeight="1" spans="1:26">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row>
    <row r="242" ht="13.5" customHeight="1" spans="1:26">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row>
    <row r="243" ht="13.5" customHeight="1" spans="1:26">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row>
    <row r="244" ht="13.5" customHeight="1" spans="1:26">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row>
    <row r="245" ht="13.5" customHeight="1" spans="1:26">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row>
    <row r="246" ht="13.5" customHeight="1" spans="1:26">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row>
    <row r="247" ht="13.5" customHeight="1" spans="1:26">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row>
    <row r="248" ht="13.5" customHeight="1" spans="1:26">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row>
    <row r="249" ht="13.5" customHeight="1" spans="1:26">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row>
    <row r="250" ht="13.5" customHeight="1" spans="1:26">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row>
    <row r="251" ht="13.5" customHeight="1" spans="1:26">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row>
    <row r="252" ht="13.5" customHeight="1" spans="1:26">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row>
    <row r="253" ht="13.5" customHeight="1" spans="1:26">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row>
    <row r="254" ht="13.5" customHeight="1" spans="1:26">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row>
    <row r="255" ht="13.5" customHeight="1" spans="1:26">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row>
    <row r="256" ht="13.5" customHeight="1" spans="1:26">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row>
    <row r="257" ht="13.5" customHeight="1" spans="1:26">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row>
    <row r="258" ht="13.5" customHeight="1" spans="1:26">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row>
    <row r="259" ht="13.5" customHeight="1" spans="1:26">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row>
    <row r="260" ht="13.5" customHeight="1" spans="1:26">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row>
    <row r="261" ht="13.5" customHeight="1" spans="1:26">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row>
    <row r="262" ht="13.5" customHeight="1" spans="1:26">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row>
    <row r="263" ht="13.5" customHeight="1" spans="1:26">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row>
    <row r="264" ht="13.5" customHeight="1" spans="1:26">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row>
    <row r="265" ht="13.5" customHeight="1" spans="1:26">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row>
    <row r="266" ht="13.5" customHeight="1" spans="1:26">
      <c r="A266" s="20"/>
      <c r="B266" s="20"/>
      <c r="C266" s="20"/>
      <c r="D266" s="20"/>
      <c r="E266" s="20"/>
      <c r="F266" s="20"/>
      <c r="G266" s="20"/>
      <c r="H266" s="20"/>
      <c r="I266" s="20"/>
      <c r="J266" s="20"/>
      <c r="K266" s="20"/>
      <c r="L266" s="20"/>
      <c r="M266" s="20"/>
      <c r="N266" s="20"/>
      <c r="O266" s="20"/>
      <c r="P266" s="20"/>
      <c r="Q266" s="20"/>
      <c r="R266" s="20"/>
      <c r="S266" s="20"/>
      <c r="T266" s="20"/>
      <c r="U266" s="20"/>
      <c r="V266" s="20"/>
      <c r="W266" s="20"/>
      <c r="X266" s="20"/>
      <c r="Y266" s="20"/>
      <c r="Z266" s="20"/>
    </row>
    <row r="267" ht="13.5" customHeight="1" spans="1:26">
      <c r="A267" s="20"/>
      <c r="B267" s="20"/>
      <c r="C267" s="20"/>
      <c r="D267" s="20"/>
      <c r="E267" s="20"/>
      <c r="F267" s="20"/>
      <c r="G267" s="20"/>
      <c r="H267" s="20"/>
      <c r="I267" s="20"/>
      <c r="J267" s="20"/>
      <c r="K267" s="20"/>
      <c r="L267" s="20"/>
      <c r="M267" s="20"/>
      <c r="N267" s="20"/>
      <c r="O267" s="20"/>
      <c r="P267" s="20"/>
      <c r="Q267" s="20"/>
      <c r="R267" s="20"/>
      <c r="S267" s="20"/>
      <c r="T267" s="20"/>
      <c r="U267" s="20"/>
      <c r="V267" s="20"/>
      <c r="W267" s="20"/>
      <c r="X267" s="20"/>
      <c r="Y267" s="20"/>
      <c r="Z267" s="20"/>
    </row>
    <row r="268" ht="13.5" customHeight="1" spans="1:26">
      <c r="A268" s="20"/>
      <c r="B268" s="20"/>
      <c r="C268" s="20"/>
      <c r="D268" s="20"/>
      <c r="E268" s="20"/>
      <c r="F268" s="20"/>
      <c r="G268" s="20"/>
      <c r="H268" s="20"/>
      <c r="I268" s="20"/>
      <c r="J268" s="20"/>
      <c r="K268" s="20"/>
      <c r="L268" s="20"/>
      <c r="M268" s="20"/>
      <c r="N268" s="20"/>
      <c r="O268" s="20"/>
      <c r="P268" s="20"/>
      <c r="Q268" s="20"/>
      <c r="R268" s="20"/>
      <c r="S268" s="20"/>
      <c r="T268" s="20"/>
      <c r="U268" s="20"/>
      <c r="V268" s="20"/>
      <c r="W268" s="20"/>
      <c r="X268" s="20"/>
      <c r="Y268" s="20"/>
      <c r="Z268" s="20"/>
    </row>
    <row r="269" ht="13.5" customHeight="1" spans="1:26">
      <c r="A269" s="20"/>
      <c r="B269" s="20"/>
      <c r="C269" s="20"/>
      <c r="D269" s="20"/>
      <c r="E269" s="20"/>
      <c r="F269" s="20"/>
      <c r="G269" s="20"/>
      <c r="H269" s="20"/>
      <c r="I269" s="20"/>
      <c r="J269" s="20"/>
      <c r="K269" s="20"/>
      <c r="L269" s="20"/>
      <c r="M269" s="20"/>
      <c r="N269" s="20"/>
      <c r="O269" s="20"/>
      <c r="P269" s="20"/>
      <c r="Q269" s="20"/>
      <c r="R269" s="20"/>
      <c r="S269" s="20"/>
      <c r="T269" s="20"/>
      <c r="U269" s="20"/>
      <c r="V269" s="20"/>
      <c r="W269" s="20"/>
      <c r="X269" s="20"/>
      <c r="Y269" s="20"/>
      <c r="Z269" s="20"/>
    </row>
    <row r="270" ht="13.5" customHeight="1" spans="1:26">
      <c r="A270" s="20"/>
      <c r="B270" s="20"/>
      <c r="C270" s="20"/>
      <c r="D270" s="20"/>
      <c r="E270" s="20"/>
      <c r="F270" s="20"/>
      <c r="G270" s="20"/>
      <c r="H270" s="20"/>
      <c r="I270" s="20"/>
      <c r="J270" s="20"/>
      <c r="K270" s="20"/>
      <c r="L270" s="20"/>
      <c r="M270" s="20"/>
      <c r="N270" s="20"/>
      <c r="O270" s="20"/>
      <c r="P270" s="20"/>
      <c r="Q270" s="20"/>
      <c r="R270" s="20"/>
      <c r="S270" s="20"/>
      <c r="T270" s="20"/>
      <c r="U270" s="20"/>
      <c r="V270" s="20"/>
      <c r="W270" s="20"/>
      <c r="X270" s="20"/>
      <c r="Y270" s="20"/>
      <c r="Z270" s="20"/>
    </row>
    <row r="271" ht="13.5" customHeight="1" spans="1:26">
      <c r="A271" s="20"/>
      <c r="B271" s="20"/>
      <c r="C271" s="20"/>
      <c r="D271" s="20"/>
      <c r="E271" s="20"/>
      <c r="F271" s="20"/>
      <c r="G271" s="20"/>
      <c r="H271" s="20"/>
      <c r="I271" s="20"/>
      <c r="J271" s="20"/>
      <c r="K271" s="20"/>
      <c r="L271" s="20"/>
      <c r="M271" s="20"/>
      <c r="N271" s="20"/>
      <c r="O271" s="20"/>
      <c r="P271" s="20"/>
      <c r="Q271" s="20"/>
      <c r="R271" s="20"/>
      <c r="S271" s="20"/>
      <c r="T271" s="20"/>
      <c r="U271" s="20"/>
      <c r="V271" s="20"/>
      <c r="W271" s="20"/>
      <c r="X271" s="20"/>
      <c r="Y271" s="20"/>
      <c r="Z271" s="20"/>
    </row>
    <row r="272" ht="13.5" customHeight="1" spans="1:26">
      <c r="A272" s="20"/>
      <c r="B272" s="20"/>
      <c r="C272" s="20"/>
      <c r="D272" s="20"/>
      <c r="E272" s="20"/>
      <c r="F272" s="20"/>
      <c r="G272" s="20"/>
      <c r="H272" s="20"/>
      <c r="I272" s="20"/>
      <c r="J272" s="20"/>
      <c r="K272" s="20"/>
      <c r="L272" s="20"/>
      <c r="M272" s="20"/>
      <c r="N272" s="20"/>
      <c r="O272" s="20"/>
      <c r="P272" s="20"/>
      <c r="Q272" s="20"/>
      <c r="R272" s="20"/>
      <c r="S272" s="20"/>
      <c r="T272" s="20"/>
      <c r="U272" s="20"/>
      <c r="V272" s="20"/>
      <c r="W272" s="20"/>
      <c r="X272" s="20"/>
      <c r="Y272" s="20"/>
      <c r="Z272" s="20"/>
    </row>
    <row r="273" ht="13.5" customHeight="1" spans="1:26">
      <c r="A273" s="20"/>
      <c r="B273" s="20"/>
      <c r="C273" s="20"/>
      <c r="D273" s="20"/>
      <c r="E273" s="20"/>
      <c r="F273" s="20"/>
      <c r="G273" s="20"/>
      <c r="H273" s="20"/>
      <c r="I273" s="20"/>
      <c r="J273" s="20"/>
      <c r="K273" s="20"/>
      <c r="L273" s="20"/>
      <c r="M273" s="20"/>
      <c r="N273" s="20"/>
      <c r="O273" s="20"/>
      <c r="P273" s="20"/>
      <c r="Q273" s="20"/>
      <c r="R273" s="20"/>
      <c r="S273" s="20"/>
      <c r="T273" s="20"/>
      <c r="U273" s="20"/>
      <c r="V273" s="20"/>
      <c r="W273" s="20"/>
      <c r="X273" s="20"/>
      <c r="Y273" s="20"/>
      <c r="Z273" s="20"/>
    </row>
    <row r="274" ht="13.5" customHeight="1" spans="1:26">
      <c r="A274" s="20"/>
      <c r="B274" s="20"/>
      <c r="C274" s="20"/>
      <c r="D274" s="20"/>
      <c r="E274" s="20"/>
      <c r="F274" s="20"/>
      <c r="G274" s="20"/>
      <c r="H274" s="20"/>
      <c r="I274" s="20"/>
      <c r="J274" s="20"/>
      <c r="K274" s="20"/>
      <c r="L274" s="20"/>
      <c r="M274" s="20"/>
      <c r="N274" s="20"/>
      <c r="O274" s="20"/>
      <c r="P274" s="20"/>
      <c r="Q274" s="20"/>
      <c r="R274" s="20"/>
      <c r="S274" s="20"/>
      <c r="T274" s="20"/>
      <c r="U274" s="20"/>
      <c r="V274" s="20"/>
      <c r="W274" s="20"/>
      <c r="X274" s="20"/>
      <c r="Y274" s="20"/>
      <c r="Z274" s="20"/>
    </row>
    <row r="275" ht="13.5" customHeight="1" spans="1:26">
      <c r="A275" s="20"/>
      <c r="B275" s="20"/>
      <c r="C275" s="20"/>
      <c r="D275" s="20"/>
      <c r="E275" s="20"/>
      <c r="F275" s="20"/>
      <c r="G275" s="20"/>
      <c r="H275" s="20"/>
      <c r="I275" s="20"/>
      <c r="J275" s="20"/>
      <c r="K275" s="20"/>
      <c r="L275" s="20"/>
      <c r="M275" s="20"/>
      <c r="N275" s="20"/>
      <c r="O275" s="20"/>
      <c r="P275" s="20"/>
      <c r="Q275" s="20"/>
      <c r="R275" s="20"/>
      <c r="S275" s="20"/>
      <c r="T275" s="20"/>
      <c r="U275" s="20"/>
      <c r="V275" s="20"/>
      <c r="W275" s="20"/>
      <c r="X275" s="20"/>
      <c r="Y275" s="20"/>
      <c r="Z275" s="20"/>
    </row>
    <row r="276" ht="13.5" customHeight="1" spans="1:26">
      <c r="A276" s="20"/>
      <c r="B276" s="20"/>
      <c r="C276" s="20"/>
      <c r="D276" s="20"/>
      <c r="E276" s="20"/>
      <c r="F276" s="20"/>
      <c r="G276" s="20"/>
      <c r="H276" s="20"/>
      <c r="I276" s="20"/>
      <c r="J276" s="20"/>
      <c r="K276" s="20"/>
      <c r="L276" s="20"/>
      <c r="M276" s="20"/>
      <c r="N276" s="20"/>
      <c r="O276" s="20"/>
      <c r="P276" s="20"/>
      <c r="Q276" s="20"/>
      <c r="R276" s="20"/>
      <c r="S276" s="20"/>
      <c r="T276" s="20"/>
      <c r="U276" s="20"/>
      <c r="V276" s="20"/>
      <c r="W276" s="20"/>
      <c r="X276" s="20"/>
      <c r="Y276" s="20"/>
      <c r="Z276" s="20"/>
    </row>
    <row r="277" ht="13.5" customHeight="1" spans="1:26">
      <c r="A277" s="20"/>
      <c r="B277" s="20"/>
      <c r="C277" s="20"/>
      <c r="D277" s="20"/>
      <c r="E277" s="20"/>
      <c r="F277" s="20"/>
      <c r="G277" s="20"/>
      <c r="H277" s="20"/>
      <c r="I277" s="20"/>
      <c r="J277" s="20"/>
      <c r="K277" s="20"/>
      <c r="L277" s="20"/>
      <c r="M277" s="20"/>
      <c r="N277" s="20"/>
      <c r="O277" s="20"/>
      <c r="P277" s="20"/>
      <c r="Q277" s="20"/>
      <c r="R277" s="20"/>
      <c r="S277" s="20"/>
      <c r="T277" s="20"/>
      <c r="U277" s="20"/>
      <c r="V277" s="20"/>
      <c r="W277" s="20"/>
      <c r="X277" s="20"/>
      <c r="Y277" s="20"/>
      <c r="Z277" s="20"/>
    </row>
    <row r="278" ht="13.5" customHeight="1" spans="1:26">
      <c r="A278" s="20"/>
      <c r="B278" s="20"/>
      <c r="C278" s="20"/>
      <c r="D278" s="20"/>
      <c r="E278" s="20"/>
      <c r="F278" s="20"/>
      <c r="G278" s="20"/>
      <c r="H278" s="20"/>
      <c r="I278" s="20"/>
      <c r="J278" s="20"/>
      <c r="K278" s="20"/>
      <c r="L278" s="20"/>
      <c r="M278" s="20"/>
      <c r="N278" s="20"/>
      <c r="O278" s="20"/>
      <c r="P278" s="20"/>
      <c r="Q278" s="20"/>
      <c r="R278" s="20"/>
      <c r="S278" s="20"/>
      <c r="T278" s="20"/>
      <c r="U278" s="20"/>
      <c r="V278" s="20"/>
      <c r="W278" s="20"/>
      <c r="X278" s="20"/>
      <c r="Y278" s="20"/>
      <c r="Z278" s="20"/>
    </row>
    <row r="279" ht="13.5" customHeight="1" spans="1:26">
      <c r="A279" s="20"/>
      <c r="B279" s="20"/>
      <c r="C279" s="20"/>
      <c r="D279" s="20"/>
      <c r="E279" s="20"/>
      <c r="F279" s="20"/>
      <c r="G279" s="20"/>
      <c r="H279" s="20"/>
      <c r="I279" s="20"/>
      <c r="J279" s="20"/>
      <c r="K279" s="20"/>
      <c r="L279" s="20"/>
      <c r="M279" s="20"/>
      <c r="N279" s="20"/>
      <c r="O279" s="20"/>
      <c r="P279" s="20"/>
      <c r="Q279" s="20"/>
      <c r="R279" s="20"/>
      <c r="S279" s="20"/>
      <c r="T279" s="20"/>
      <c r="U279" s="20"/>
      <c r="V279" s="20"/>
      <c r="W279" s="20"/>
      <c r="X279" s="20"/>
      <c r="Y279" s="20"/>
      <c r="Z279" s="20"/>
    </row>
    <row r="280" ht="13.5" customHeight="1" spans="1:26">
      <c r="A280" s="20"/>
      <c r="B280" s="20"/>
      <c r="C280" s="20"/>
      <c r="D280" s="20"/>
      <c r="E280" s="20"/>
      <c r="F280" s="20"/>
      <c r="G280" s="20"/>
      <c r="H280" s="20"/>
      <c r="I280" s="20"/>
      <c r="J280" s="20"/>
      <c r="K280" s="20"/>
      <c r="L280" s="20"/>
      <c r="M280" s="20"/>
      <c r="N280" s="20"/>
      <c r="O280" s="20"/>
      <c r="P280" s="20"/>
      <c r="Q280" s="20"/>
      <c r="R280" s="20"/>
      <c r="S280" s="20"/>
      <c r="T280" s="20"/>
      <c r="U280" s="20"/>
      <c r="V280" s="20"/>
      <c r="W280" s="20"/>
      <c r="X280" s="20"/>
      <c r="Y280" s="20"/>
      <c r="Z280" s="20"/>
    </row>
    <row r="281" ht="13.5" customHeight="1" spans="1:26">
      <c r="A281" s="20"/>
      <c r="B281" s="20"/>
      <c r="C281" s="20"/>
      <c r="D281" s="20"/>
      <c r="E281" s="20"/>
      <c r="F281" s="20"/>
      <c r="G281" s="20"/>
      <c r="H281" s="20"/>
      <c r="I281" s="20"/>
      <c r="J281" s="20"/>
      <c r="K281" s="20"/>
      <c r="L281" s="20"/>
      <c r="M281" s="20"/>
      <c r="N281" s="20"/>
      <c r="O281" s="20"/>
      <c r="P281" s="20"/>
      <c r="Q281" s="20"/>
      <c r="R281" s="20"/>
      <c r="S281" s="20"/>
      <c r="T281" s="20"/>
      <c r="U281" s="20"/>
      <c r="V281" s="20"/>
      <c r="W281" s="20"/>
      <c r="X281" s="20"/>
      <c r="Y281" s="20"/>
      <c r="Z281" s="20"/>
    </row>
    <row r="282" ht="13.5" customHeight="1" spans="1:26">
      <c r="A282" s="20"/>
      <c r="B282" s="20"/>
      <c r="C282" s="20"/>
      <c r="D282" s="20"/>
      <c r="E282" s="20"/>
      <c r="F282" s="20"/>
      <c r="G282" s="20"/>
      <c r="H282" s="20"/>
      <c r="I282" s="20"/>
      <c r="J282" s="20"/>
      <c r="K282" s="20"/>
      <c r="L282" s="20"/>
      <c r="M282" s="20"/>
      <c r="N282" s="20"/>
      <c r="O282" s="20"/>
      <c r="P282" s="20"/>
      <c r="Q282" s="20"/>
      <c r="R282" s="20"/>
      <c r="S282" s="20"/>
      <c r="T282" s="20"/>
      <c r="U282" s="20"/>
      <c r="V282" s="20"/>
      <c r="W282" s="20"/>
      <c r="X282" s="20"/>
      <c r="Y282" s="20"/>
      <c r="Z282" s="20"/>
    </row>
    <row r="283" ht="13.5" customHeight="1" spans="1:26">
      <c r="A283" s="20"/>
      <c r="B283" s="20"/>
      <c r="C283" s="20"/>
      <c r="D283" s="20"/>
      <c r="E283" s="20"/>
      <c r="F283" s="20"/>
      <c r="G283" s="20"/>
      <c r="H283" s="20"/>
      <c r="I283" s="20"/>
      <c r="J283" s="20"/>
      <c r="K283" s="20"/>
      <c r="L283" s="20"/>
      <c r="M283" s="20"/>
      <c r="N283" s="20"/>
      <c r="O283" s="20"/>
      <c r="P283" s="20"/>
      <c r="Q283" s="20"/>
      <c r="R283" s="20"/>
      <c r="S283" s="20"/>
      <c r="T283" s="20"/>
      <c r="U283" s="20"/>
      <c r="V283" s="20"/>
      <c r="W283" s="20"/>
      <c r="X283" s="20"/>
      <c r="Y283" s="20"/>
      <c r="Z283" s="20"/>
    </row>
    <row r="284" ht="13.5" customHeight="1" spans="1:26">
      <c r="A284" s="20"/>
      <c r="B284" s="20"/>
      <c r="C284" s="20"/>
      <c r="D284" s="20"/>
      <c r="E284" s="20"/>
      <c r="F284" s="20"/>
      <c r="G284" s="20"/>
      <c r="H284" s="20"/>
      <c r="I284" s="20"/>
      <c r="J284" s="20"/>
      <c r="K284" s="20"/>
      <c r="L284" s="20"/>
      <c r="M284" s="20"/>
      <c r="N284" s="20"/>
      <c r="O284" s="20"/>
      <c r="P284" s="20"/>
      <c r="Q284" s="20"/>
      <c r="R284" s="20"/>
      <c r="S284" s="20"/>
      <c r="T284" s="20"/>
      <c r="U284" s="20"/>
      <c r="V284" s="20"/>
      <c r="W284" s="20"/>
      <c r="X284" s="20"/>
      <c r="Y284" s="20"/>
      <c r="Z284" s="20"/>
    </row>
    <row r="285" ht="13.5" customHeight="1" spans="1:26">
      <c r="A285" s="20"/>
      <c r="B285" s="20"/>
      <c r="C285" s="20"/>
      <c r="D285" s="20"/>
      <c r="E285" s="20"/>
      <c r="F285" s="20"/>
      <c r="G285" s="20"/>
      <c r="H285" s="20"/>
      <c r="I285" s="20"/>
      <c r="J285" s="20"/>
      <c r="K285" s="20"/>
      <c r="L285" s="20"/>
      <c r="M285" s="20"/>
      <c r="N285" s="20"/>
      <c r="O285" s="20"/>
      <c r="P285" s="20"/>
      <c r="Q285" s="20"/>
      <c r="R285" s="20"/>
      <c r="S285" s="20"/>
      <c r="T285" s="20"/>
      <c r="U285" s="20"/>
      <c r="V285" s="20"/>
      <c r="W285" s="20"/>
      <c r="X285" s="20"/>
      <c r="Y285" s="20"/>
      <c r="Z285" s="20"/>
    </row>
    <row r="286" ht="13.5" customHeight="1" spans="1:26">
      <c r="A286" s="20"/>
      <c r="B286" s="20"/>
      <c r="C286" s="20"/>
      <c r="D286" s="20"/>
      <c r="E286" s="20"/>
      <c r="F286" s="20"/>
      <c r="G286" s="20"/>
      <c r="H286" s="20"/>
      <c r="I286" s="20"/>
      <c r="J286" s="20"/>
      <c r="K286" s="20"/>
      <c r="L286" s="20"/>
      <c r="M286" s="20"/>
      <c r="N286" s="20"/>
      <c r="O286" s="20"/>
      <c r="P286" s="20"/>
      <c r="Q286" s="20"/>
      <c r="R286" s="20"/>
      <c r="S286" s="20"/>
      <c r="T286" s="20"/>
      <c r="U286" s="20"/>
      <c r="V286" s="20"/>
      <c r="W286" s="20"/>
      <c r="X286" s="20"/>
      <c r="Y286" s="20"/>
      <c r="Z286" s="20"/>
    </row>
    <row r="287" ht="13.5" customHeight="1" spans="1:26">
      <c r="A287" s="20"/>
      <c r="B287" s="20"/>
      <c r="C287" s="20"/>
      <c r="D287" s="20"/>
      <c r="E287" s="20"/>
      <c r="F287" s="20"/>
      <c r="G287" s="20"/>
      <c r="H287" s="20"/>
      <c r="I287" s="20"/>
      <c r="J287" s="20"/>
      <c r="K287" s="20"/>
      <c r="L287" s="20"/>
      <c r="M287" s="20"/>
      <c r="N287" s="20"/>
      <c r="O287" s="20"/>
      <c r="P287" s="20"/>
      <c r="Q287" s="20"/>
      <c r="R287" s="20"/>
      <c r="S287" s="20"/>
      <c r="T287" s="20"/>
      <c r="U287" s="20"/>
      <c r="V287" s="20"/>
      <c r="W287" s="20"/>
      <c r="X287" s="20"/>
      <c r="Y287" s="20"/>
      <c r="Z287" s="20"/>
    </row>
    <row r="288" ht="13.5" customHeight="1" spans="1:26">
      <c r="A288" s="20"/>
      <c r="B288" s="20"/>
      <c r="C288" s="20"/>
      <c r="D288" s="20"/>
      <c r="E288" s="20"/>
      <c r="F288" s="20"/>
      <c r="G288" s="20"/>
      <c r="H288" s="20"/>
      <c r="I288" s="20"/>
      <c r="J288" s="20"/>
      <c r="K288" s="20"/>
      <c r="L288" s="20"/>
      <c r="M288" s="20"/>
      <c r="N288" s="20"/>
      <c r="O288" s="20"/>
      <c r="P288" s="20"/>
      <c r="Q288" s="20"/>
      <c r="R288" s="20"/>
      <c r="S288" s="20"/>
      <c r="T288" s="20"/>
      <c r="U288" s="20"/>
      <c r="V288" s="20"/>
      <c r="W288" s="20"/>
      <c r="X288" s="20"/>
      <c r="Y288" s="20"/>
      <c r="Z288" s="20"/>
    </row>
    <row r="289" ht="13.5" customHeight="1" spans="1:26">
      <c r="A289" s="20"/>
      <c r="B289" s="20"/>
      <c r="C289" s="20"/>
      <c r="D289" s="20"/>
      <c r="E289" s="20"/>
      <c r="F289" s="20"/>
      <c r="G289" s="20"/>
      <c r="H289" s="20"/>
      <c r="I289" s="20"/>
      <c r="J289" s="20"/>
      <c r="K289" s="20"/>
      <c r="L289" s="20"/>
      <c r="M289" s="20"/>
      <c r="N289" s="20"/>
      <c r="O289" s="20"/>
      <c r="P289" s="20"/>
      <c r="Q289" s="20"/>
      <c r="R289" s="20"/>
      <c r="S289" s="20"/>
      <c r="T289" s="20"/>
      <c r="U289" s="20"/>
      <c r="V289" s="20"/>
      <c r="W289" s="20"/>
      <c r="X289" s="20"/>
      <c r="Y289" s="20"/>
      <c r="Z289" s="20"/>
    </row>
    <row r="290" ht="13.5" customHeight="1" spans="1:26">
      <c r="A290" s="20"/>
      <c r="B290" s="20"/>
      <c r="C290" s="20"/>
      <c r="D290" s="20"/>
      <c r="E290" s="20"/>
      <c r="F290" s="20"/>
      <c r="G290" s="20"/>
      <c r="H290" s="20"/>
      <c r="I290" s="20"/>
      <c r="J290" s="20"/>
      <c r="K290" s="20"/>
      <c r="L290" s="20"/>
      <c r="M290" s="20"/>
      <c r="N290" s="20"/>
      <c r="O290" s="20"/>
      <c r="P290" s="20"/>
      <c r="Q290" s="20"/>
      <c r="R290" s="20"/>
      <c r="S290" s="20"/>
      <c r="T290" s="20"/>
      <c r="U290" s="20"/>
      <c r="V290" s="20"/>
      <c r="W290" s="20"/>
      <c r="X290" s="20"/>
      <c r="Y290" s="20"/>
      <c r="Z290" s="20"/>
    </row>
    <row r="291" ht="13.5" customHeight="1" spans="1:26">
      <c r="A291" s="20"/>
      <c r="B291" s="20"/>
      <c r="C291" s="20"/>
      <c r="D291" s="20"/>
      <c r="E291" s="20"/>
      <c r="F291" s="20"/>
      <c r="G291" s="20"/>
      <c r="H291" s="20"/>
      <c r="I291" s="20"/>
      <c r="J291" s="20"/>
      <c r="K291" s="20"/>
      <c r="L291" s="20"/>
      <c r="M291" s="20"/>
      <c r="N291" s="20"/>
      <c r="O291" s="20"/>
      <c r="P291" s="20"/>
      <c r="Q291" s="20"/>
      <c r="R291" s="20"/>
      <c r="S291" s="20"/>
      <c r="T291" s="20"/>
      <c r="U291" s="20"/>
      <c r="V291" s="20"/>
      <c r="W291" s="20"/>
      <c r="X291" s="20"/>
      <c r="Y291" s="20"/>
      <c r="Z291" s="20"/>
    </row>
    <row r="292" ht="13.5" customHeight="1" spans="1:26">
      <c r="A292" s="20"/>
      <c r="B292" s="20"/>
      <c r="C292" s="20"/>
      <c r="D292" s="20"/>
      <c r="E292" s="20"/>
      <c r="F292" s="20"/>
      <c r="G292" s="20"/>
      <c r="H292" s="20"/>
      <c r="I292" s="20"/>
      <c r="J292" s="20"/>
      <c r="K292" s="20"/>
      <c r="L292" s="20"/>
      <c r="M292" s="20"/>
      <c r="N292" s="20"/>
      <c r="O292" s="20"/>
      <c r="P292" s="20"/>
      <c r="Q292" s="20"/>
      <c r="R292" s="20"/>
      <c r="S292" s="20"/>
      <c r="T292" s="20"/>
      <c r="U292" s="20"/>
      <c r="V292" s="20"/>
      <c r="W292" s="20"/>
      <c r="X292" s="20"/>
      <c r="Y292" s="20"/>
      <c r="Z292" s="20"/>
    </row>
    <row r="293" ht="13.5" customHeight="1" spans="1:26">
      <c r="A293" s="20"/>
      <c r="B293" s="20"/>
      <c r="C293" s="20"/>
      <c r="D293" s="20"/>
      <c r="E293" s="20"/>
      <c r="F293" s="20"/>
      <c r="G293" s="20"/>
      <c r="H293" s="20"/>
      <c r="I293" s="20"/>
      <c r="J293" s="20"/>
      <c r="K293" s="20"/>
      <c r="L293" s="20"/>
      <c r="M293" s="20"/>
      <c r="N293" s="20"/>
      <c r="O293" s="20"/>
      <c r="P293" s="20"/>
      <c r="Q293" s="20"/>
      <c r="R293" s="20"/>
      <c r="S293" s="20"/>
      <c r="T293" s="20"/>
      <c r="U293" s="20"/>
      <c r="V293" s="20"/>
      <c r="W293" s="20"/>
      <c r="X293" s="20"/>
      <c r="Y293" s="20"/>
      <c r="Z293" s="20"/>
    </row>
    <row r="294" ht="13.5" customHeight="1" spans="1:26">
      <c r="A294" s="20"/>
      <c r="B294" s="20"/>
      <c r="C294" s="20"/>
      <c r="D294" s="20"/>
      <c r="E294" s="20"/>
      <c r="F294" s="20"/>
      <c r="G294" s="20"/>
      <c r="H294" s="20"/>
      <c r="I294" s="20"/>
      <c r="J294" s="20"/>
      <c r="K294" s="20"/>
      <c r="L294" s="20"/>
      <c r="M294" s="20"/>
      <c r="N294" s="20"/>
      <c r="O294" s="20"/>
      <c r="P294" s="20"/>
      <c r="Q294" s="20"/>
      <c r="R294" s="20"/>
      <c r="S294" s="20"/>
      <c r="T294" s="20"/>
      <c r="U294" s="20"/>
      <c r="V294" s="20"/>
      <c r="W294" s="20"/>
      <c r="X294" s="20"/>
      <c r="Y294" s="20"/>
      <c r="Z294" s="20"/>
    </row>
    <row r="295" ht="13.5" customHeight="1" spans="1:26">
      <c r="A295" s="20"/>
      <c r="B295" s="20"/>
      <c r="C295" s="20"/>
      <c r="D295" s="20"/>
      <c r="E295" s="20"/>
      <c r="F295" s="20"/>
      <c r="G295" s="20"/>
      <c r="H295" s="20"/>
      <c r="I295" s="20"/>
      <c r="J295" s="20"/>
      <c r="K295" s="20"/>
      <c r="L295" s="20"/>
      <c r="M295" s="20"/>
      <c r="N295" s="20"/>
      <c r="O295" s="20"/>
      <c r="P295" s="20"/>
      <c r="Q295" s="20"/>
      <c r="R295" s="20"/>
      <c r="S295" s="20"/>
      <c r="T295" s="20"/>
      <c r="U295" s="20"/>
      <c r="V295" s="20"/>
      <c r="W295" s="20"/>
      <c r="X295" s="20"/>
      <c r="Y295" s="20"/>
      <c r="Z295" s="20"/>
    </row>
    <row r="296" ht="13.5" customHeight="1" spans="1:26">
      <c r="A296" s="20"/>
      <c r="B296" s="20"/>
      <c r="C296" s="20"/>
      <c r="D296" s="20"/>
      <c r="E296" s="20"/>
      <c r="F296" s="20"/>
      <c r="G296" s="20"/>
      <c r="H296" s="20"/>
      <c r="I296" s="20"/>
      <c r="J296" s="20"/>
      <c r="K296" s="20"/>
      <c r="L296" s="20"/>
      <c r="M296" s="20"/>
      <c r="N296" s="20"/>
      <c r="O296" s="20"/>
      <c r="P296" s="20"/>
      <c r="Q296" s="20"/>
      <c r="R296" s="20"/>
      <c r="S296" s="20"/>
      <c r="T296" s="20"/>
      <c r="U296" s="20"/>
      <c r="V296" s="20"/>
      <c r="W296" s="20"/>
      <c r="X296" s="20"/>
      <c r="Y296" s="20"/>
      <c r="Z296" s="20"/>
    </row>
    <row r="297" ht="13.5" customHeight="1" spans="1:26">
      <c r="A297" s="20"/>
      <c r="B297" s="20"/>
      <c r="C297" s="20"/>
      <c r="D297" s="20"/>
      <c r="E297" s="20"/>
      <c r="F297" s="20"/>
      <c r="G297" s="20"/>
      <c r="H297" s="20"/>
      <c r="I297" s="20"/>
      <c r="J297" s="20"/>
      <c r="K297" s="20"/>
      <c r="L297" s="20"/>
      <c r="M297" s="20"/>
      <c r="N297" s="20"/>
      <c r="O297" s="20"/>
      <c r="P297" s="20"/>
      <c r="Q297" s="20"/>
      <c r="R297" s="20"/>
      <c r="S297" s="20"/>
      <c r="T297" s="20"/>
      <c r="U297" s="20"/>
      <c r="V297" s="20"/>
      <c r="W297" s="20"/>
      <c r="X297" s="20"/>
      <c r="Y297" s="20"/>
      <c r="Z297" s="20"/>
    </row>
    <row r="298" ht="13.5" customHeight="1" spans="1:26">
      <c r="A298" s="20"/>
      <c r="B298" s="20"/>
      <c r="C298" s="20"/>
      <c r="D298" s="20"/>
      <c r="E298" s="20"/>
      <c r="F298" s="20"/>
      <c r="G298" s="20"/>
      <c r="H298" s="20"/>
      <c r="I298" s="20"/>
      <c r="J298" s="20"/>
      <c r="K298" s="20"/>
      <c r="L298" s="20"/>
      <c r="M298" s="20"/>
      <c r="N298" s="20"/>
      <c r="O298" s="20"/>
      <c r="P298" s="20"/>
      <c r="Q298" s="20"/>
      <c r="R298" s="20"/>
      <c r="S298" s="20"/>
      <c r="T298" s="20"/>
      <c r="U298" s="20"/>
      <c r="V298" s="20"/>
      <c r="W298" s="20"/>
      <c r="X298" s="20"/>
      <c r="Y298" s="20"/>
      <c r="Z298" s="20"/>
    </row>
    <row r="299" ht="13.5" customHeight="1" spans="1:26">
      <c r="A299" s="20"/>
      <c r="B299" s="20"/>
      <c r="C299" s="20"/>
      <c r="D299" s="20"/>
      <c r="E299" s="20"/>
      <c r="F299" s="20"/>
      <c r="G299" s="20"/>
      <c r="H299" s="20"/>
      <c r="I299" s="20"/>
      <c r="J299" s="20"/>
      <c r="K299" s="20"/>
      <c r="L299" s="20"/>
      <c r="M299" s="20"/>
      <c r="N299" s="20"/>
      <c r="O299" s="20"/>
      <c r="P299" s="20"/>
      <c r="Q299" s="20"/>
      <c r="R299" s="20"/>
      <c r="S299" s="20"/>
      <c r="T299" s="20"/>
      <c r="U299" s="20"/>
      <c r="V299" s="20"/>
      <c r="W299" s="20"/>
      <c r="X299" s="20"/>
      <c r="Y299" s="20"/>
      <c r="Z299" s="20"/>
    </row>
    <row r="300" ht="13.5" customHeight="1" spans="1:26">
      <c r="A300" s="20"/>
      <c r="B300" s="20"/>
      <c r="C300" s="20"/>
      <c r="D300" s="20"/>
      <c r="E300" s="20"/>
      <c r="F300" s="20"/>
      <c r="G300" s="20"/>
      <c r="H300" s="20"/>
      <c r="I300" s="20"/>
      <c r="J300" s="20"/>
      <c r="K300" s="20"/>
      <c r="L300" s="20"/>
      <c r="M300" s="20"/>
      <c r="N300" s="20"/>
      <c r="O300" s="20"/>
      <c r="P300" s="20"/>
      <c r="Q300" s="20"/>
      <c r="R300" s="20"/>
      <c r="S300" s="20"/>
      <c r="T300" s="20"/>
      <c r="U300" s="20"/>
      <c r="V300" s="20"/>
      <c r="W300" s="20"/>
      <c r="X300" s="20"/>
      <c r="Y300" s="20"/>
      <c r="Z300" s="20"/>
    </row>
    <row r="301" ht="13.5" customHeight="1" spans="1:26">
      <c r="A301" s="20"/>
      <c r="B301" s="20"/>
      <c r="C301" s="20"/>
      <c r="D301" s="20"/>
      <c r="E301" s="20"/>
      <c r="F301" s="20"/>
      <c r="G301" s="20"/>
      <c r="H301" s="20"/>
      <c r="I301" s="20"/>
      <c r="J301" s="20"/>
      <c r="K301" s="20"/>
      <c r="L301" s="20"/>
      <c r="M301" s="20"/>
      <c r="N301" s="20"/>
      <c r="O301" s="20"/>
      <c r="P301" s="20"/>
      <c r="Q301" s="20"/>
      <c r="R301" s="20"/>
      <c r="S301" s="20"/>
      <c r="T301" s="20"/>
      <c r="U301" s="20"/>
      <c r="V301" s="20"/>
      <c r="W301" s="20"/>
      <c r="X301" s="20"/>
      <c r="Y301" s="20"/>
      <c r="Z301" s="20"/>
    </row>
    <row r="302" ht="13.5" customHeight="1" spans="1:26">
      <c r="A302" s="20"/>
      <c r="B302" s="20"/>
      <c r="C302" s="20"/>
      <c r="D302" s="20"/>
      <c r="E302" s="20"/>
      <c r="F302" s="20"/>
      <c r="G302" s="20"/>
      <c r="H302" s="20"/>
      <c r="I302" s="20"/>
      <c r="J302" s="20"/>
      <c r="K302" s="20"/>
      <c r="L302" s="20"/>
      <c r="M302" s="20"/>
      <c r="N302" s="20"/>
      <c r="O302" s="20"/>
      <c r="P302" s="20"/>
      <c r="Q302" s="20"/>
      <c r="R302" s="20"/>
      <c r="S302" s="20"/>
      <c r="T302" s="20"/>
      <c r="U302" s="20"/>
      <c r="V302" s="20"/>
      <c r="W302" s="20"/>
      <c r="X302" s="20"/>
      <c r="Y302" s="20"/>
      <c r="Z302" s="20"/>
    </row>
    <row r="303" ht="13.5" customHeight="1" spans="1:26">
      <c r="A303" s="20"/>
      <c r="B303" s="20"/>
      <c r="C303" s="20"/>
      <c r="D303" s="20"/>
      <c r="E303" s="20"/>
      <c r="F303" s="20"/>
      <c r="G303" s="20"/>
      <c r="H303" s="20"/>
      <c r="I303" s="20"/>
      <c r="J303" s="20"/>
      <c r="K303" s="20"/>
      <c r="L303" s="20"/>
      <c r="M303" s="20"/>
      <c r="N303" s="20"/>
      <c r="O303" s="20"/>
      <c r="P303" s="20"/>
      <c r="Q303" s="20"/>
      <c r="R303" s="20"/>
      <c r="S303" s="20"/>
      <c r="T303" s="20"/>
      <c r="U303" s="20"/>
      <c r="V303" s="20"/>
      <c r="W303" s="20"/>
      <c r="X303" s="20"/>
      <c r="Y303" s="20"/>
      <c r="Z303" s="20"/>
    </row>
    <row r="304" ht="13.5" customHeight="1" spans="1:26">
      <c r="A304" s="20"/>
      <c r="B304" s="20"/>
      <c r="C304" s="20"/>
      <c r="D304" s="20"/>
      <c r="E304" s="20"/>
      <c r="F304" s="20"/>
      <c r="G304" s="20"/>
      <c r="H304" s="20"/>
      <c r="I304" s="20"/>
      <c r="J304" s="20"/>
      <c r="K304" s="20"/>
      <c r="L304" s="20"/>
      <c r="M304" s="20"/>
      <c r="N304" s="20"/>
      <c r="O304" s="20"/>
      <c r="P304" s="20"/>
      <c r="Q304" s="20"/>
      <c r="R304" s="20"/>
      <c r="S304" s="20"/>
      <c r="T304" s="20"/>
      <c r="U304" s="20"/>
      <c r="V304" s="20"/>
      <c r="W304" s="20"/>
      <c r="X304" s="20"/>
      <c r="Y304" s="20"/>
      <c r="Z304" s="20"/>
    </row>
    <row r="305" ht="13.5" customHeight="1" spans="1:26">
      <c r="A305" s="20"/>
      <c r="B305" s="20"/>
      <c r="C305" s="20"/>
      <c r="D305" s="20"/>
      <c r="E305" s="20"/>
      <c r="F305" s="20"/>
      <c r="G305" s="20"/>
      <c r="H305" s="20"/>
      <c r="I305" s="20"/>
      <c r="J305" s="20"/>
      <c r="K305" s="20"/>
      <c r="L305" s="20"/>
      <c r="M305" s="20"/>
      <c r="N305" s="20"/>
      <c r="O305" s="20"/>
      <c r="P305" s="20"/>
      <c r="Q305" s="20"/>
      <c r="R305" s="20"/>
      <c r="S305" s="20"/>
      <c r="T305" s="20"/>
      <c r="U305" s="20"/>
      <c r="V305" s="20"/>
      <c r="W305" s="20"/>
      <c r="X305" s="20"/>
      <c r="Y305" s="20"/>
      <c r="Z305" s="20"/>
    </row>
    <row r="306" ht="13.5" customHeight="1" spans="1:26">
      <c r="A306" s="20"/>
      <c r="B306" s="20"/>
      <c r="C306" s="20"/>
      <c r="D306" s="20"/>
      <c r="E306" s="20"/>
      <c r="F306" s="20"/>
      <c r="G306" s="20"/>
      <c r="H306" s="20"/>
      <c r="I306" s="20"/>
      <c r="J306" s="20"/>
      <c r="K306" s="20"/>
      <c r="L306" s="20"/>
      <c r="M306" s="20"/>
      <c r="N306" s="20"/>
      <c r="O306" s="20"/>
      <c r="P306" s="20"/>
      <c r="Q306" s="20"/>
      <c r="R306" s="20"/>
      <c r="S306" s="20"/>
      <c r="T306" s="20"/>
      <c r="U306" s="20"/>
      <c r="V306" s="20"/>
      <c r="W306" s="20"/>
      <c r="X306" s="20"/>
      <c r="Y306" s="20"/>
      <c r="Z306" s="20"/>
    </row>
    <row r="307" ht="13.5" customHeight="1" spans="1:26">
      <c r="A307" s="20"/>
      <c r="B307" s="20"/>
      <c r="C307" s="20"/>
      <c r="D307" s="20"/>
      <c r="E307" s="20"/>
      <c r="F307" s="20"/>
      <c r="G307" s="20"/>
      <c r="H307" s="20"/>
      <c r="I307" s="20"/>
      <c r="J307" s="20"/>
      <c r="K307" s="20"/>
      <c r="L307" s="20"/>
      <c r="M307" s="20"/>
      <c r="N307" s="20"/>
      <c r="O307" s="20"/>
      <c r="P307" s="20"/>
      <c r="Q307" s="20"/>
      <c r="R307" s="20"/>
      <c r="S307" s="20"/>
      <c r="T307" s="20"/>
      <c r="U307" s="20"/>
      <c r="V307" s="20"/>
      <c r="W307" s="20"/>
      <c r="X307" s="20"/>
      <c r="Y307" s="20"/>
      <c r="Z307" s="20"/>
    </row>
    <row r="308" ht="13.5" customHeight="1" spans="1:26">
      <c r="A308" s="20"/>
      <c r="B308" s="20"/>
      <c r="C308" s="20"/>
      <c r="D308" s="20"/>
      <c r="E308" s="20"/>
      <c r="F308" s="20"/>
      <c r="G308" s="20"/>
      <c r="H308" s="20"/>
      <c r="I308" s="20"/>
      <c r="J308" s="20"/>
      <c r="K308" s="20"/>
      <c r="L308" s="20"/>
      <c r="M308" s="20"/>
      <c r="N308" s="20"/>
      <c r="O308" s="20"/>
      <c r="P308" s="20"/>
      <c r="Q308" s="20"/>
      <c r="R308" s="20"/>
      <c r="S308" s="20"/>
      <c r="T308" s="20"/>
      <c r="U308" s="20"/>
      <c r="V308" s="20"/>
      <c r="W308" s="20"/>
      <c r="X308" s="20"/>
      <c r="Y308" s="20"/>
      <c r="Z308" s="20"/>
    </row>
    <row r="309" ht="13.5" customHeight="1" spans="1:26">
      <c r="A309" s="20"/>
      <c r="B309" s="20"/>
      <c r="C309" s="20"/>
      <c r="D309" s="20"/>
      <c r="E309" s="20"/>
      <c r="F309" s="20"/>
      <c r="G309" s="20"/>
      <c r="H309" s="20"/>
      <c r="I309" s="20"/>
      <c r="J309" s="20"/>
      <c r="K309" s="20"/>
      <c r="L309" s="20"/>
      <c r="M309" s="20"/>
      <c r="N309" s="20"/>
      <c r="O309" s="20"/>
      <c r="P309" s="20"/>
      <c r="Q309" s="20"/>
      <c r="R309" s="20"/>
      <c r="S309" s="20"/>
      <c r="T309" s="20"/>
      <c r="U309" s="20"/>
      <c r="V309" s="20"/>
      <c r="W309" s="20"/>
      <c r="X309" s="20"/>
      <c r="Y309" s="20"/>
      <c r="Z309" s="20"/>
    </row>
    <row r="310" ht="13.5" customHeight="1" spans="1:26">
      <c r="A310" s="20"/>
      <c r="B310" s="20"/>
      <c r="C310" s="20"/>
      <c r="D310" s="20"/>
      <c r="E310" s="20"/>
      <c r="F310" s="20"/>
      <c r="G310" s="20"/>
      <c r="H310" s="20"/>
      <c r="I310" s="20"/>
      <c r="J310" s="20"/>
      <c r="K310" s="20"/>
      <c r="L310" s="20"/>
      <c r="M310" s="20"/>
      <c r="N310" s="20"/>
      <c r="O310" s="20"/>
      <c r="P310" s="20"/>
      <c r="Q310" s="20"/>
      <c r="R310" s="20"/>
      <c r="S310" s="20"/>
      <c r="T310" s="20"/>
      <c r="U310" s="20"/>
      <c r="V310" s="20"/>
      <c r="W310" s="20"/>
      <c r="X310" s="20"/>
      <c r="Y310" s="20"/>
      <c r="Z310" s="20"/>
    </row>
    <row r="311" ht="13.5" customHeight="1" spans="1:26">
      <c r="A311" s="20"/>
      <c r="B311" s="20"/>
      <c r="C311" s="20"/>
      <c r="D311" s="20"/>
      <c r="E311" s="20"/>
      <c r="F311" s="20"/>
      <c r="G311" s="20"/>
      <c r="H311" s="20"/>
      <c r="I311" s="20"/>
      <c r="J311" s="20"/>
      <c r="K311" s="20"/>
      <c r="L311" s="20"/>
      <c r="M311" s="20"/>
      <c r="N311" s="20"/>
      <c r="O311" s="20"/>
      <c r="P311" s="20"/>
      <c r="Q311" s="20"/>
      <c r="R311" s="20"/>
      <c r="S311" s="20"/>
      <c r="T311" s="20"/>
      <c r="U311" s="20"/>
      <c r="V311" s="20"/>
      <c r="W311" s="20"/>
      <c r="X311" s="20"/>
      <c r="Y311" s="20"/>
      <c r="Z311" s="20"/>
    </row>
    <row r="312" ht="13.5" customHeight="1" spans="1:26">
      <c r="A312" s="20"/>
      <c r="B312" s="20"/>
      <c r="C312" s="20"/>
      <c r="D312" s="20"/>
      <c r="E312" s="20"/>
      <c r="F312" s="20"/>
      <c r="G312" s="20"/>
      <c r="H312" s="20"/>
      <c r="I312" s="20"/>
      <c r="J312" s="20"/>
      <c r="K312" s="20"/>
      <c r="L312" s="20"/>
      <c r="M312" s="20"/>
      <c r="N312" s="20"/>
      <c r="O312" s="20"/>
      <c r="P312" s="20"/>
      <c r="Q312" s="20"/>
      <c r="R312" s="20"/>
      <c r="S312" s="20"/>
      <c r="T312" s="20"/>
      <c r="U312" s="20"/>
      <c r="V312" s="20"/>
      <c r="W312" s="20"/>
      <c r="X312" s="20"/>
      <c r="Y312" s="20"/>
      <c r="Z312" s="20"/>
    </row>
    <row r="313" ht="13.5" customHeight="1" spans="1:26">
      <c r="A313" s="20"/>
      <c r="B313" s="20"/>
      <c r="C313" s="20"/>
      <c r="D313" s="20"/>
      <c r="E313" s="20"/>
      <c r="F313" s="20"/>
      <c r="G313" s="20"/>
      <c r="H313" s="20"/>
      <c r="I313" s="20"/>
      <c r="J313" s="20"/>
      <c r="K313" s="20"/>
      <c r="L313" s="20"/>
      <c r="M313" s="20"/>
      <c r="N313" s="20"/>
      <c r="O313" s="20"/>
      <c r="P313" s="20"/>
      <c r="Q313" s="20"/>
      <c r="R313" s="20"/>
      <c r="S313" s="20"/>
      <c r="T313" s="20"/>
      <c r="U313" s="20"/>
      <c r="V313" s="20"/>
      <c r="W313" s="20"/>
      <c r="X313" s="20"/>
      <c r="Y313" s="20"/>
      <c r="Z313" s="20"/>
    </row>
    <row r="314" ht="13.5" customHeight="1" spans="1:26">
      <c r="A314" s="20"/>
      <c r="B314" s="20"/>
      <c r="C314" s="20"/>
      <c r="D314" s="20"/>
      <c r="E314" s="20"/>
      <c r="F314" s="20"/>
      <c r="G314" s="20"/>
      <c r="H314" s="20"/>
      <c r="I314" s="20"/>
      <c r="J314" s="20"/>
      <c r="K314" s="20"/>
      <c r="L314" s="20"/>
      <c r="M314" s="20"/>
      <c r="N314" s="20"/>
      <c r="O314" s="20"/>
      <c r="P314" s="20"/>
      <c r="Q314" s="20"/>
      <c r="R314" s="20"/>
      <c r="S314" s="20"/>
      <c r="T314" s="20"/>
      <c r="U314" s="20"/>
      <c r="V314" s="20"/>
      <c r="W314" s="20"/>
      <c r="X314" s="20"/>
      <c r="Y314" s="20"/>
      <c r="Z314" s="20"/>
    </row>
    <row r="315" ht="13.5" customHeight="1" spans="1:26">
      <c r="A315" s="20"/>
      <c r="B315" s="20"/>
      <c r="C315" s="20"/>
      <c r="D315" s="20"/>
      <c r="E315" s="20"/>
      <c r="F315" s="20"/>
      <c r="G315" s="20"/>
      <c r="H315" s="20"/>
      <c r="I315" s="20"/>
      <c r="J315" s="20"/>
      <c r="K315" s="20"/>
      <c r="L315" s="20"/>
      <c r="M315" s="20"/>
      <c r="N315" s="20"/>
      <c r="O315" s="20"/>
      <c r="P315" s="20"/>
      <c r="Q315" s="20"/>
      <c r="R315" s="20"/>
      <c r="S315" s="20"/>
      <c r="T315" s="20"/>
      <c r="U315" s="20"/>
      <c r="V315" s="20"/>
      <c r="W315" s="20"/>
      <c r="X315" s="20"/>
      <c r="Y315" s="20"/>
      <c r="Z315" s="20"/>
    </row>
    <row r="316" ht="13.5" customHeight="1" spans="1:26">
      <c r="A316" s="20"/>
      <c r="B316" s="20"/>
      <c r="C316" s="20"/>
      <c r="D316" s="20"/>
      <c r="E316" s="20"/>
      <c r="F316" s="20"/>
      <c r="G316" s="20"/>
      <c r="H316" s="20"/>
      <c r="I316" s="20"/>
      <c r="J316" s="20"/>
      <c r="K316" s="20"/>
      <c r="L316" s="20"/>
      <c r="M316" s="20"/>
      <c r="N316" s="20"/>
      <c r="O316" s="20"/>
      <c r="P316" s="20"/>
      <c r="Q316" s="20"/>
      <c r="R316" s="20"/>
      <c r="S316" s="20"/>
      <c r="T316" s="20"/>
      <c r="U316" s="20"/>
      <c r="V316" s="20"/>
      <c r="W316" s="20"/>
      <c r="X316" s="20"/>
      <c r="Y316" s="20"/>
      <c r="Z316" s="20"/>
    </row>
    <row r="317" ht="13.5" customHeight="1" spans="1:26">
      <c r="A317" s="20"/>
      <c r="B317" s="20"/>
      <c r="C317" s="20"/>
      <c r="D317" s="20"/>
      <c r="E317" s="20"/>
      <c r="F317" s="20"/>
      <c r="G317" s="20"/>
      <c r="H317" s="20"/>
      <c r="I317" s="20"/>
      <c r="J317" s="20"/>
      <c r="K317" s="20"/>
      <c r="L317" s="20"/>
      <c r="M317" s="20"/>
      <c r="N317" s="20"/>
      <c r="O317" s="20"/>
      <c r="P317" s="20"/>
      <c r="Q317" s="20"/>
      <c r="R317" s="20"/>
      <c r="S317" s="20"/>
      <c r="T317" s="20"/>
      <c r="U317" s="20"/>
      <c r="V317" s="20"/>
      <c r="W317" s="20"/>
      <c r="X317" s="20"/>
      <c r="Y317" s="20"/>
      <c r="Z317" s="20"/>
    </row>
    <row r="318" ht="13.5" customHeight="1" spans="1:26">
      <c r="A318" s="20"/>
      <c r="B318" s="20"/>
      <c r="C318" s="20"/>
      <c r="D318" s="20"/>
      <c r="E318" s="20"/>
      <c r="F318" s="20"/>
      <c r="G318" s="20"/>
      <c r="H318" s="20"/>
      <c r="I318" s="20"/>
      <c r="J318" s="20"/>
      <c r="K318" s="20"/>
      <c r="L318" s="20"/>
      <c r="M318" s="20"/>
      <c r="N318" s="20"/>
      <c r="O318" s="20"/>
      <c r="P318" s="20"/>
      <c r="Q318" s="20"/>
      <c r="R318" s="20"/>
      <c r="S318" s="20"/>
      <c r="T318" s="20"/>
      <c r="U318" s="20"/>
      <c r="V318" s="20"/>
      <c r="W318" s="20"/>
      <c r="X318" s="20"/>
      <c r="Y318" s="20"/>
      <c r="Z318" s="20"/>
    </row>
    <row r="319" ht="13.5" customHeight="1" spans="1:26">
      <c r="A319" s="20"/>
      <c r="B319" s="20"/>
      <c r="C319" s="20"/>
      <c r="D319" s="20"/>
      <c r="E319" s="20"/>
      <c r="F319" s="20"/>
      <c r="G319" s="20"/>
      <c r="H319" s="20"/>
      <c r="I319" s="20"/>
      <c r="J319" s="20"/>
      <c r="K319" s="20"/>
      <c r="L319" s="20"/>
      <c r="M319" s="20"/>
      <c r="N319" s="20"/>
      <c r="O319" s="20"/>
      <c r="P319" s="20"/>
      <c r="Q319" s="20"/>
      <c r="R319" s="20"/>
      <c r="S319" s="20"/>
      <c r="T319" s="20"/>
      <c r="U319" s="20"/>
      <c r="V319" s="20"/>
      <c r="W319" s="20"/>
      <c r="X319" s="20"/>
      <c r="Y319" s="20"/>
      <c r="Z319" s="20"/>
    </row>
    <row r="320" ht="13.5" customHeight="1" spans="1:26">
      <c r="A320" s="20"/>
      <c r="B320" s="20"/>
      <c r="C320" s="20"/>
      <c r="D320" s="20"/>
      <c r="E320" s="20"/>
      <c r="F320" s="20"/>
      <c r="G320" s="20"/>
      <c r="H320" s="20"/>
      <c r="I320" s="20"/>
      <c r="J320" s="20"/>
      <c r="K320" s="20"/>
      <c r="L320" s="20"/>
      <c r="M320" s="20"/>
      <c r="N320" s="20"/>
      <c r="O320" s="20"/>
      <c r="P320" s="20"/>
      <c r="Q320" s="20"/>
      <c r="R320" s="20"/>
      <c r="S320" s="20"/>
      <c r="T320" s="20"/>
      <c r="U320" s="20"/>
      <c r="V320" s="20"/>
      <c r="W320" s="20"/>
      <c r="X320" s="20"/>
      <c r="Y320" s="20"/>
      <c r="Z320" s="20"/>
    </row>
    <row r="321" ht="13.5" customHeight="1" spans="1:26">
      <c r="A321" s="20"/>
      <c r="B321" s="20"/>
      <c r="C321" s="20"/>
      <c r="D321" s="20"/>
      <c r="E321" s="20"/>
      <c r="F321" s="20"/>
      <c r="G321" s="20"/>
      <c r="H321" s="20"/>
      <c r="I321" s="20"/>
      <c r="J321" s="20"/>
      <c r="K321" s="20"/>
      <c r="L321" s="20"/>
      <c r="M321" s="20"/>
      <c r="N321" s="20"/>
      <c r="O321" s="20"/>
      <c r="P321" s="20"/>
      <c r="Q321" s="20"/>
      <c r="R321" s="20"/>
      <c r="S321" s="20"/>
      <c r="T321" s="20"/>
      <c r="U321" s="20"/>
      <c r="V321" s="20"/>
      <c r="W321" s="20"/>
      <c r="X321" s="20"/>
      <c r="Y321" s="20"/>
      <c r="Z321" s="20"/>
    </row>
    <row r="322" ht="13.5" customHeight="1" spans="1:26">
      <c r="A322" s="20"/>
      <c r="B322" s="20"/>
      <c r="C322" s="20"/>
      <c r="D322" s="20"/>
      <c r="E322" s="20"/>
      <c r="F322" s="20"/>
      <c r="G322" s="20"/>
      <c r="H322" s="20"/>
      <c r="I322" s="20"/>
      <c r="J322" s="20"/>
      <c r="K322" s="20"/>
      <c r="L322" s="20"/>
      <c r="M322" s="20"/>
      <c r="N322" s="20"/>
      <c r="O322" s="20"/>
      <c r="P322" s="20"/>
      <c r="Q322" s="20"/>
      <c r="R322" s="20"/>
      <c r="S322" s="20"/>
      <c r="T322" s="20"/>
      <c r="U322" s="20"/>
      <c r="V322" s="20"/>
      <c r="W322" s="20"/>
      <c r="X322" s="20"/>
      <c r="Y322" s="20"/>
      <c r="Z322" s="20"/>
    </row>
    <row r="323" ht="13.5" customHeight="1" spans="1:26">
      <c r="A323" s="20"/>
      <c r="B323" s="20"/>
      <c r="C323" s="20"/>
      <c r="D323" s="20"/>
      <c r="E323" s="20"/>
      <c r="F323" s="20"/>
      <c r="G323" s="20"/>
      <c r="H323" s="20"/>
      <c r="I323" s="20"/>
      <c r="J323" s="20"/>
      <c r="K323" s="20"/>
      <c r="L323" s="20"/>
      <c r="M323" s="20"/>
      <c r="N323" s="20"/>
      <c r="O323" s="20"/>
      <c r="P323" s="20"/>
      <c r="Q323" s="20"/>
      <c r="R323" s="20"/>
      <c r="S323" s="20"/>
      <c r="T323" s="20"/>
      <c r="U323" s="20"/>
      <c r="V323" s="20"/>
      <c r="W323" s="20"/>
      <c r="X323" s="20"/>
      <c r="Y323" s="20"/>
      <c r="Z323" s="20"/>
    </row>
    <row r="324" ht="13.5" customHeight="1" spans="1:26">
      <c r="A324" s="20"/>
      <c r="B324" s="20"/>
      <c r="C324" s="20"/>
      <c r="D324" s="20"/>
      <c r="E324" s="20"/>
      <c r="F324" s="20"/>
      <c r="G324" s="20"/>
      <c r="H324" s="20"/>
      <c r="I324" s="20"/>
      <c r="J324" s="20"/>
      <c r="K324" s="20"/>
      <c r="L324" s="20"/>
      <c r="M324" s="20"/>
      <c r="N324" s="20"/>
      <c r="O324" s="20"/>
      <c r="P324" s="20"/>
      <c r="Q324" s="20"/>
      <c r="R324" s="20"/>
      <c r="S324" s="20"/>
      <c r="T324" s="20"/>
      <c r="U324" s="20"/>
      <c r="V324" s="20"/>
      <c r="W324" s="20"/>
      <c r="X324" s="20"/>
      <c r="Y324" s="20"/>
      <c r="Z324" s="20"/>
    </row>
    <row r="325" ht="13.5" customHeight="1" spans="1:26">
      <c r="A325" s="20"/>
      <c r="B325" s="20"/>
      <c r="C325" s="20"/>
      <c r="D325" s="20"/>
      <c r="E325" s="20"/>
      <c r="F325" s="20"/>
      <c r="G325" s="20"/>
      <c r="H325" s="20"/>
      <c r="I325" s="20"/>
      <c r="J325" s="20"/>
      <c r="K325" s="20"/>
      <c r="L325" s="20"/>
      <c r="M325" s="20"/>
      <c r="N325" s="20"/>
      <c r="O325" s="20"/>
      <c r="P325" s="20"/>
      <c r="Q325" s="20"/>
      <c r="R325" s="20"/>
      <c r="S325" s="20"/>
      <c r="T325" s="20"/>
      <c r="U325" s="20"/>
      <c r="V325" s="20"/>
      <c r="W325" s="20"/>
      <c r="X325" s="20"/>
      <c r="Y325" s="20"/>
      <c r="Z325" s="20"/>
    </row>
    <row r="326" ht="13.5" customHeight="1" spans="1:26">
      <c r="A326" s="20"/>
      <c r="B326" s="20"/>
      <c r="C326" s="20"/>
      <c r="D326" s="20"/>
      <c r="E326" s="20"/>
      <c r="F326" s="20"/>
      <c r="G326" s="20"/>
      <c r="H326" s="20"/>
      <c r="I326" s="20"/>
      <c r="J326" s="20"/>
      <c r="K326" s="20"/>
      <c r="L326" s="20"/>
      <c r="M326" s="20"/>
      <c r="N326" s="20"/>
      <c r="O326" s="20"/>
      <c r="P326" s="20"/>
      <c r="Q326" s="20"/>
      <c r="R326" s="20"/>
      <c r="S326" s="20"/>
      <c r="T326" s="20"/>
      <c r="U326" s="20"/>
      <c r="V326" s="20"/>
      <c r="W326" s="20"/>
      <c r="X326" s="20"/>
      <c r="Y326" s="20"/>
      <c r="Z326" s="20"/>
    </row>
    <row r="327" ht="13.5" customHeight="1" spans="1:26">
      <c r="A327" s="20"/>
      <c r="B327" s="20"/>
      <c r="C327" s="20"/>
      <c r="D327" s="20"/>
      <c r="E327" s="20"/>
      <c r="F327" s="20"/>
      <c r="G327" s="20"/>
      <c r="H327" s="20"/>
      <c r="I327" s="20"/>
      <c r="J327" s="20"/>
      <c r="K327" s="20"/>
      <c r="L327" s="20"/>
      <c r="M327" s="20"/>
      <c r="N327" s="20"/>
      <c r="O327" s="20"/>
      <c r="P327" s="20"/>
      <c r="Q327" s="20"/>
      <c r="R327" s="20"/>
      <c r="S327" s="20"/>
      <c r="T327" s="20"/>
      <c r="U327" s="20"/>
      <c r="V327" s="20"/>
      <c r="W327" s="20"/>
      <c r="X327" s="20"/>
      <c r="Y327" s="20"/>
      <c r="Z327" s="20"/>
    </row>
    <row r="328" ht="13.5" customHeight="1" spans="1:26">
      <c r="A328" s="2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row>
    <row r="329" ht="13.5" customHeight="1" spans="1:26">
      <c r="A329" s="2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row>
    <row r="330" ht="13.5" customHeight="1" spans="1:26">
      <c r="A330" s="20"/>
      <c r="B330" s="20"/>
      <c r="C330" s="20"/>
      <c r="D330" s="20"/>
      <c r="E330" s="20"/>
      <c r="F330" s="20"/>
      <c r="G330" s="20"/>
      <c r="H330" s="20"/>
      <c r="I330" s="20"/>
      <c r="J330" s="20"/>
      <c r="K330" s="20"/>
      <c r="L330" s="20"/>
      <c r="M330" s="20"/>
      <c r="N330" s="20"/>
      <c r="O330" s="20"/>
      <c r="P330" s="20"/>
      <c r="Q330" s="20"/>
      <c r="R330" s="20"/>
      <c r="S330" s="20"/>
      <c r="T330" s="20"/>
      <c r="U330" s="20"/>
      <c r="V330" s="20"/>
      <c r="W330" s="20"/>
      <c r="X330" s="20"/>
      <c r="Y330" s="20"/>
      <c r="Z330" s="20"/>
    </row>
    <row r="331" ht="13.5" customHeight="1" spans="1:26">
      <c r="A331" s="20"/>
      <c r="B331" s="20"/>
      <c r="C331" s="20"/>
      <c r="D331" s="20"/>
      <c r="E331" s="20"/>
      <c r="F331" s="20"/>
      <c r="G331" s="20"/>
      <c r="H331" s="20"/>
      <c r="I331" s="20"/>
      <c r="J331" s="20"/>
      <c r="K331" s="20"/>
      <c r="L331" s="20"/>
      <c r="M331" s="20"/>
      <c r="N331" s="20"/>
      <c r="O331" s="20"/>
      <c r="P331" s="20"/>
      <c r="Q331" s="20"/>
      <c r="R331" s="20"/>
      <c r="S331" s="20"/>
      <c r="T331" s="20"/>
      <c r="U331" s="20"/>
      <c r="V331" s="20"/>
      <c r="W331" s="20"/>
      <c r="X331" s="20"/>
      <c r="Y331" s="20"/>
      <c r="Z331" s="20"/>
    </row>
    <row r="332" ht="13.5" customHeight="1" spans="1:26">
      <c r="A332" s="20"/>
      <c r="B332" s="20"/>
      <c r="C332" s="20"/>
      <c r="D332" s="20"/>
      <c r="E332" s="20"/>
      <c r="F332" s="20"/>
      <c r="G332" s="20"/>
      <c r="H332" s="20"/>
      <c r="I332" s="20"/>
      <c r="J332" s="20"/>
      <c r="K332" s="20"/>
      <c r="L332" s="20"/>
      <c r="M332" s="20"/>
      <c r="N332" s="20"/>
      <c r="O332" s="20"/>
      <c r="P332" s="20"/>
      <c r="Q332" s="20"/>
      <c r="R332" s="20"/>
      <c r="S332" s="20"/>
      <c r="T332" s="20"/>
      <c r="U332" s="20"/>
      <c r="V332" s="20"/>
      <c r="W332" s="20"/>
      <c r="X332" s="20"/>
      <c r="Y332" s="20"/>
      <c r="Z332" s="20"/>
    </row>
    <row r="333" ht="13.5" customHeight="1" spans="1:26">
      <c r="A333" s="20"/>
      <c r="B333" s="20"/>
      <c r="C333" s="20"/>
      <c r="D333" s="20"/>
      <c r="E333" s="20"/>
      <c r="F333" s="20"/>
      <c r="G333" s="20"/>
      <c r="H333" s="20"/>
      <c r="I333" s="20"/>
      <c r="J333" s="20"/>
      <c r="K333" s="20"/>
      <c r="L333" s="20"/>
      <c r="M333" s="20"/>
      <c r="N333" s="20"/>
      <c r="O333" s="20"/>
      <c r="P333" s="20"/>
      <c r="Q333" s="20"/>
      <c r="R333" s="20"/>
      <c r="S333" s="20"/>
      <c r="T333" s="20"/>
      <c r="U333" s="20"/>
      <c r="V333" s="20"/>
      <c r="W333" s="20"/>
      <c r="X333" s="20"/>
      <c r="Y333" s="20"/>
      <c r="Z333" s="20"/>
    </row>
    <row r="334" ht="13.5" customHeight="1" spans="1:26">
      <c r="A334" s="20"/>
      <c r="B334" s="20"/>
      <c r="C334" s="20"/>
      <c r="D334" s="20"/>
      <c r="E334" s="20"/>
      <c r="F334" s="20"/>
      <c r="G334" s="20"/>
      <c r="H334" s="20"/>
      <c r="I334" s="20"/>
      <c r="J334" s="20"/>
      <c r="K334" s="20"/>
      <c r="L334" s="20"/>
      <c r="M334" s="20"/>
      <c r="N334" s="20"/>
      <c r="O334" s="20"/>
      <c r="P334" s="20"/>
      <c r="Q334" s="20"/>
      <c r="R334" s="20"/>
      <c r="S334" s="20"/>
      <c r="T334" s="20"/>
      <c r="U334" s="20"/>
      <c r="V334" s="20"/>
      <c r="W334" s="20"/>
      <c r="X334" s="20"/>
      <c r="Y334" s="20"/>
      <c r="Z334" s="20"/>
    </row>
    <row r="335" ht="13.5" customHeight="1" spans="1:26">
      <c r="A335" s="20"/>
      <c r="B335" s="20"/>
      <c r="C335" s="20"/>
      <c r="D335" s="20"/>
      <c r="E335" s="20"/>
      <c r="F335" s="20"/>
      <c r="G335" s="20"/>
      <c r="H335" s="20"/>
      <c r="I335" s="20"/>
      <c r="J335" s="20"/>
      <c r="K335" s="20"/>
      <c r="L335" s="20"/>
      <c r="M335" s="20"/>
      <c r="N335" s="20"/>
      <c r="O335" s="20"/>
      <c r="P335" s="20"/>
      <c r="Q335" s="20"/>
      <c r="R335" s="20"/>
      <c r="S335" s="20"/>
      <c r="T335" s="20"/>
      <c r="U335" s="20"/>
      <c r="V335" s="20"/>
      <c r="W335" s="20"/>
      <c r="X335" s="20"/>
      <c r="Y335" s="20"/>
      <c r="Z335" s="20"/>
    </row>
    <row r="336" ht="13.5" customHeight="1" spans="1:26">
      <c r="A336" s="20"/>
      <c r="B336" s="20"/>
      <c r="C336" s="20"/>
      <c r="D336" s="20"/>
      <c r="E336" s="20"/>
      <c r="F336" s="20"/>
      <c r="G336" s="20"/>
      <c r="H336" s="20"/>
      <c r="I336" s="20"/>
      <c r="J336" s="20"/>
      <c r="K336" s="20"/>
      <c r="L336" s="20"/>
      <c r="M336" s="20"/>
      <c r="N336" s="20"/>
      <c r="O336" s="20"/>
      <c r="P336" s="20"/>
      <c r="Q336" s="20"/>
      <c r="R336" s="20"/>
      <c r="S336" s="20"/>
      <c r="T336" s="20"/>
      <c r="U336" s="20"/>
      <c r="V336" s="20"/>
      <c r="W336" s="20"/>
      <c r="X336" s="20"/>
      <c r="Y336" s="20"/>
      <c r="Z336" s="20"/>
    </row>
    <row r="337" ht="13.5" customHeight="1" spans="1:26">
      <c r="A337" s="20"/>
      <c r="B337" s="20"/>
      <c r="C337" s="20"/>
      <c r="D337" s="20"/>
      <c r="E337" s="20"/>
      <c r="F337" s="20"/>
      <c r="G337" s="20"/>
      <c r="H337" s="20"/>
      <c r="I337" s="20"/>
      <c r="J337" s="20"/>
      <c r="K337" s="20"/>
      <c r="L337" s="20"/>
      <c r="M337" s="20"/>
      <c r="N337" s="20"/>
      <c r="O337" s="20"/>
      <c r="P337" s="20"/>
      <c r="Q337" s="20"/>
      <c r="R337" s="20"/>
      <c r="S337" s="20"/>
      <c r="T337" s="20"/>
      <c r="U337" s="20"/>
      <c r="V337" s="20"/>
      <c r="W337" s="20"/>
      <c r="X337" s="20"/>
      <c r="Y337" s="20"/>
      <c r="Z337" s="20"/>
    </row>
    <row r="338" ht="13.5" customHeight="1" spans="1:26">
      <c r="A338" s="20"/>
      <c r="B338" s="20"/>
      <c r="C338" s="20"/>
      <c r="D338" s="20"/>
      <c r="E338" s="20"/>
      <c r="F338" s="20"/>
      <c r="G338" s="20"/>
      <c r="H338" s="20"/>
      <c r="I338" s="20"/>
      <c r="J338" s="20"/>
      <c r="K338" s="20"/>
      <c r="L338" s="20"/>
      <c r="M338" s="20"/>
      <c r="N338" s="20"/>
      <c r="O338" s="20"/>
      <c r="P338" s="20"/>
      <c r="Q338" s="20"/>
      <c r="R338" s="20"/>
      <c r="S338" s="20"/>
      <c r="T338" s="20"/>
      <c r="U338" s="20"/>
      <c r="V338" s="20"/>
      <c r="W338" s="20"/>
      <c r="X338" s="20"/>
      <c r="Y338" s="20"/>
      <c r="Z338" s="20"/>
    </row>
    <row r="339" ht="13.5" customHeight="1" spans="1:26">
      <c r="A339" s="20"/>
      <c r="B339" s="20"/>
      <c r="C339" s="20"/>
      <c r="D339" s="20"/>
      <c r="E339" s="20"/>
      <c r="F339" s="20"/>
      <c r="G339" s="20"/>
      <c r="H339" s="20"/>
      <c r="I339" s="20"/>
      <c r="J339" s="20"/>
      <c r="K339" s="20"/>
      <c r="L339" s="20"/>
      <c r="M339" s="20"/>
      <c r="N339" s="20"/>
      <c r="O339" s="20"/>
      <c r="P339" s="20"/>
      <c r="Q339" s="20"/>
      <c r="R339" s="20"/>
      <c r="S339" s="20"/>
      <c r="T339" s="20"/>
      <c r="U339" s="20"/>
      <c r="V339" s="20"/>
      <c r="W339" s="20"/>
      <c r="X339" s="20"/>
      <c r="Y339" s="20"/>
      <c r="Z339" s="20"/>
    </row>
    <row r="340" ht="13.5" customHeight="1" spans="1:26">
      <c r="A340" s="20"/>
      <c r="B340" s="20"/>
      <c r="C340" s="20"/>
      <c r="D340" s="20"/>
      <c r="E340" s="20"/>
      <c r="F340" s="20"/>
      <c r="G340" s="20"/>
      <c r="H340" s="20"/>
      <c r="I340" s="20"/>
      <c r="J340" s="20"/>
      <c r="K340" s="20"/>
      <c r="L340" s="20"/>
      <c r="M340" s="20"/>
      <c r="N340" s="20"/>
      <c r="O340" s="20"/>
      <c r="P340" s="20"/>
      <c r="Q340" s="20"/>
      <c r="R340" s="20"/>
      <c r="S340" s="20"/>
      <c r="T340" s="20"/>
      <c r="U340" s="20"/>
      <c r="V340" s="20"/>
      <c r="W340" s="20"/>
      <c r="X340" s="20"/>
      <c r="Y340" s="20"/>
      <c r="Z340" s="20"/>
    </row>
    <row r="341" ht="13.5" customHeight="1" spans="1:26">
      <c r="A341" s="20"/>
      <c r="B341" s="20"/>
      <c r="C341" s="20"/>
      <c r="D341" s="20"/>
      <c r="E341" s="20"/>
      <c r="F341" s="20"/>
      <c r="G341" s="20"/>
      <c r="H341" s="20"/>
      <c r="I341" s="20"/>
      <c r="J341" s="20"/>
      <c r="K341" s="20"/>
      <c r="L341" s="20"/>
      <c r="M341" s="20"/>
      <c r="N341" s="20"/>
      <c r="O341" s="20"/>
      <c r="P341" s="20"/>
      <c r="Q341" s="20"/>
      <c r="R341" s="20"/>
      <c r="S341" s="20"/>
      <c r="T341" s="20"/>
      <c r="U341" s="20"/>
      <c r="V341" s="20"/>
      <c r="W341" s="20"/>
      <c r="X341" s="20"/>
      <c r="Y341" s="20"/>
      <c r="Z341" s="20"/>
    </row>
    <row r="342" ht="13.5" customHeight="1" spans="1:26">
      <c r="A342" s="20"/>
      <c r="B342" s="20"/>
      <c r="C342" s="20"/>
      <c r="D342" s="20"/>
      <c r="E342" s="20"/>
      <c r="F342" s="20"/>
      <c r="G342" s="20"/>
      <c r="H342" s="20"/>
      <c r="I342" s="20"/>
      <c r="J342" s="20"/>
      <c r="K342" s="20"/>
      <c r="L342" s="20"/>
      <c r="M342" s="20"/>
      <c r="N342" s="20"/>
      <c r="O342" s="20"/>
      <c r="P342" s="20"/>
      <c r="Q342" s="20"/>
      <c r="R342" s="20"/>
      <c r="S342" s="20"/>
      <c r="T342" s="20"/>
      <c r="U342" s="20"/>
      <c r="V342" s="20"/>
      <c r="W342" s="20"/>
      <c r="X342" s="20"/>
      <c r="Y342" s="20"/>
      <c r="Z342" s="20"/>
    </row>
    <row r="343" ht="13.5" customHeight="1" spans="1:26">
      <c r="A343" s="20"/>
      <c r="B343" s="20"/>
      <c r="C343" s="20"/>
      <c r="D343" s="20"/>
      <c r="E343" s="20"/>
      <c r="F343" s="20"/>
      <c r="G343" s="20"/>
      <c r="H343" s="20"/>
      <c r="I343" s="20"/>
      <c r="J343" s="20"/>
      <c r="K343" s="20"/>
      <c r="L343" s="20"/>
      <c r="M343" s="20"/>
      <c r="N343" s="20"/>
      <c r="O343" s="20"/>
      <c r="P343" s="20"/>
      <c r="Q343" s="20"/>
      <c r="R343" s="20"/>
      <c r="S343" s="20"/>
      <c r="T343" s="20"/>
      <c r="U343" s="20"/>
      <c r="V343" s="20"/>
      <c r="W343" s="20"/>
      <c r="X343" s="20"/>
      <c r="Y343" s="20"/>
      <c r="Z343" s="20"/>
    </row>
    <row r="344" ht="13.5" customHeight="1" spans="1:26">
      <c r="A344" s="20"/>
      <c r="B344" s="20"/>
      <c r="C344" s="20"/>
      <c r="D344" s="20"/>
      <c r="E344" s="20"/>
      <c r="F344" s="20"/>
      <c r="G344" s="20"/>
      <c r="H344" s="20"/>
      <c r="I344" s="20"/>
      <c r="J344" s="20"/>
      <c r="K344" s="20"/>
      <c r="L344" s="20"/>
      <c r="M344" s="20"/>
      <c r="N344" s="20"/>
      <c r="O344" s="20"/>
      <c r="P344" s="20"/>
      <c r="Q344" s="20"/>
      <c r="R344" s="20"/>
      <c r="S344" s="20"/>
      <c r="T344" s="20"/>
      <c r="U344" s="20"/>
      <c r="V344" s="20"/>
      <c r="W344" s="20"/>
      <c r="X344" s="20"/>
      <c r="Y344" s="20"/>
      <c r="Z344" s="20"/>
    </row>
    <row r="345" ht="13.5" customHeight="1" spans="1:26">
      <c r="A345" s="20"/>
      <c r="B345" s="20"/>
      <c r="C345" s="20"/>
      <c r="D345" s="20"/>
      <c r="E345" s="20"/>
      <c r="F345" s="20"/>
      <c r="G345" s="20"/>
      <c r="H345" s="20"/>
      <c r="I345" s="20"/>
      <c r="J345" s="20"/>
      <c r="K345" s="20"/>
      <c r="L345" s="20"/>
      <c r="M345" s="20"/>
      <c r="N345" s="20"/>
      <c r="O345" s="20"/>
      <c r="P345" s="20"/>
      <c r="Q345" s="20"/>
      <c r="R345" s="20"/>
      <c r="S345" s="20"/>
      <c r="T345" s="20"/>
      <c r="U345" s="20"/>
      <c r="V345" s="20"/>
      <c r="W345" s="20"/>
      <c r="X345" s="20"/>
      <c r="Y345" s="20"/>
      <c r="Z345" s="20"/>
    </row>
    <row r="346" ht="13.5" customHeight="1" spans="1:26">
      <c r="A346" s="20"/>
      <c r="B346" s="20"/>
      <c r="C346" s="20"/>
      <c r="D346" s="20"/>
      <c r="E346" s="20"/>
      <c r="F346" s="20"/>
      <c r="G346" s="20"/>
      <c r="H346" s="20"/>
      <c r="I346" s="20"/>
      <c r="J346" s="20"/>
      <c r="K346" s="20"/>
      <c r="L346" s="20"/>
      <c r="M346" s="20"/>
      <c r="N346" s="20"/>
      <c r="O346" s="20"/>
      <c r="P346" s="20"/>
      <c r="Q346" s="20"/>
      <c r="R346" s="20"/>
      <c r="S346" s="20"/>
      <c r="T346" s="20"/>
      <c r="U346" s="20"/>
      <c r="V346" s="20"/>
      <c r="W346" s="20"/>
      <c r="X346" s="20"/>
      <c r="Y346" s="20"/>
      <c r="Z346" s="20"/>
    </row>
    <row r="347" ht="13.5" customHeight="1" spans="1:26">
      <c r="A347" s="20"/>
      <c r="B347" s="20"/>
      <c r="C347" s="20"/>
      <c r="D347" s="20"/>
      <c r="E347" s="20"/>
      <c r="F347" s="20"/>
      <c r="G347" s="20"/>
      <c r="H347" s="20"/>
      <c r="I347" s="20"/>
      <c r="J347" s="20"/>
      <c r="K347" s="20"/>
      <c r="L347" s="20"/>
      <c r="M347" s="20"/>
      <c r="N347" s="20"/>
      <c r="O347" s="20"/>
      <c r="P347" s="20"/>
      <c r="Q347" s="20"/>
      <c r="R347" s="20"/>
      <c r="S347" s="20"/>
      <c r="T347" s="20"/>
      <c r="U347" s="20"/>
      <c r="V347" s="20"/>
      <c r="W347" s="20"/>
      <c r="X347" s="20"/>
      <c r="Y347" s="20"/>
      <c r="Z347" s="20"/>
    </row>
    <row r="348" ht="13.5" customHeight="1" spans="1:26">
      <c r="A348" s="20"/>
      <c r="B348" s="20"/>
      <c r="C348" s="20"/>
      <c r="D348" s="20"/>
      <c r="E348" s="20"/>
      <c r="F348" s="20"/>
      <c r="G348" s="20"/>
      <c r="H348" s="20"/>
      <c r="I348" s="20"/>
      <c r="J348" s="20"/>
      <c r="K348" s="20"/>
      <c r="L348" s="20"/>
      <c r="M348" s="20"/>
      <c r="N348" s="20"/>
      <c r="O348" s="20"/>
      <c r="P348" s="20"/>
      <c r="Q348" s="20"/>
      <c r="R348" s="20"/>
      <c r="S348" s="20"/>
      <c r="T348" s="20"/>
      <c r="U348" s="20"/>
      <c r="V348" s="20"/>
      <c r="W348" s="20"/>
      <c r="X348" s="20"/>
      <c r="Y348" s="20"/>
      <c r="Z348" s="20"/>
    </row>
    <row r="349" ht="13.5" customHeight="1" spans="1:26">
      <c r="A349" s="20"/>
      <c r="B349" s="20"/>
      <c r="C349" s="20"/>
      <c r="D349" s="20"/>
      <c r="E349" s="20"/>
      <c r="F349" s="20"/>
      <c r="G349" s="20"/>
      <c r="H349" s="20"/>
      <c r="I349" s="20"/>
      <c r="J349" s="20"/>
      <c r="K349" s="20"/>
      <c r="L349" s="20"/>
      <c r="M349" s="20"/>
      <c r="N349" s="20"/>
      <c r="O349" s="20"/>
      <c r="P349" s="20"/>
      <c r="Q349" s="20"/>
      <c r="R349" s="20"/>
      <c r="S349" s="20"/>
      <c r="T349" s="20"/>
      <c r="U349" s="20"/>
      <c r="V349" s="20"/>
      <c r="W349" s="20"/>
      <c r="X349" s="20"/>
      <c r="Y349" s="20"/>
      <c r="Z349" s="20"/>
    </row>
    <row r="350" ht="13.5" customHeight="1" spans="1:26">
      <c r="A350" s="20"/>
      <c r="B350" s="20"/>
      <c r="C350" s="20"/>
      <c r="D350" s="20"/>
      <c r="E350" s="20"/>
      <c r="F350" s="20"/>
      <c r="G350" s="20"/>
      <c r="H350" s="20"/>
      <c r="I350" s="20"/>
      <c r="J350" s="20"/>
      <c r="K350" s="20"/>
      <c r="L350" s="20"/>
      <c r="M350" s="20"/>
      <c r="N350" s="20"/>
      <c r="O350" s="20"/>
      <c r="P350" s="20"/>
      <c r="Q350" s="20"/>
      <c r="R350" s="20"/>
      <c r="S350" s="20"/>
      <c r="T350" s="20"/>
      <c r="U350" s="20"/>
      <c r="V350" s="20"/>
      <c r="W350" s="20"/>
      <c r="X350" s="20"/>
      <c r="Y350" s="20"/>
      <c r="Z350" s="20"/>
    </row>
    <row r="351" ht="13.5" customHeight="1" spans="1:26">
      <c r="A351" s="20"/>
      <c r="B351" s="20"/>
      <c r="C351" s="20"/>
      <c r="D351" s="20"/>
      <c r="E351" s="20"/>
      <c r="F351" s="20"/>
      <c r="G351" s="20"/>
      <c r="H351" s="20"/>
      <c r="I351" s="20"/>
      <c r="J351" s="20"/>
      <c r="K351" s="20"/>
      <c r="L351" s="20"/>
      <c r="M351" s="20"/>
      <c r="N351" s="20"/>
      <c r="O351" s="20"/>
      <c r="P351" s="20"/>
      <c r="Q351" s="20"/>
      <c r="R351" s="20"/>
      <c r="S351" s="20"/>
      <c r="T351" s="20"/>
      <c r="U351" s="20"/>
      <c r="V351" s="20"/>
      <c r="W351" s="20"/>
      <c r="X351" s="20"/>
      <c r="Y351" s="20"/>
      <c r="Z351" s="20"/>
    </row>
    <row r="352" ht="13.5" customHeight="1" spans="1:26">
      <c r="A352" s="20"/>
      <c r="B352" s="20"/>
      <c r="C352" s="20"/>
      <c r="D352" s="20"/>
      <c r="E352" s="20"/>
      <c r="F352" s="20"/>
      <c r="G352" s="20"/>
      <c r="H352" s="20"/>
      <c r="I352" s="20"/>
      <c r="J352" s="20"/>
      <c r="K352" s="20"/>
      <c r="L352" s="20"/>
      <c r="M352" s="20"/>
      <c r="N352" s="20"/>
      <c r="O352" s="20"/>
      <c r="P352" s="20"/>
      <c r="Q352" s="20"/>
      <c r="R352" s="20"/>
      <c r="S352" s="20"/>
      <c r="T352" s="20"/>
      <c r="U352" s="20"/>
      <c r="V352" s="20"/>
      <c r="W352" s="20"/>
      <c r="X352" s="20"/>
      <c r="Y352" s="20"/>
      <c r="Z352" s="20"/>
    </row>
    <row r="353" ht="13.5" customHeight="1" spans="1:26">
      <c r="A353" s="20"/>
      <c r="B353" s="20"/>
      <c r="C353" s="20"/>
      <c r="D353" s="20"/>
      <c r="E353" s="20"/>
      <c r="F353" s="20"/>
      <c r="G353" s="20"/>
      <c r="H353" s="20"/>
      <c r="I353" s="20"/>
      <c r="J353" s="20"/>
      <c r="K353" s="20"/>
      <c r="L353" s="20"/>
      <c r="M353" s="20"/>
      <c r="N353" s="20"/>
      <c r="O353" s="20"/>
      <c r="P353" s="20"/>
      <c r="Q353" s="20"/>
      <c r="R353" s="20"/>
      <c r="S353" s="20"/>
      <c r="T353" s="20"/>
      <c r="U353" s="20"/>
      <c r="V353" s="20"/>
      <c r="W353" s="20"/>
      <c r="X353" s="20"/>
      <c r="Y353" s="20"/>
      <c r="Z353" s="20"/>
    </row>
    <row r="354" ht="13.5" customHeight="1" spans="1:26">
      <c r="A354" s="20"/>
      <c r="B354" s="20"/>
      <c r="C354" s="20"/>
      <c r="D354" s="20"/>
      <c r="E354" s="20"/>
      <c r="F354" s="20"/>
      <c r="G354" s="20"/>
      <c r="H354" s="20"/>
      <c r="I354" s="20"/>
      <c r="J354" s="20"/>
      <c r="K354" s="20"/>
      <c r="L354" s="20"/>
      <c r="M354" s="20"/>
      <c r="N354" s="20"/>
      <c r="O354" s="20"/>
      <c r="P354" s="20"/>
      <c r="Q354" s="20"/>
      <c r="R354" s="20"/>
      <c r="S354" s="20"/>
      <c r="T354" s="20"/>
      <c r="U354" s="20"/>
      <c r="V354" s="20"/>
      <c r="W354" s="20"/>
      <c r="X354" s="20"/>
      <c r="Y354" s="20"/>
      <c r="Z354" s="20"/>
    </row>
    <row r="355" ht="13.5" customHeight="1" spans="1:26">
      <c r="A355" s="20"/>
      <c r="B355" s="20"/>
      <c r="C355" s="20"/>
      <c r="D355" s="20"/>
      <c r="E355" s="20"/>
      <c r="F355" s="20"/>
      <c r="G355" s="20"/>
      <c r="H355" s="20"/>
      <c r="I355" s="20"/>
      <c r="J355" s="20"/>
      <c r="K355" s="20"/>
      <c r="L355" s="20"/>
      <c r="M355" s="20"/>
      <c r="N355" s="20"/>
      <c r="O355" s="20"/>
      <c r="P355" s="20"/>
      <c r="Q355" s="20"/>
      <c r="R355" s="20"/>
      <c r="S355" s="20"/>
      <c r="T355" s="20"/>
      <c r="U355" s="20"/>
      <c r="V355" s="20"/>
      <c r="W355" s="20"/>
      <c r="X355" s="20"/>
      <c r="Y355" s="20"/>
      <c r="Z355" s="20"/>
    </row>
    <row r="356" ht="13.5" customHeight="1" spans="1:26">
      <c r="A356" s="20"/>
      <c r="B356" s="20"/>
      <c r="C356" s="20"/>
      <c r="D356" s="20"/>
      <c r="E356" s="20"/>
      <c r="F356" s="20"/>
      <c r="G356" s="20"/>
      <c r="H356" s="20"/>
      <c r="I356" s="20"/>
      <c r="J356" s="20"/>
      <c r="K356" s="20"/>
      <c r="L356" s="20"/>
      <c r="M356" s="20"/>
      <c r="N356" s="20"/>
      <c r="O356" s="20"/>
      <c r="P356" s="20"/>
      <c r="Q356" s="20"/>
      <c r="R356" s="20"/>
      <c r="S356" s="20"/>
      <c r="T356" s="20"/>
      <c r="U356" s="20"/>
      <c r="V356" s="20"/>
      <c r="W356" s="20"/>
      <c r="X356" s="20"/>
      <c r="Y356" s="20"/>
      <c r="Z356" s="20"/>
    </row>
    <row r="357" ht="13.5" customHeight="1" spans="1:26">
      <c r="A357" s="20"/>
      <c r="B357" s="20"/>
      <c r="C357" s="20"/>
      <c r="D357" s="20"/>
      <c r="E357" s="20"/>
      <c r="F357" s="20"/>
      <c r="G357" s="20"/>
      <c r="H357" s="20"/>
      <c r="I357" s="20"/>
      <c r="J357" s="20"/>
      <c r="K357" s="20"/>
      <c r="L357" s="20"/>
      <c r="M357" s="20"/>
      <c r="N357" s="20"/>
      <c r="O357" s="20"/>
      <c r="P357" s="20"/>
      <c r="Q357" s="20"/>
      <c r="R357" s="20"/>
      <c r="S357" s="20"/>
      <c r="T357" s="20"/>
      <c r="U357" s="20"/>
      <c r="V357" s="20"/>
      <c r="W357" s="20"/>
      <c r="X357" s="20"/>
      <c r="Y357" s="20"/>
      <c r="Z357" s="20"/>
    </row>
    <row r="358" ht="13.5" customHeight="1" spans="1:26">
      <c r="A358" s="20"/>
      <c r="B358" s="20"/>
      <c r="C358" s="20"/>
      <c r="D358" s="20"/>
      <c r="E358" s="20"/>
      <c r="F358" s="20"/>
      <c r="G358" s="20"/>
      <c r="H358" s="20"/>
      <c r="I358" s="20"/>
      <c r="J358" s="20"/>
      <c r="K358" s="20"/>
      <c r="L358" s="20"/>
      <c r="M358" s="20"/>
      <c r="N358" s="20"/>
      <c r="O358" s="20"/>
      <c r="P358" s="20"/>
      <c r="Q358" s="20"/>
      <c r="R358" s="20"/>
      <c r="S358" s="20"/>
      <c r="T358" s="20"/>
      <c r="U358" s="20"/>
      <c r="V358" s="20"/>
      <c r="W358" s="20"/>
      <c r="X358" s="20"/>
      <c r="Y358" s="20"/>
      <c r="Z358" s="20"/>
    </row>
    <row r="359" ht="13.5" customHeight="1" spans="1:26">
      <c r="A359" s="20"/>
      <c r="B359" s="20"/>
      <c r="C359" s="20"/>
      <c r="D359" s="20"/>
      <c r="E359" s="20"/>
      <c r="F359" s="20"/>
      <c r="G359" s="20"/>
      <c r="H359" s="20"/>
      <c r="I359" s="20"/>
      <c r="J359" s="20"/>
      <c r="K359" s="20"/>
      <c r="L359" s="20"/>
      <c r="M359" s="20"/>
      <c r="N359" s="20"/>
      <c r="O359" s="20"/>
      <c r="P359" s="20"/>
      <c r="Q359" s="20"/>
      <c r="R359" s="20"/>
      <c r="S359" s="20"/>
      <c r="T359" s="20"/>
      <c r="U359" s="20"/>
      <c r="V359" s="20"/>
      <c r="W359" s="20"/>
      <c r="X359" s="20"/>
      <c r="Y359" s="20"/>
      <c r="Z359" s="20"/>
    </row>
    <row r="360" ht="13.5" customHeight="1" spans="1:26">
      <c r="A360" s="20"/>
      <c r="B360" s="20"/>
      <c r="C360" s="20"/>
      <c r="D360" s="20"/>
      <c r="E360" s="20"/>
      <c r="F360" s="20"/>
      <c r="G360" s="20"/>
      <c r="H360" s="20"/>
      <c r="I360" s="20"/>
      <c r="J360" s="20"/>
      <c r="K360" s="20"/>
      <c r="L360" s="20"/>
      <c r="M360" s="20"/>
      <c r="N360" s="20"/>
      <c r="O360" s="20"/>
      <c r="P360" s="20"/>
      <c r="Q360" s="20"/>
      <c r="R360" s="20"/>
      <c r="S360" s="20"/>
      <c r="T360" s="20"/>
      <c r="U360" s="20"/>
      <c r="V360" s="20"/>
      <c r="W360" s="20"/>
      <c r="X360" s="20"/>
      <c r="Y360" s="20"/>
      <c r="Z360" s="20"/>
    </row>
    <row r="361" ht="13.5" customHeight="1" spans="1:26">
      <c r="A361" s="20"/>
      <c r="B361" s="20"/>
      <c r="C361" s="20"/>
      <c r="D361" s="20"/>
      <c r="E361" s="20"/>
      <c r="F361" s="20"/>
      <c r="G361" s="20"/>
      <c r="H361" s="20"/>
      <c r="I361" s="20"/>
      <c r="J361" s="20"/>
      <c r="K361" s="20"/>
      <c r="L361" s="20"/>
      <c r="M361" s="20"/>
      <c r="N361" s="20"/>
      <c r="O361" s="20"/>
      <c r="P361" s="20"/>
      <c r="Q361" s="20"/>
      <c r="R361" s="20"/>
      <c r="S361" s="20"/>
      <c r="T361" s="20"/>
      <c r="U361" s="20"/>
      <c r="V361" s="20"/>
      <c r="W361" s="20"/>
      <c r="X361" s="20"/>
      <c r="Y361" s="20"/>
      <c r="Z361" s="20"/>
    </row>
    <row r="362" ht="13.5" customHeight="1" spans="1:26">
      <c r="A362" s="20"/>
      <c r="B362" s="20"/>
      <c r="C362" s="20"/>
      <c r="D362" s="20"/>
      <c r="E362" s="20"/>
      <c r="F362" s="20"/>
      <c r="G362" s="20"/>
      <c r="H362" s="20"/>
      <c r="I362" s="20"/>
      <c r="J362" s="20"/>
      <c r="K362" s="20"/>
      <c r="L362" s="20"/>
      <c r="M362" s="20"/>
      <c r="N362" s="20"/>
      <c r="O362" s="20"/>
      <c r="P362" s="20"/>
      <c r="Q362" s="20"/>
      <c r="R362" s="20"/>
      <c r="S362" s="20"/>
      <c r="T362" s="20"/>
      <c r="U362" s="20"/>
      <c r="V362" s="20"/>
      <c r="W362" s="20"/>
      <c r="X362" s="20"/>
      <c r="Y362" s="20"/>
      <c r="Z362" s="20"/>
    </row>
    <row r="363" ht="13.5" customHeight="1" spans="1:26">
      <c r="A363" s="20"/>
      <c r="B363" s="20"/>
      <c r="C363" s="20"/>
      <c r="D363" s="20"/>
      <c r="E363" s="20"/>
      <c r="F363" s="20"/>
      <c r="G363" s="20"/>
      <c r="H363" s="20"/>
      <c r="I363" s="20"/>
      <c r="J363" s="20"/>
      <c r="K363" s="20"/>
      <c r="L363" s="20"/>
      <c r="M363" s="20"/>
      <c r="N363" s="20"/>
      <c r="O363" s="20"/>
      <c r="P363" s="20"/>
      <c r="Q363" s="20"/>
      <c r="R363" s="20"/>
      <c r="S363" s="20"/>
      <c r="T363" s="20"/>
      <c r="U363" s="20"/>
      <c r="V363" s="20"/>
      <c r="W363" s="20"/>
      <c r="X363" s="20"/>
      <c r="Y363" s="20"/>
      <c r="Z363" s="20"/>
    </row>
    <row r="364" ht="13.5" customHeight="1" spans="1:26">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row>
    <row r="365" ht="13.5" customHeight="1" spans="1:26">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row>
    <row r="366" ht="13.5" customHeight="1" spans="1:26">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row>
    <row r="367" ht="13.5" customHeight="1" spans="1:26">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row>
    <row r="368" ht="13.5" customHeight="1" spans="1:26">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row>
    <row r="369" ht="13.5" customHeight="1" spans="1:26">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row>
    <row r="370" ht="13.5" customHeight="1" spans="1:26">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row>
    <row r="371" ht="13.5" customHeight="1" spans="1:26">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row>
    <row r="372" ht="13.5" customHeight="1" spans="1:26">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row>
    <row r="373" ht="13.5" customHeight="1" spans="1:26">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row>
    <row r="374" ht="13.5" customHeight="1" spans="1:26">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row>
    <row r="375" ht="13.5" customHeight="1" spans="1:26">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row>
    <row r="376" ht="13.5" customHeight="1" spans="1:26">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row>
    <row r="377" ht="13.5" customHeight="1" spans="1:26">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row>
    <row r="378" ht="13.5" customHeight="1" spans="1:26">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row>
    <row r="379" ht="13.5" customHeight="1" spans="1:26">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row>
    <row r="380" ht="13.5" customHeight="1" spans="1:26">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row>
    <row r="381" ht="13.5" customHeight="1" spans="1:26">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row>
    <row r="382" ht="13.5" customHeight="1" spans="1:26">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row>
    <row r="383" ht="13.5" customHeight="1" spans="1:26">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row>
    <row r="384" ht="13.5" customHeight="1" spans="1:26">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row>
    <row r="385" ht="13.5" customHeight="1" spans="1:26">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row>
    <row r="386" ht="13.5" customHeight="1" spans="1:26">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row>
    <row r="387" ht="13.5" customHeight="1" spans="1:26">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row>
    <row r="388" ht="13.5" customHeight="1" spans="1:26">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row>
    <row r="389" ht="13.5" customHeight="1" spans="1:26">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row>
    <row r="390" ht="13.5" customHeight="1" spans="1:26">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row>
    <row r="391" ht="13.5" customHeight="1" spans="1:26">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row>
    <row r="392" ht="13.5" customHeight="1" spans="1:26">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row>
    <row r="393" ht="13.5" customHeight="1" spans="1:26">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row>
    <row r="394" ht="13.5" customHeight="1" spans="1:26">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row>
    <row r="395" ht="13.5" customHeight="1" spans="1:26">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row>
    <row r="396" ht="13.5" customHeight="1" spans="1:26">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row>
    <row r="397" ht="13.5" customHeight="1" spans="1:26">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row>
    <row r="398" ht="13.5" customHeight="1" spans="1:26">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row>
    <row r="399" ht="13.5" customHeight="1" spans="1:26">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row>
    <row r="400" ht="13.5" customHeight="1" spans="1:26">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row>
    <row r="401" ht="13.5" customHeight="1" spans="1:26">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row>
    <row r="402" ht="13.5" customHeight="1" spans="1:26">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row>
    <row r="403" ht="13.5" customHeight="1" spans="1:26">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row>
    <row r="404" ht="13.5" customHeight="1" spans="1:26">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row>
    <row r="405" ht="13.5" customHeight="1" spans="1:26">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row>
    <row r="406" ht="13.5" customHeight="1" spans="1:26">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row>
    <row r="407" ht="13.5" customHeight="1" spans="1:26">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row>
    <row r="408" ht="13.5" customHeight="1" spans="1:26">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row>
    <row r="409" ht="13.5" customHeight="1" spans="1:26">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row>
    <row r="410" ht="13.5" customHeight="1" spans="1:26">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row>
    <row r="411" ht="13.5" customHeight="1" spans="1:26">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row>
    <row r="412" ht="13.5" customHeight="1" spans="1:26">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row>
    <row r="413" ht="13.5" customHeight="1" spans="1:26">
      <c r="A413" s="20"/>
      <c r="B413" s="20"/>
      <c r="C413" s="20"/>
      <c r="D413" s="20"/>
      <c r="E413" s="20"/>
      <c r="F413" s="20"/>
      <c r="G413" s="20"/>
      <c r="H413" s="20"/>
      <c r="I413" s="20"/>
      <c r="J413" s="20"/>
      <c r="K413" s="20"/>
      <c r="L413" s="20"/>
      <c r="M413" s="20"/>
      <c r="N413" s="20"/>
      <c r="O413" s="20"/>
      <c r="P413" s="20"/>
      <c r="Q413" s="20"/>
      <c r="R413" s="20"/>
      <c r="S413" s="20"/>
      <c r="T413" s="20"/>
      <c r="U413" s="20"/>
      <c r="V413" s="20"/>
      <c r="W413" s="20"/>
      <c r="X413" s="20"/>
      <c r="Y413" s="20"/>
      <c r="Z413" s="20"/>
    </row>
    <row r="414" ht="13.5" customHeight="1" spans="1:26">
      <c r="A414" s="20"/>
      <c r="B414" s="20"/>
      <c r="C414" s="20"/>
      <c r="D414" s="20"/>
      <c r="E414" s="20"/>
      <c r="F414" s="20"/>
      <c r="G414" s="20"/>
      <c r="H414" s="20"/>
      <c r="I414" s="20"/>
      <c r="J414" s="20"/>
      <c r="K414" s="20"/>
      <c r="L414" s="20"/>
      <c r="M414" s="20"/>
      <c r="N414" s="20"/>
      <c r="O414" s="20"/>
      <c r="P414" s="20"/>
      <c r="Q414" s="20"/>
      <c r="R414" s="20"/>
      <c r="S414" s="20"/>
      <c r="T414" s="20"/>
      <c r="U414" s="20"/>
      <c r="V414" s="20"/>
      <c r="W414" s="20"/>
      <c r="X414" s="20"/>
      <c r="Y414" s="20"/>
      <c r="Z414" s="20"/>
    </row>
    <row r="415" ht="13.5" customHeight="1" spans="1:26">
      <c r="A415" s="20"/>
      <c r="B415" s="20"/>
      <c r="C415" s="20"/>
      <c r="D415" s="20"/>
      <c r="E415" s="20"/>
      <c r="F415" s="20"/>
      <c r="G415" s="20"/>
      <c r="H415" s="20"/>
      <c r="I415" s="20"/>
      <c r="J415" s="20"/>
      <c r="K415" s="20"/>
      <c r="L415" s="20"/>
      <c r="M415" s="20"/>
      <c r="N415" s="20"/>
      <c r="O415" s="20"/>
      <c r="P415" s="20"/>
      <c r="Q415" s="20"/>
      <c r="R415" s="20"/>
      <c r="S415" s="20"/>
      <c r="T415" s="20"/>
      <c r="U415" s="20"/>
      <c r="V415" s="20"/>
      <c r="W415" s="20"/>
      <c r="X415" s="20"/>
      <c r="Y415" s="20"/>
      <c r="Z415" s="20"/>
    </row>
    <row r="416" ht="13.5" customHeight="1" spans="1:26">
      <c r="A416" s="20"/>
      <c r="B416" s="20"/>
      <c r="C416" s="20"/>
      <c r="D416" s="20"/>
      <c r="E416" s="20"/>
      <c r="F416" s="20"/>
      <c r="G416" s="20"/>
      <c r="H416" s="20"/>
      <c r="I416" s="20"/>
      <c r="J416" s="20"/>
      <c r="K416" s="20"/>
      <c r="L416" s="20"/>
      <c r="M416" s="20"/>
      <c r="N416" s="20"/>
      <c r="O416" s="20"/>
      <c r="P416" s="20"/>
      <c r="Q416" s="20"/>
      <c r="R416" s="20"/>
      <c r="S416" s="20"/>
      <c r="T416" s="20"/>
      <c r="U416" s="20"/>
      <c r="V416" s="20"/>
      <c r="W416" s="20"/>
      <c r="X416" s="20"/>
      <c r="Y416" s="20"/>
      <c r="Z416" s="20"/>
    </row>
    <row r="417" ht="13.5" customHeight="1" spans="1:26">
      <c r="A417" s="20"/>
      <c r="B417" s="20"/>
      <c r="C417" s="20"/>
      <c r="D417" s="20"/>
      <c r="E417" s="20"/>
      <c r="F417" s="20"/>
      <c r="G417" s="20"/>
      <c r="H417" s="20"/>
      <c r="I417" s="20"/>
      <c r="J417" s="20"/>
      <c r="K417" s="20"/>
      <c r="L417" s="20"/>
      <c r="M417" s="20"/>
      <c r="N417" s="20"/>
      <c r="O417" s="20"/>
      <c r="P417" s="20"/>
      <c r="Q417" s="20"/>
      <c r="R417" s="20"/>
      <c r="S417" s="20"/>
      <c r="T417" s="20"/>
      <c r="U417" s="20"/>
      <c r="V417" s="20"/>
      <c r="W417" s="20"/>
      <c r="X417" s="20"/>
      <c r="Y417" s="20"/>
      <c r="Z417" s="20"/>
    </row>
    <row r="418" ht="13.5" customHeight="1" spans="1:26">
      <c r="A418" s="20"/>
      <c r="B418" s="20"/>
      <c r="C418" s="20"/>
      <c r="D418" s="20"/>
      <c r="E418" s="20"/>
      <c r="F418" s="20"/>
      <c r="G418" s="20"/>
      <c r="H418" s="20"/>
      <c r="I418" s="20"/>
      <c r="J418" s="20"/>
      <c r="K418" s="20"/>
      <c r="L418" s="20"/>
      <c r="M418" s="20"/>
      <c r="N418" s="20"/>
      <c r="O418" s="20"/>
      <c r="P418" s="20"/>
      <c r="Q418" s="20"/>
      <c r="R418" s="20"/>
      <c r="S418" s="20"/>
      <c r="T418" s="20"/>
      <c r="U418" s="20"/>
      <c r="V418" s="20"/>
      <c r="W418" s="20"/>
      <c r="X418" s="20"/>
      <c r="Y418" s="20"/>
      <c r="Z418" s="20"/>
    </row>
    <row r="419" ht="13.5" customHeight="1" spans="1:26">
      <c r="A419" s="20"/>
      <c r="B419" s="20"/>
      <c r="C419" s="20"/>
      <c r="D419" s="20"/>
      <c r="E419" s="20"/>
      <c r="F419" s="20"/>
      <c r="G419" s="20"/>
      <c r="H419" s="20"/>
      <c r="I419" s="20"/>
      <c r="J419" s="20"/>
      <c r="K419" s="20"/>
      <c r="L419" s="20"/>
      <c r="M419" s="20"/>
      <c r="N419" s="20"/>
      <c r="O419" s="20"/>
      <c r="P419" s="20"/>
      <c r="Q419" s="20"/>
      <c r="R419" s="20"/>
      <c r="S419" s="20"/>
      <c r="T419" s="20"/>
      <c r="U419" s="20"/>
      <c r="V419" s="20"/>
      <c r="W419" s="20"/>
      <c r="X419" s="20"/>
      <c r="Y419" s="20"/>
      <c r="Z419" s="20"/>
    </row>
    <row r="420" ht="13.5" customHeight="1" spans="1:26">
      <c r="A420" s="20"/>
      <c r="B420" s="20"/>
      <c r="C420" s="20"/>
      <c r="D420" s="20"/>
      <c r="E420" s="20"/>
      <c r="F420" s="20"/>
      <c r="G420" s="20"/>
      <c r="H420" s="20"/>
      <c r="I420" s="20"/>
      <c r="J420" s="20"/>
      <c r="K420" s="20"/>
      <c r="L420" s="20"/>
      <c r="M420" s="20"/>
      <c r="N420" s="20"/>
      <c r="O420" s="20"/>
      <c r="P420" s="20"/>
      <c r="Q420" s="20"/>
      <c r="R420" s="20"/>
      <c r="S420" s="20"/>
      <c r="T420" s="20"/>
      <c r="U420" s="20"/>
      <c r="V420" s="20"/>
      <c r="W420" s="20"/>
      <c r="X420" s="20"/>
      <c r="Y420" s="20"/>
      <c r="Z420" s="20"/>
    </row>
    <row r="421" ht="13.5" customHeight="1" spans="1:26">
      <c r="A421" s="20"/>
      <c r="B421" s="20"/>
      <c r="C421" s="20"/>
      <c r="D421" s="20"/>
      <c r="E421" s="20"/>
      <c r="F421" s="20"/>
      <c r="G421" s="20"/>
      <c r="H421" s="20"/>
      <c r="I421" s="20"/>
      <c r="J421" s="20"/>
      <c r="K421" s="20"/>
      <c r="L421" s="20"/>
      <c r="M421" s="20"/>
      <c r="N421" s="20"/>
      <c r="O421" s="20"/>
      <c r="P421" s="20"/>
      <c r="Q421" s="20"/>
      <c r="R421" s="20"/>
      <c r="S421" s="20"/>
      <c r="T421" s="20"/>
      <c r="U421" s="20"/>
      <c r="V421" s="20"/>
      <c r="W421" s="20"/>
      <c r="X421" s="20"/>
      <c r="Y421" s="20"/>
      <c r="Z421" s="20"/>
    </row>
    <row r="422" ht="13.5" customHeight="1" spans="1:26">
      <c r="A422" s="20"/>
      <c r="B422" s="20"/>
      <c r="C422" s="20"/>
      <c r="D422" s="20"/>
      <c r="E422" s="20"/>
      <c r="F422" s="20"/>
      <c r="G422" s="20"/>
      <c r="H422" s="20"/>
      <c r="I422" s="20"/>
      <c r="J422" s="20"/>
      <c r="K422" s="20"/>
      <c r="L422" s="20"/>
      <c r="M422" s="20"/>
      <c r="N422" s="20"/>
      <c r="O422" s="20"/>
      <c r="P422" s="20"/>
      <c r="Q422" s="20"/>
      <c r="R422" s="20"/>
      <c r="S422" s="20"/>
      <c r="T422" s="20"/>
      <c r="U422" s="20"/>
      <c r="V422" s="20"/>
      <c r="W422" s="20"/>
      <c r="X422" s="20"/>
      <c r="Y422" s="20"/>
      <c r="Z422" s="20"/>
    </row>
    <row r="423" ht="13.5" customHeight="1" spans="1:26">
      <c r="A423" s="20"/>
      <c r="B423" s="20"/>
      <c r="C423" s="20"/>
      <c r="D423" s="20"/>
      <c r="E423" s="20"/>
      <c r="F423" s="20"/>
      <c r="G423" s="20"/>
      <c r="H423" s="20"/>
      <c r="I423" s="20"/>
      <c r="J423" s="20"/>
      <c r="K423" s="20"/>
      <c r="L423" s="20"/>
      <c r="M423" s="20"/>
      <c r="N423" s="20"/>
      <c r="O423" s="20"/>
      <c r="P423" s="20"/>
      <c r="Q423" s="20"/>
      <c r="R423" s="20"/>
      <c r="S423" s="20"/>
      <c r="T423" s="20"/>
      <c r="U423" s="20"/>
      <c r="V423" s="20"/>
      <c r="W423" s="20"/>
      <c r="X423" s="20"/>
      <c r="Y423" s="20"/>
      <c r="Z423" s="20"/>
    </row>
    <row r="424" ht="13.5" customHeight="1" spans="1:26">
      <c r="A424" s="20"/>
      <c r="B424" s="20"/>
      <c r="C424" s="20"/>
      <c r="D424" s="20"/>
      <c r="E424" s="20"/>
      <c r="F424" s="20"/>
      <c r="G424" s="20"/>
      <c r="H424" s="20"/>
      <c r="I424" s="20"/>
      <c r="J424" s="20"/>
      <c r="K424" s="20"/>
      <c r="L424" s="20"/>
      <c r="M424" s="20"/>
      <c r="N424" s="20"/>
      <c r="O424" s="20"/>
      <c r="P424" s="20"/>
      <c r="Q424" s="20"/>
      <c r="R424" s="20"/>
      <c r="S424" s="20"/>
      <c r="T424" s="20"/>
      <c r="U424" s="20"/>
      <c r="V424" s="20"/>
      <c r="W424" s="20"/>
      <c r="X424" s="20"/>
      <c r="Y424" s="20"/>
      <c r="Z424" s="20"/>
    </row>
    <row r="425" ht="13.5" customHeight="1" spans="1:26">
      <c r="A425" s="20"/>
      <c r="B425" s="20"/>
      <c r="C425" s="20"/>
      <c r="D425" s="20"/>
      <c r="E425" s="20"/>
      <c r="F425" s="20"/>
      <c r="G425" s="20"/>
      <c r="H425" s="20"/>
      <c r="I425" s="20"/>
      <c r="J425" s="20"/>
      <c r="K425" s="20"/>
      <c r="L425" s="20"/>
      <c r="M425" s="20"/>
      <c r="N425" s="20"/>
      <c r="O425" s="20"/>
      <c r="P425" s="20"/>
      <c r="Q425" s="20"/>
      <c r="R425" s="20"/>
      <c r="S425" s="20"/>
      <c r="T425" s="20"/>
      <c r="U425" s="20"/>
      <c r="V425" s="20"/>
      <c r="W425" s="20"/>
      <c r="X425" s="20"/>
      <c r="Y425" s="20"/>
      <c r="Z425" s="20"/>
    </row>
    <row r="426" ht="13.5" customHeight="1" spans="1:26">
      <c r="A426" s="20"/>
      <c r="B426" s="20"/>
      <c r="C426" s="20"/>
      <c r="D426" s="20"/>
      <c r="E426" s="20"/>
      <c r="F426" s="20"/>
      <c r="G426" s="20"/>
      <c r="H426" s="20"/>
      <c r="I426" s="20"/>
      <c r="J426" s="20"/>
      <c r="K426" s="20"/>
      <c r="L426" s="20"/>
      <c r="M426" s="20"/>
      <c r="N426" s="20"/>
      <c r="O426" s="20"/>
      <c r="P426" s="20"/>
      <c r="Q426" s="20"/>
      <c r="R426" s="20"/>
      <c r="S426" s="20"/>
      <c r="T426" s="20"/>
      <c r="U426" s="20"/>
      <c r="V426" s="20"/>
      <c r="W426" s="20"/>
      <c r="X426" s="20"/>
      <c r="Y426" s="20"/>
      <c r="Z426" s="20"/>
    </row>
    <row r="427" ht="13.5" customHeight="1" spans="1:26">
      <c r="A427" s="20"/>
      <c r="B427" s="20"/>
      <c r="C427" s="20"/>
      <c r="D427" s="20"/>
      <c r="E427" s="20"/>
      <c r="F427" s="20"/>
      <c r="G427" s="20"/>
      <c r="H427" s="20"/>
      <c r="I427" s="20"/>
      <c r="J427" s="20"/>
      <c r="K427" s="20"/>
      <c r="L427" s="20"/>
      <c r="M427" s="20"/>
      <c r="N427" s="20"/>
      <c r="O427" s="20"/>
      <c r="P427" s="20"/>
      <c r="Q427" s="20"/>
      <c r="R427" s="20"/>
      <c r="S427" s="20"/>
      <c r="T427" s="20"/>
      <c r="U427" s="20"/>
      <c r="V427" s="20"/>
      <c r="W427" s="20"/>
      <c r="X427" s="20"/>
      <c r="Y427" s="20"/>
      <c r="Z427" s="20"/>
    </row>
    <row r="428" ht="13.5" customHeight="1" spans="1:26">
      <c r="A428" s="20"/>
      <c r="B428" s="20"/>
      <c r="C428" s="20"/>
      <c r="D428" s="20"/>
      <c r="E428" s="20"/>
      <c r="F428" s="20"/>
      <c r="G428" s="20"/>
      <c r="H428" s="20"/>
      <c r="I428" s="20"/>
      <c r="J428" s="20"/>
      <c r="K428" s="20"/>
      <c r="L428" s="20"/>
      <c r="M428" s="20"/>
      <c r="N428" s="20"/>
      <c r="O428" s="20"/>
      <c r="P428" s="20"/>
      <c r="Q428" s="20"/>
      <c r="R428" s="20"/>
      <c r="S428" s="20"/>
      <c r="T428" s="20"/>
      <c r="U428" s="20"/>
      <c r="V428" s="20"/>
      <c r="W428" s="20"/>
      <c r="X428" s="20"/>
      <c r="Y428" s="20"/>
      <c r="Z428" s="20"/>
    </row>
    <row r="429" ht="13.5" customHeight="1" spans="1:26">
      <c r="A429" s="20"/>
      <c r="B429" s="20"/>
      <c r="C429" s="20"/>
      <c r="D429" s="20"/>
      <c r="E429" s="20"/>
      <c r="F429" s="20"/>
      <c r="G429" s="20"/>
      <c r="H429" s="20"/>
      <c r="I429" s="20"/>
      <c r="J429" s="20"/>
      <c r="K429" s="20"/>
      <c r="L429" s="20"/>
      <c r="M429" s="20"/>
      <c r="N429" s="20"/>
      <c r="O429" s="20"/>
      <c r="P429" s="20"/>
      <c r="Q429" s="20"/>
      <c r="R429" s="20"/>
      <c r="S429" s="20"/>
      <c r="T429" s="20"/>
      <c r="U429" s="20"/>
      <c r="V429" s="20"/>
      <c r="W429" s="20"/>
      <c r="X429" s="20"/>
      <c r="Y429" s="20"/>
      <c r="Z429" s="20"/>
    </row>
    <row r="430" ht="13.5" customHeight="1" spans="1:26">
      <c r="A430" s="20"/>
      <c r="B430" s="20"/>
      <c r="C430" s="20"/>
      <c r="D430" s="20"/>
      <c r="E430" s="20"/>
      <c r="F430" s="20"/>
      <c r="G430" s="20"/>
      <c r="H430" s="20"/>
      <c r="I430" s="20"/>
      <c r="J430" s="20"/>
      <c r="K430" s="20"/>
      <c r="L430" s="20"/>
      <c r="M430" s="20"/>
      <c r="N430" s="20"/>
      <c r="O430" s="20"/>
      <c r="P430" s="20"/>
      <c r="Q430" s="20"/>
      <c r="R430" s="20"/>
      <c r="S430" s="20"/>
      <c r="T430" s="20"/>
      <c r="U430" s="20"/>
      <c r="V430" s="20"/>
      <c r="W430" s="20"/>
      <c r="X430" s="20"/>
      <c r="Y430" s="20"/>
      <c r="Z430" s="20"/>
    </row>
    <row r="431" ht="13.5" customHeight="1" spans="1:26">
      <c r="A431" s="20"/>
      <c r="B431" s="20"/>
      <c r="C431" s="20"/>
      <c r="D431" s="20"/>
      <c r="E431" s="20"/>
      <c r="F431" s="20"/>
      <c r="G431" s="20"/>
      <c r="H431" s="20"/>
      <c r="I431" s="20"/>
      <c r="J431" s="20"/>
      <c r="K431" s="20"/>
      <c r="L431" s="20"/>
      <c r="M431" s="20"/>
      <c r="N431" s="20"/>
      <c r="O431" s="20"/>
      <c r="P431" s="20"/>
      <c r="Q431" s="20"/>
      <c r="R431" s="20"/>
      <c r="S431" s="20"/>
      <c r="T431" s="20"/>
      <c r="U431" s="20"/>
      <c r="V431" s="20"/>
      <c r="W431" s="20"/>
      <c r="X431" s="20"/>
      <c r="Y431" s="20"/>
      <c r="Z431" s="20"/>
    </row>
    <row r="432" ht="13.5" customHeight="1" spans="1:26">
      <c r="A432" s="20"/>
      <c r="B432" s="20"/>
      <c r="C432" s="20"/>
      <c r="D432" s="20"/>
      <c r="E432" s="20"/>
      <c r="F432" s="20"/>
      <c r="G432" s="20"/>
      <c r="H432" s="20"/>
      <c r="I432" s="20"/>
      <c r="J432" s="20"/>
      <c r="K432" s="20"/>
      <c r="L432" s="20"/>
      <c r="M432" s="20"/>
      <c r="N432" s="20"/>
      <c r="O432" s="20"/>
      <c r="P432" s="20"/>
      <c r="Q432" s="20"/>
      <c r="R432" s="20"/>
      <c r="S432" s="20"/>
      <c r="T432" s="20"/>
      <c r="U432" s="20"/>
      <c r="V432" s="20"/>
      <c r="W432" s="20"/>
      <c r="X432" s="20"/>
      <c r="Y432" s="20"/>
      <c r="Z432" s="20"/>
    </row>
    <row r="433" ht="13.5" customHeight="1" spans="1:26">
      <c r="A433" s="20"/>
      <c r="B433" s="20"/>
      <c r="C433" s="20"/>
      <c r="D433" s="20"/>
      <c r="E433" s="20"/>
      <c r="F433" s="20"/>
      <c r="G433" s="20"/>
      <c r="H433" s="20"/>
      <c r="I433" s="20"/>
      <c r="J433" s="20"/>
      <c r="K433" s="20"/>
      <c r="L433" s="20"/>
      <c r="M433" s="20"/>
      <c r="N433" s="20"/>
      <c r="O433" s="20"/>
      <c r="P433" s="20"/>
      <c r="Q433" s="20"/>
      <c r="R433" s="20"/>
      <c r="S433" s="20"/>
      <c r="T433" s="20"/>
      <c r="U433" s="20"/>
      <c r="V433" s="20"/>
      <c r="W433" s="20"/>
      <c r="X433" s="20"/>
      <c r="Y433" s="20"/>
      <c r="Z433" s="20"/>
    </row>
    <row r="434" ht="13.5" customHeight="1" spans="1:26">
      <c r="A434" s="20"/>
      <c r="B434" s="20"/>
      <c r="C434" s="20"/>
      <c r="D434" s="20"/>
      <c r="E434" s="20"/>
      <c r="F434" s="20"/>
      <c r="G434" s="20"/>
      <c r="H434" s="20"/>
      <c r="I434" s="20"/>
      <c r="J434" s="20"/>
      <c r="K434" s="20"/>
      <c r="L434" s="20"/>
      <c r="M434" s="20"/>
      <c r="N434" s="20"/>
      <c r="O434" s="20"/>
      <c r="P434" s="20"/>
      <c r="Q434" s="20"/>
      <c r="R434" s="20"/>
      <c r="S434" s="20"/>
      <c r="T434" s="20"/>
      <c r="U434" s="20"/>
      <c r="V434" s="20"/>
      <c r="W434" s="20"/>
      <c r="X434" s="20"/>
      <c r="Y434" s="20"/>
      <c r="Z434" s="20"/>
    </row>
    <row r="435" ht="13.5" customHeight="1" spans="1:26">
      <c r="A435" s="20"/>
      <c r="B435" s="20"/>
      <c r="C435" s="20"/>
      <c r="D435" s="20"/>
      <c r="E435" s="20"/>
      <c r="F435" s="20"/>
      <c r="G435" s="20"/>
      <c r="H435" s="20"/>
      <c r="I435" s="20"/>
      <c r="J435" s="20"/>
      <c r="K435" s="20"/>
      <c r="L435" s="20"/>
      <c r="M435" s="20"/>
      <c r="N435" s="20"/>
      <c r="O435" s="20"/>
      <c r="P435" s="20"/>
      <c r="Q435" s="20"/>
      <c r="R435" s="20"/>
      <c r="S435" s="20"/>
      <c r="T435" s="20"/>
      <c r="U435" s="20"/>
      <c r="V435" s="20"/>
      <c r="W435" s="20"/>
      <c r="X435" s="20"/>
      <c r="Y435" s="20"/>
      <c r="Z435" s="20"/>
    </row>
    <row r="436" ht="13.5" customHeight="1" spans="1:26">
      <c r="A436" s="20"/>
      <c r="B436" s="20"/>
      <c r="C436" s="20"/>
      <c r="D436" s="20"/>
      <c r="E436" s="20"/>
      <c r="F436" s="20"/>
      <c r="G436" s="20"/>
      <c r="H436" s="20"/>
      <c r="I436" s="20"/>
      <c r="J436" s="20"/>
      <c r="K436" s="20"/>
      <c r="L436" s="20"/>
      <c r="M436" s="20"/>
      <c r="N436" s="20"/>
      <c r="O436" s="20"/>
      <c r="P436" s="20"/>
      <c r="Q436" s="20"/>
      <c r="R436" s="20"/>
      <c r="S436" s="20"/>
      <c r="T436" s="20"/>
      <c r="U436" s="20"/>
      <c r="V436" s="20"/>
      <c r="W436" s="20"/>
      <c r="X436" s="20"/>
      <c r="Y436" s="20"/>
      <c r="Z436" s="20"/>
    </row>
    <row r="437" ht="13.5" customHeight="1" spans="1:26">
      <c r="A437" s="20"/>
      <c r="B437" s="20"/>
      <c r="C437" s="20"/>
      <c r="D437" s="20"/>
      <c r="E437" s="20"/>
      <c r="F437" s="20"/>
      <c r="G437" s="20"/>
      <c r="H437" s="20"/>
      <c r="I437" s="20"/>
      <c r="J437" s="20"/>
      <c r="K437" s="20"/>
      <c r="L437" s="20"/>
      <c r="M437" s="20"/>
      <c r="N437" s="20"/>
      <c r="O437" s="20"/>
      <c r="P437" s="20"/>
      <c r="Q437" s="20"/>
      <c r="R437" s="20"/>
      <c r="S437" s="20"/>
      <c r="T437" s="20"/>
      <c r="U437" s="20"/>
      <c r="V437" s="20"/>
      <c r="W437" s="20"/>
      <c r="X437" s="20"/>
      <c r="Y437" s="20"/>
      <c r="Z437" s="20"/>
    </row>
    <row r="438" ht="13.5" customHeight="1" spans="1:26">
      <c r="A438" s="20"/>
      <c r="B438" s="20"/>
      <c r="C438" s="20"/>
      <c r="D438" s="20"/>
      <c r="E438" s="20"/>
      <c r="F438" s="20"/>
      <c r="G438" s="20"/>
      <c r="H438" s="20"/>
      <c r="I438" s="20"/>
      <c r="J438" s="20"/>
      <c r="K438" s="20"/>
      <c r="L438" s="20"/>
      <c r="M438" s="20"/>
      <c r="N438" s="20"/>
      <c r="O438" s="20"/>
      <c r="P438" s="20"/>
      <c r="Q438" s="20"/>
      <c r="R438" s="20"/>
      <c r="S438" s="20"/>
      <c r="T438" s="20"/>
      <c r="U438" s="20"/>
      <c r="V438" s="20"/>
      <c r="W438" s="20"/>
      <c r="X438" s="20"/>
      <c r="Y438" s="20"/>
      <c r="Z438" s="20"/>
    </row>
    <row r="439" ht="13.5" customHeight="1" spans="1:26">
      <c r="A439" s="20"/>
      <c r="B439" s="20"/>
      <c r="C439" s="20"/>
      <c r="D439" s="20"/>
      <c r="E439" s="20"/>
      <c r="F439" s="20"/>
      <c r="G439" s="20"/>
      <c r="H439" s="20"/>
      <c r="I439" s="20"/>
      <c r="J439" s="20"/>
      <c r="K439" s="20"/>
      <c r="L439" s="20"/>
      <c r="M439" s="20"/>
      <c r="N439" s="20"/>
      <c r="O439" s="20"/>
      <c r="P439" s="20"/>
      <c r="Q439" s="20"/>
      <c r="R439" s="20"/>
      <c r="S439" s="20"/>
      <c r="T439" s="20"/>
      <c r="U439" s="20"/>
      <c r="V439" s="20"/>
      <c r="W439" s="20"/>
      <c r="X439" s="20"/>
      <c r="Y439" s="20"/>
      <c r="Z439" s="20"/>
    </row>
    <row r="440" ht="13.5" customHeight="1" spans="1:26">
      <c r="A440" s="20"/>
      <c r="B440" s="20"/>
      <c r="C440" s="20"/>
      <c r="D440" s="20"/>
      <c r="E440" s="20"/>
      <c r="F440" s="20"/>
      <c r="G440" s="20"/>
      <c r="H440" s="20"/>
      <c r="I440" s="20"/>
      <c r="J440" s="20"/>
      <c r="K440" s="20"/>
      <c r="L440" s="20"/>
      <c r="M440" s="20"/>
      <c r="N440" s="20"/>
      <c r="O440" s="20"/>
      <c r="P440" s="20"/>
      <c r="Q440" s="20"/>
      <c r="R440" s="20"/>
      <c r="S440" s="20"/>
      <c r="T440" s="20"/>
      <c r="U440" s="20"/>
      <c r="V440" s="20"/>
      <c r="W440" s="20"/>
      <c r="X440" s="20"/>
      <c r="Y440" s="20"/>
      <c r="Z440" s="20"/>
    </row>
    <row r="441" ht="13.5" customHeight="1" spans="1:26">
      <c r="A441" s="20"/>
      <c r="B441" s="20"/>
      <c r="C441" s="20"/>
      <c r="D441" s="20"/>
      <c r="E441" s="20"/>
      <c r="F441" s="20"/>
      <c r="G441" s="20"/>
      <c r="H441" s="20"/>
      <c r="I441" s="20"/>
      <c r="J441" s="20"/>
      <c r="K441" s="20"/>
      <c r="L441" s="20"/>
      <c r="M441" s="20"/>
      <c r="N441" s="20"/>
      <c r="O441" s="20"/>
      <c r="P441" s="20"/>
      <c r="Q441" s="20"/>
      <c r="R441" s="20"/>
      <c r="S441" s="20"/>
      <c r="T441" s="20"/>
      <c r="U441" s="20"/>
      <c r="V441" s="20"/>
      <c r="W441" s="20"/>
      <c r="X441" s="20"/>
      <c r="Y441" s="20"/>
      <c r="Z441" s="20"/>
    </row>
    <row r="442" ht="13.5" customHeight="1" spans="1:26">
      <c r="A442" s="20"/>
      <c r="B442" s="20"/>
      <c r="C442" s="20"/>
      <c r="D442" s="20"/>
      <c r="E442" s="20"/>
      <c r="F442" s="20"/>
      <c r="G442" s="20"/>
      <c r="H442" s="20"/>
      <c r="I442" s="20"/>
      <c r="J442" s="20"/>
      <c r="K442" s="20"/>
      <c r="L442" s="20"/>
      <c r="M442" s="20"/>
      <c r="N442" s="20"/>
      <c r="O442" s="20"/>
      <c r="P442" s="20"/>
      <c r="Q442" s="20"/>
      <c r="R442" s="20"/>
      <c r="S442" s="20"/>
      <c r="T442" s="20"/>
      <c r="U442" s="20"/>
      <c r="V442" s="20"/>
      <c r="W442" s="20"/>
      <c r="X442" s="20"/>
      <c r="Y442" s="20"/>
      <c r="Z442" s="20"/>
    </row>
    <row r="443" ht="13.5" customHeight="1" spans="1:26">
      <c r="A443" s="20"/>
      <c r="B443" s="20"/>
      <c r="C443" s="20"/>
      <c r="D443" s="20"/>
      <c r="E443" s="20"/>
      <c r="F443" s="20"/>
      <c r="G443" s="20"/>
      <c r="H443" s="20"/>
      <c r="I443" s="20"/>
      <c r="J443" s="20"/>
      <c r="K443" s="20"/>
      <c r="L443" s="20"/>
      <c r="M443" s="20"/>
      <c r="N443" s="20"/>
      <c r="O443" s="20"/>
      <c r="P443" s="20"/>
      <c r="Q443" s="20"/>
      <c r="R443" s="20"/>
      <c r="S443" s="20"/>
      <c r="T443" s="20"/>
      <c r="U443" s="20"/>
      <c r="V443" s="20"/>
      <c r="W443" s="20"/>
      <c r="X443" s="20"/>
      <c r="Y443" s="20"/>
      <c r="Z443" s="20"/>
    </row>
    <row r="444" ht="13.5" customHeight="1" spans="1:26">
      <c r="A444" s="20"/>
      <c r="B444" s="20"/>
      <c r="C444" s="20"/>
      <c r="D444" s="20"/>
      <c r="E444" s="20"/>
      <c r="F444" s="20"/>
      <c r="G444" s="20"/>
      <c r="H444" s="20"/>
      <c r="I444" s="20"/>
      <c r="J444" s="20"/>
      <c r="K444" s="20"/>
      <c r="L444" s="20"/>
      <c r="M444" s="20"/>
      <c r="N444" s="20"/>
      <c r="O444" s="20"/>
      <c r="P444" s="20"/>
      <c r="Q444" s="20"/>
      <c r="R444" s="20"/>
      <c r="S444" s="20"/>
      <c r="T444" s="20"/>
      <c r="U444" s="20"/>
      <c r="V444" s="20"/>
      <c r="W444" s="20"/>
      <c r="X444" s="20"/>
      <c r="Y444" s="20"/>
      <c r="Z444" s="20"/>
    </row>
    <row r="445" ht="13.5" customHeight="1" spans="1:26">
      <c r="A445" s="20"/>
      <c r="B445" s="20"/>
      <c r="C445" s="20"/>
      <c r="D445" s="20"/>
      <c r="E445" s="20"/>
      <c r="F445" s="20"/>
      <c r="G445" s="20"/>
      <c r="H445" s="20"/>
      <c r="I445" s="20"/>
      <c r="J445" s="20"/>
      <c r="K445" s="20"/>
      <c r="L445" s="20"/>
      <c r="M445" s="20"/>
      <c r="N445" s="20"/>
      <c r="O445" s="20"/>
      <c r="P445" s="20"/>
      <c r="Q445" s="20"/>
      <c r="R445" s="20"/>
      <c r="S445" s="20"/>
      <c r="T445" s="20"/>
      <c r="U445" s="20"/>
      <c r="V445" s="20"/>
      <c r="W445" s="20"/>
      <c r="X445" s="20"/>
      <c r="Y445" s="20"/>
      <c r="Z445" s="20"/>
    </row>
    <row r="446" ht="13.5" customHeight="1" spans="1:26">
      <c r="A446" s="20"/>
      <c r="B446" s="20"/>
      <c r="C446" s="20"/>
      <c r="D446" s="20"/>
      <c r="E446" s="20"/>
      <c r="F446" s="20"/>
      <c r="G446" s="20"/>
      <c r="H446" s="20"/>
      <c r="I446" s="20"/>
      <c r="J446" s="20"/>
      <c r="K446" s="20"/>
      <c r="L446" s="20"/>
      <c r="M446" s="20"/>
      <c r="N446" s="20"/>
      <c r="O446" s="20"/>
      <c r="P446" s="20"/>
      <c r="Q446" s="20"/>
      <c r="R446" s="20"/>
      <c r="S446" s="20"/>
      <c r="T446" s="20"/>
      <c r="U446" s="20"/>
      <c r="V446" s="20"/>
      <c r="W446" s="20"/>
      <c r="X446" s="20"/>
      <c r="Y446" s="20"/>
      <c r="Z446" s="20"/>
    </row>
    <row r="447" ht="13.5" customHeight="1" spans="1:26">
      <c r="A447" s="20"/>
      <c r="B447" s="20"/>
      <c r="C447" s="20"/>
      <c r="D447" s="20"/>
      <c r="E447" s="20"/>
      <c r="F447" s="20"/>
      <c r="G447" s="20"/>
      <c r="H447" s="20"/>
      <c r="I447" s="20"/>
      <c r="J447" s="20"/>
      <c r="K447" s="20"/>
      <c r="L447" s="20"/>
      <c r="M447" s="20"/>
      <c r="N447" s="20"/>
      <c r="O447" s="20"/>
      <c r="P447" s="20"/>
      <c r="Q447" s="20"/>
      <c r="R447" s="20"/>
      <c r="S447" s="20"/>
      <c r="T447" s="20"/>
      <c r="U447" s="20"/>
      <c r="V447" s="20"/>
      <c r="W447" s="20"/>
      <c r="X447" s="20"/>
      <c r="Y447" s="20"/>
      <c r="Z447" s="20"/>
    </row>
    <row r="448" ht="13.5" customHeight="1" spans="1:26">
      <c r="A448" s="20"/>
      <c r="B448" s="20"/>
      <c r="C448" s="20"/>
      <c r="D448" s="20"/>
      <c r="E448" s="20"/>
      <c r="F448" s="20"/>
      <c r="G448" s="20"/>
      <c r="H448" s="20"/>
      <c r="I448" s="20"/>
      <c r="J448" s="20"/>
      <c r="K448" s="20"/>
      <c r="L448" s="20"/>
      <c r="M448" s="20"/>
      <c r="N448" s="20"/>
      <c r="O448" s="20"/>
      <c r="P448" s="20"/>
      <c r="Q448" s="20"/>
      <c r="R448" s="20"/>
      <c r="S448" s="20"/>
      <c r="T448" s="20"/>
      <c r="U448" s="20"/>
      <c r="V448" s="20"/>
      <c r="W448" s="20"/>
      <c r="X448" s="20"/>
      <c r="Y448" s="20"/>
      <c r="Z448" s="20"/>
    </row>
    <row r="449" ht="13.5" customHeight="1" spans="1:26">
      <c r="A449" s="20"/>
      <c r="B449" s="20"/>
      <c r="C449" s="20"/>
      <c r="D449" s="20"/>
      <c r="E449" s="20"/>
      <c r="F449" s="20"/>
      <c r="G449" s="20"/>
      <c r="H449" s="20"/>
      <c r="I449" s="20"/>
      <c r="J449" s="20"/>
      <c r="K449" s="20"/>
      <c r="L449" s="20"/>
      <c r="M449" s="20"/>
      <c r="N449" s="20"/>
      <c r="O449" s="20"/>
      <c r="P449" s="20"/>
      <c r="Q449" s="20"/>
      <c r="R449" s="20"/>
      <c r="S449" s="20"/>
      <c r="T449" s="20"/>
      <c r="U449" s="20"/>
      <c r="V449" s="20"/>
      <c r="W449" s="20"/>
      <c r="X449" s="20"/>
      <c r="Y449" s="20"/>
      <c r="Z449" s="20"/>
    </row>
    <row r="450" ht="13.5" customHeight="1" spans="1:26">
      <c r="A450" s="20"/>
      <c r="B450" s="20"/>
      <c r="C450" s="20"/>
      <c r="D450" s="20"/>
      <c r="E450" s="20"/>
      <c r="F450" s="20"/>
      <c r="G450" s="20"/>
      <c r="H450" s="20"/>
      <c r="I450" s="20"/>
      <c r="J450" s="20"/>
      <c r="K450" s="20"/>
      <c r="L450" s="20"/>
      <c r="M450" s="20"/>
      <c r="N450" s="20"/>
      <c r="O450" s="20"/>
      <c r="P450" s="20"/>
      <c r="Q450" s="20"/>
      <c r="R450" s="20"/>
      <c r="S450" s="20"/>
      <c r="T450" s="20"/>
      <c r="U450" s="20"/>
      <c r="V450" s="20"/>
      <c r="W450" s="20"/>
      <c r="X450" s="20"/>
      <c r="Y450" s="20"/>
      <c r="Z450" s="20"/>
    </row>
    <row r="451" ht="13.5" customHeight="1" spans="1:26">
      <c r="A451" s="20"/>
      <c r="B451" s="20"/>
      <c r="C451" s="20"/>
      <c r="D451" s="20"/>
      <c r="E451" s="20"/>
      <c r="F451" s="20"/>
      <c r="G451" s="20"/>
      <c r="H451" s="20"/>
      <c r="I451" s="20"/>
      <c r="J451" s="20"/>
      <c r="K451" s="20"/>
      <c r="L451" s="20"/>
      <c r="M451" s="20"/>
      <c r="N451" s="20"/>
      <c r="O451" s="20"/>
      <c r="P451" s="20"/>
      <c r="Q451" s="20"/>
      <c r="R451" s="20"/>
      <c r="S451" s="20"/>
      <c r="T451" s="20"/>
      <c r="U451" s="20"/>
      <c r="V451" s="20"/>
      <c r="W451" s="20"/>
      <c r="X451" s="20"/>
      <c r="Y451" s="20"/>
      <c r="Z451" s="20"/>
    </row>
    <row r="452" ht="13.5" customHeight="1" spans="1:26">
      <c r="A452" s="20"/>
      <c r="B452" s="20"/>
      <c r="C452" s="20"/>
      <c r="D452" s="20"/>
      <c r="E452" s="20"/>
      <c r="F452" s="20"/>
      <c r="G452" s="20"/>
      <c r="H452" s="20"/>
      <c r="I452" s="20"/>
      <c r="J452" s="20"/>
      <c r="K452" s="20"/>
      <c r="L452" s="20"/>
      <c r="M452" s="20"/>
      <c r="N452" s="20"/>
      <c r="O452" s="20"/>
      <c r="P452" s="20"/>
      <c r="Q452" s="20"/>
      <c r="R452" s="20"/>
      <c r="S452" s="20"/>
      <c r="T452" s="20"/>
      <c r="U452" s="20"/>
      <c r="V452" s="20"/>
      <c r="W452" s="20"/>
      <c r="X452" s="20"/>
      <c r="Y452" s="20"/>
      <c r="Z452" s="20"/>
    </row>
    <row r="453" ht="13.5" customHeight="1" spans="1:26">
      <c r="A453" s="20"/>
      <c r="B453" s="20"/>
      <c r="C453" s="20"/>
      <c r="D453" s="20"/>
      <c r="E453" s="20"/>
      <c r="F453" s="20"/>
      <c r="G453" s="20"/>
      <c r="H453" s="20"/>
      <c r="I453" s="20"/>
      <c r="J453" s="20"/>
      <c r="K453" s="20"/>
      <c r="L453" s="20"/>
      <c r="M453" s="20"/>
      <c r="N453" s="20"/>
      <c r="O453" s="20"/>
      <c r="P453" s="20"/>
      <c r="Q453" s="20"/>
      <c r="R453" s="20"/>
      <c r="S453" s="20"/>
      <c r="T453" s="20"/>
      <c r="U453" s="20"/>
      <c r="V453" s="20"/>
      <c r="W453" s="20"/>
      <c r="X453" s="20"/>
      <c r="Y453" s="20"/>
      <c r="Z453" s="20"/>
    </row>
    <row r="454" ht="13.5" customHeight="1" spans="1:26">
      <c r="A454" s="20"/>
      <c r="B454" s="20"/>
      <c r="C454" s="20"/>
      <c r="D454" s="20"/>
      <c r="E454" s="20"/>
      <c r="F454" s="20"/>
      <c r="G454" s="20"/>
      <c r="H454" s="20"/>
      <c r="I454" s="20"/>
      <c r="J454" s="20"/>
      <c r="K454" s="20"/>
      <c r="L454" s="20"/>
      <c r="M454" s="20"/>
      <c r="N454" s="20"/>
      <c r="O454" s="20"/>
      <c r="P454" s="20"/>
      <c r="Q454" s="20"/>
      <c r="R454" s="20"/>
      <c r="S454" s="20"/>
      <c r="T454" s="20"/>
      <c r="U454" s="20"/>
      <c r="V454" s="20"/>
      <c r="W454" s="20"/>
      <c r="X454" s="20"/>
      <c r="Y454" s="20"/>
      <c r="Z454" s="20"/>
    </row>
    <row r="455" ht="13.5" customHeight="1" spans="1:26">
      <c r="A455" s="20"/>
      <c r="B455" s="20"/>
      <c r="C455" s="20"/>
      <c r="D455" s="20"/>
      <c r="E455" s="20"/>
      <c r="F455" s="20"/>
      <c r="G455" s="20"/>
      <c r="H455" s="20"/>
      <c r="I455" s="20"/>
      <c r="J455" s="20"/>
      <c r="K455" s="20"/>
      <c r="L455" s="20"/>
      <c r="M455" s="20"/>
      <c r="N455" s="20"/>
      <c r="O455" s="20"/>
      <c r="P455" s="20"/>
      <c r="Q455" s="20"/>
      <c r="R455" s="20"/>
      <c r="S455" s="20"/>
      <c r="T455" s="20"/>
      <c r="U455" s="20"/>
      <c r="V455" s="20"/>
      <c r="W455" s="20"/>
      <c r="X455" s="20"/>
      <c r="Y455" s="20"/>
      <c r="Z455" s="20"/>
    </row>
    <row r="456" ht="13.5" customHeight="1" spans="1:26">
      <c r="A456" s="20"/>
      <c r="B456" s="20"/>
      <c r="C456" s="20"/>
      <c r="D456" s="20"/>
      <c r="E456" s="20"/>
      <c r="F456" s="20"/>
      <c r="G456" s="20"/>
      <c r="H456" s="20"/>
      <c r="I456" s="20"/>
      <c r="J456" s="20"/>
      <c r="K456" s="20"/>
      <c r="L456" s="20"/>
      <c r="M456" s="20"/>
      <c r="N456" s="20"/>
      <c r="O456" s="20"/>
      <c r="P456" s="20"/>
      <c r="Q456" s="20"/>
      <c r="R456" s="20"/>
      <c r="S456" s="20"/>
      <c r="T456" s="20"/>
      <c r="U456" s="20"/>
      <c r="V456" s="20"/>
      <c r="W456" s="20"/>
      <c r="X456" s="20"/>
      <c r="Y456" s="20"/>
      <c r="Z456" s="20"/>
    </row>
    <row r="457" ht="13.5" customHeight="1" spans="1:26">
      <c r="A457" s="20"/>
      <c r="B457" s="20"/>
      <c r="C457" s="20"/>
      <c r="D457" s="20"/>
      <c r="E457" s="20"/>
      <c r="F457" s="20"/>
      <c r="G457" s="20"/>
      <c r="H457" s="20"/>
      <c r="I457" s="20"/>
      <c r="J457" s="20"/>
      <c r="K457" s="20"/>
      <c r="L457" s="20"/>
      <c r="M457" s="20"/>
      <c r="N457" s="20"/>
      <c r="O457" s="20"/>
      <c r="P457" s="20"/>
      <c r="Q457" s="20"/>
      <c r="R457" s="20"/>
      <c r="S457" s="20"/>
      <c r="T457" s="20"/>
      <c r="U457" s="20"/>
      <c r="V457" s="20"/>
      <c r="W457" s="20"/>
      <c r="X457" s="20"/>
      <c r="Y457" s="20"/>
      <c r="Z457" s="20"/>
    </row>
    <row r="458" ht="13.5" customHeight="1" spans="1:26">
      <c r="A458" s="20"/>
      <c r="B458" s="20"/>
      <c r="C458" s="20"/>
      <c r="D458" s="20"/>
      <c r="E458" s="20"/>
      <c r="F458" s="20"/>
      <c r="G458" s="20"/>
      <c r="H458" s="20"/>
      <c r="I458" s="20"/>
      <c r="J458" s="20"/>
      <c r="K458" s="20"/>
      <c r="L458" s="20"/>
      <c r="M458" s="20"/>
      <c r="N458" s="20"/>
      <c r="O458" s="20"/>
      <c r="P458" s="20"/>
      <c r="Q458" s="20"/>
      <c r="R458" s="20"/>
      <c r="S458" s="20"/>
      <c r="T458" s="20"/>
      <c r="U458" s="20"/>
      <c r="V458" s="20"/>
      <c r="W458" s="20"/>
      <c r="X458" s="20"/>
      <c r="Y458" s="20"/>
      <c r="Z458" s="20"/>
    </row>
    <row r="459" ht="13.5" customHeight="1" spans="1:26">
      <c r="A459" s="20"/>
      <c r="B459" s="20"/>
      <c r="C459" s="20"/>
      <c r="D459" s="20"/>
      <c r="E459" s="20"/>
      <c r="F459" s="20"/>
      <c r="G459" s="20"/>
      <c r="H459" s="20"/>
      <c r="I459" s="20"/>
      <c r="J459" s="20"/>
      <c r="K459" s="20"/>
      <c r="L459" s="20"/>
      <c r="M459" s="20"/>
      <c r="N459" s="20"/>
      <c r="O459" s="20"/>
      <c r="P459" s="20"/>
      <c r="Q459" s="20"/>
      <c r="R459" s="20"/>
      <c r="S459" s="20"/>
      <c r="T459" s="20"/>
      <c r="U459" s="20"/>
      <c r="V459" s="20"/>
      <c r="W459" s="20"/>
      <c r="X459" s="20"/>
      <c r="Y459" s="20"/>
      <c r="Z459" s="20"/>
    </row>
    <row r="460" ht="13.5" customHeight="1" spans="1:26">
      <c r="A460" s="20"/>
      <c r="B460" s="20"/>
      <c r="C460" s="20"/>
      <c r="D460" s="20"/>
      <c r="E460" s="20"/>
      <c r="F460" s="20"/>
      <c r="G460" s="20"/>
      <c r="H460" s="20"/>
      <c r="I460" s="20"/>
      <c r="J460" s="20"/>
      <c r="K460" s="20"/>
      <c r="L460" s="20"/>
      <c r="M460" s="20"/>
      <c r="N460" s="20"/>
      <c r="O460" s="20"/>
      <c r="P460" s="20"/>
      <c r="Q460" s="20"/>
      <c r="R460" s="20"/>
      <c r="S460" s="20"/>
      <c r="T460" s="20"/>
      <c r="U460" s="20"/>
      <c r="V460" s="20"/>
      <c r="W460" s="20"/>
      <c r="X460" s="20"/>
      <c r="Y460" s="20"/>
      <c r="Z460" s="20"/>
    </row>
    <row r="461" ht="13.5" customHeight="1" spans="1:26">
      <c r="A461" s="20"/>
      <c r="B461" s="20"/>
      <c r="C461" s="20"/>
      <c r="D461" s="20"/>
      <c r="E461" s="20"/>
      <c r="F461" s="20"/>
      <c r="G461" s="20"/>
      <c r="H461" s="20"/>
      <c r="I461" s="20"/>
      <c r="J461" s="20"/>
      <c r="K461" s="20"/>
      <c r="L461" s="20"/>
      <c r="M461" s="20"/>
      <c r="N461" s="20"/>
      <c r="O461" s="20"/>
      <c r="P461" s="20"/>
      <c r="Q461" s="20"/>
      <c r="R461" s="20"/>
      <c r="S461" s="20"/>
      <c r="T461" s="20"/>
      <c r="U461" s="20"/>
      <c r="V461" s="20"/>
      <c r="W461" s="20"/>
      <c r="X461" s="20"/>
      <c r="Y461" s="20"/>
      <c r="Z461" s="20"/>
    </row>
    <row r="462" ht="13.5" customHeight="1" spans="1:26">
      <c r="A462" s="20"/>
      <c r="B462" s="20"/>
      <c r="C462" s="20"/>
      <c r="D462" s="20"/>
      <c r="E462" s="20"/>
      <c r="F462" s="20"/>
      <c r="G462" s="20"/>
      <c r="H462" s="20"/>
      <c r="I462" s="20"/>
      <c r="J462" s="20"/>
      <c r="K462" s="20"/>
      <c r="L462" s="20"/>
      <c r="M462" s="20"/>
      <c r="N462" s="20"/>
      <c r="O462" s="20"/>
      <c r="P462" s="20"/>
      <c r="Q462" s="20"/>
      <c r="R462" s="20"/>
      <c r="S462" s="20"/>
      <c r="T462" s="20"/>
      <c r="U462" s="20"/>
      <c r="V462" s="20"/>
      <c r="W462" s="20"/>
      <c r="X462" s="20"/>
      <c r="Y462" s="20"/>
      <c r="Z462" s="20"/>
    </row>
    <row r="463" ht="13.5" customHeight="1" spans="1:26">
      <c r="A463" s="20"/>
      <c r="B463" s="20"/>
      <c r="C463" s="20"/>
      <c r="D463" s="20"/>
      <c r="E463" s="20"/>
      <c r="F463" s="20"/>
      <c r="G463" s="20"/>
      <c r="H463" s="20"/>
      <c r="I463" s="20"/>
      <c r="J463" s="20"/>
      <c r="K463" s="20"/>
      <c r="L463" s="20"/>
      <c r="M463" s="20"/>
      <c r="N463" s="20"/>
      <c r="O463" s="20"/>
      <c r="P463" s="20"/>
      <c r="Q463" s="20"/>
      <c r="R463" s="20"/>
      <c r="S463" s="20"/>
      <c r="T463" s="20"/>
      <c r="U463" s="20"/>
      <c r="V463" s="20"/>
      <c r="W463" s="20"/>
      <c r="X463" s="20"/>
      <c r="Y463" s="20"/>
      <c r="Z463" s="20"/>
    </row>
    <row r="464" ht="13.5" customHeight="1" spans="1:26">
      <c r="A464" s="20"/>
      <c r="B464" s="20"/>
      <c r="C464" s="20"/>
      <c r="D464" s="20"/>
      <c r="E464" s="20"/>
      <c r="F464" s="20"/>
      <c r="G464" s="20"/>
      <c r="H464" s="20"/>
      <c r="I464" s="20"/>
      <c r="J464" s="20"/>
      <c r="K464" s="20"/>
      <c r="L464" s="20"/>
      <c r="M464" s="20"/>
      <c r="N464" s="20"/>
      <c r="O464" s="20"/>
      <c r="P464" s="20"/>
      <c r="Q464" s="20"/>
      <c r="R464" s="20"/>
      <c r="S464" s="20"/>
      <c r="T464" s="20"/>
      <c r="U464" s="20"/>
      <c r="V464" s="20"/>
      <c r="W464" s="20"/>
      <c r="X464" s="20"/>
      <c r="Y464" s="20"/>
      <c r="Z464" s="20"/>
    </row>
    <row r="465" ht="13.5" customHeight="1" spans="1:26">
      <c r="A465" s="20"/>
      <c r="B465" s="20"/>
      <c r="C465" s="20"/>
      <c r="D465" s="20"/>
      <c r="E465" s="20"/>
      <c r="F465" s="20"/>
      <c r="G465" s="20"/>
      <c r="H465" s="20"/>
      <c r="I465" s="20"/>
      <c r="J465" s="20"/>
      <c r="K465" s="20"/>
      <c r="L465" s="20"/>
      <c r="M465" s="20"/>
      <c r="N465" s="20"/>
      <c r="O465" s="20"/>
      <c r="P465" s="20"/>
      <c r="Q465" s="20"/>
      <c r="R465" s="20"/>
      <c r="S465" s="20"/>
      <c r="T465" s="20"/>
      <c r="U465" s="20"/>
      <c r="V465" s="20"/>
      <c r="W465" s="20"/>
      <c r="X465" s="20"/>
      <c r="Y465" s="20"/>
      <c r="Z465" s="20"/>
    </row>
    <row r="466" ht="13.5" customHeight="1" spans="1:26">
      <c r="A466" s="20"/>
      <c r="B466" s="20"/>
      <c r="C466" s="20"/>
      <c r="D466" s="20"/>
      <c r="E466" s="20"/>
      <c r="F466" s="20"/>
      <c r="G466" s="20"/>
      <c r="H466" s="20"/>
      <c r="I466" s="20"/>
      <c r="J466" s="20"/>
      <c r="K466" s="20"/>
      <c r="L466" s="20"/>
      <c r="M466" s="20"/>
      <c r="N466" s="20"/>
      <c r="O466" s="20"/>
      <c r="P466" s="20"/>
      <c r="Q466" s="20"/>
      <c r="R466" s="20"/>
      <c r="S466" s="20"/>
      <c r="T466" s="20"/>
      <c r="U466" s="20"/>
      <c r="V466" s="20"/>
      <c r="W466" s="20"/>
      <c r="X466" s="20"/>
      <c r="Y466" s="20"/>
      <c r="Z466" s="20"/>
    </row>
    <row r="467" ht="13.5" customHeight="1" spans="1:26">
      <c r="A467" s="20"/>
      <c r="B467" s="20"/>
      <c r="C467" s="20"/>
      <c r="D467" s="20"/>
      <c r="E467" s="20"/>
      <c r="F467" s="20"/>
      <c r="G467" s="20"/>
      <c r="H467" s="20"/>
      <c r="I467" s="20"/>
      <c r="J467" s="20"/>
      <c r="K467" s="20"/>
      <c r="L467" s="20"/>
      <c r="M467" s="20"/>
      <c r="N467" s="20"/>
      <c r="O467" s="20"/>
      <c r="P467" s="20"/>
      <c r="Q467" s="20"/>
      <c r="R467" s="20"/>
      <c r="S467" s="20"/>
      <c r="T467" s="20"/>
      <c r="U467" s="20"/>
      <c r="V467" s="20"/>
      <c r="W467" s="20"/>
      <c r="X467" s="20"/>
      <c r="Y467" s="20"/>
      <c r="Z467" s="20"/>
    </row>
    <row r="468" ht="13.5" customHeight="1" spans="1:26">
      <c r="A468" s="20"/>
      <c r="B468" s="20"/>
      <c r="C468" s="20"/>
      <c r="D468" s="20"/>
      <c r="E468" s="20"/>
      <c r="F468" s="20"/>
      <c r="G468" s="20"/>
      <c r="H468" s="20"/>
      <c r="I468" s="20"/>
      <c r="J468" s="20"/>
      <c r="K468" s="20"/>
      <c r="L468" s="20"/>
      <c r="M468" s="20"/>
      <c r="N468" s="20"/>
      <c r="O468" s="20"/>
      <c r="P468" s="20"/>
      <c r="Q468" s="20"/>
      <c r="R468" s="20"/>
      <c r="S468" s="20"/>
      <c r="T468" s="20"/>
      <c r="U468" s="20"/>
      <c r="V468" s="20"/>
      <c r="W468" s="20"/>
      <c r="X468" s="20"/>
      <c r="Y468" s="20"/>
      <c r="Z468" s="20"/>
    </row>
    <row r="469" ht="13.5" customHeight="1" spans="1:26">
      <c r="A469" s="20"/>
      <c r="B469" s="20"/>
      <c r="C469" s="20"/>
      <c r="D469" s="20"/>
      <c r="E469" s="20"/>
      <c r="F469" s="20"/>
      <c r="G469" s="20"/>
      <c r="H469" s="20"/>
      <c r="I469" s="20"/>
      <c r="J469" s="20"/>
      <c r="K469" s="20"/>
      <c r="L469" s="20"/>
      <c r="M469" s="20"/>
      <c r="N469" s="20"/>
      <c r="O469" s="20"/>
      <c r="P469" s="20"/>
      <c r="Q469" s="20"/>
      <c r="R469" s="20"/>
      <c r="S469" s="20"/>
      <c r="T469" s="20"/>
      <c r="U469" s="20"/>
      <c r="V469" s="20"/>
      <c r="W469" s="20"/>
      <c r="X469" s="20"/>
      <c r="Y469" s="20"/>
      <c r="Z469" s="20"/>
    </row>
    <row r="470" ht="13.5" customHeight="1" spans="1:26">
      <c r="A470" s="20"/>
      <c r="B470" s="20"/>
      <c r="C470" s="20"/>
      <c r="D470" s="20"/>
      <c r="E470" s="20"/>
      <c r="F470" s="20"/>
      <c r="G470" s="20"/>
      <c r="H470" s="20"/>
      <c r="I470" s="20"/>
      <c r="J470" s="20"/>
      <c r="K470" s="20"/>
      <c r="L470" s="20"/>
      <c r="M470" s="20"/>
      <c r="N470" s="20"/>
      <c r="O470" s="20"/>
      <c r="P470" s="20"/>
      <c r="Q470" s="20"/>
      <c r="R470" s="20"/>
      <c r="S470" s="20"/>
      <c r="T470" s="20"/>
      <c r="U470" s="20"/>
      <c r="V470" s="20"/>
      <c r="W470" s="20"/>
      <c r="X470" s="20"/>
      <c r="Y470" s="20"/>
      <c r="Z470" s="20"/>
    </row>
    <row r="471" ht="13.5" customHeight="1" spans="1:26">
      <c r="A471" s="20"/>
      <c r="B471" s="20"/>
      <c r="C471" s="20"/>
      <c r="D471" s="20"/>
      <c r="E471" s="20"/>
      <c r="F471" s="20"/>
      <c r="G471" s="20"/>
      <c r="H471" s="20"/>
      <c r="I471" s="20"/>
      <c r="J471" s="20"/>
      <c r="K471" s="20"/>
      <c r="L471" s="20"/>
      <c r="M471" s="20"/>
      <c r="N471" s="20"/>
      <c r="O471" s="20"/>
      <c r="P471" s="20"/>
      <c r="Q471" s="20"/>
      <c r="R471" s="20"/>
      <c r="S471" s="20"/>
      <c r="T471" s="20"/>
      <c r="U471" s="20"/>
      <c r="V471" s="20"/>
      <c r="W471" s="20"/>
      <c r="X471" s="20"/>
      <c r="Y471" s="20"/>
      <c r="Z471" s="20"/>
    </row>
    <row r="472" ht="13.5" customHeight="1" spans="1:26">
      <c r="A472" s="20"/>
      <c r="B472" s="20"/>
      <c r="C472" s="20"/>
      <c r="D472" s="20"/>
      <c r="E472" s="20"/>
      <c r="F472" s="20"/>
      <c r="G472" s="20"/>
      <c r="H472" s="20"/>
      <c r="I472" s="20"/>
      <c r="J472" s="20"/>
      <c r="K472" s="20"/>
      <c r="L472" s="20"/>
      <c r="M472" s="20"/>
      <c r="N472" s="20"/>
      <c r="O472" s="20"/>
      <c r="P472" s="20"/>
      <c r="Q472" s="20"/>
      <c r="R472" s="20"/>
      <c r="S472" s="20"/>
      <c r="T472" s="20"/>
      <c r="U472" s="20"/>
      <c r="V472" s="20"/>
      <c r="W472" s="20"/>
      <c r="X472" s="20"/>
      <c r="Y472" s="20"/>
      <c r="Z472" s="20"/>
    </row>
    <row r="473" ht="13.5" customHeight="1" spans="1:26">
      <c r="A473" s="20"/>
      <c r="B473" s="20"/>
      <c r="C473" s="20"/>
      <c r="D473" s="20"/>
      <c r="E473" s="20"/>
      <c r="F473" s="20"/>
      <c r="G473" s="20"/>
      <c r="H473" s="20"/>
      <c r="I473" s="20"/>
      <c r="J473" s="20"/>
      <c r="K473" s="20"/>
      <c r="L473" s="20"/>
      <c r="M473" s="20"/>
      <c r="N473" s="20"/>
      <c r="O473" s="20"/>
      <c r="P473" s="20"/>
      <c r="Q473" s="20"/>
      <c r="R473" s="20"/>
      <c r="S473" s="20"/>
      <c r="T473" s="20"/>
      <c r="U473" s="20"/>
      <c r="V473" s="20"/>
      <c r="W473" s="20"/>
      <c r="X473" s="20"/>
      <c r="Y473" s="20"/>
      <c r="Z473" s="20"/>
    </row>
    <row r="474" ht="13.5" customHeight="1" spans="1:26">
      <c r="A474" s="20"/>
      <c r="B474" s="20"/>
      <c r="C474" s="20"/>
      <c r="D474" s="20"/>
      <c r="E474" s="20"/>
      <c r="F474" s="20"/>
      <c r="G474" s="20"/>
      <c r="H474" s="20"/>
      <c r="I474" s="20"/>
      <c r="J474" s="20"/>
      <c r="K474" s="20"/>
      <c r="L474" s="20"/>
      <c r="M474" s="20"/>
      <c r="N474" s="20"/>
      <c r="O474" s="20"/>
      <c r="P474" s="20"/>
      <c r="Q474" s="20"/>
      <c r="R474" s="20"/>
      <c r="S474" s="20"/>
      <c r="T474" s="20"/>
      <c r="U474" s="20"/>
      <c r="V474" s="20"/>
      <c r="W474" s="20"/>
      <c r="X474" s="20"/>
      <c r="Y474" s="20"/>
      <c r="Z474" s="20"/>
    </row>
    <row r="475" ht="13.5" customHeight="1" spans="1:26">
      <c r="A475" s="20"/>
      <c r="B475" s="20"/>
      <c r="C475" s="20"/>
      <c r="D475" s="20"/>
      <c r="E475" s="20"/>
      <c r="F475" s="20"/>
      <c r="G475" s="20"/>
      <c r="H475" s="20"/>
      <c r="I475" s="20"/>
      <c r="J475" s="20"/>
      <c r="K475" s="20"/>
      <c r="L475" s="20"/>
      <c r="M475" s="20"/>
      <c r="N475" s="20"/>
      <c r="O475" s="20"/>
      <c r="P475" s="20"/>
      <c r="Q475" s="20"/>
      <c r="R475" s="20"/>
      <c r="S475" s="20"/>
      <c r="T475" s="20"/>
      <c r="U475" s="20"/>
      <c r="V475" s="20"/>
      <c r="W475" s="20"/>
      <c r="X475" s="20"/>
      <c r="Y475" s="20"/>
      <c r="Z475" s="20"/>
    </row>
    <row r="476" ht="13.5" customHeight="1" spans="1:26">
      <c r="A476" s="20"/>
      <c r="B476" s="20"/>
      <c r="C476" s="20"/>
      <c r="D476" s="20"/>
      <c r="E476" s="20"/>
      <c r="F476" s="20"/>
      <c r="G476" s="20"/>
      <c r="H476" s="20"/>
      <c r="I476" s="20"/>
      <c r="J476" s="20"/>
      <c r="K476" s="20"/>
      <c r="L476" s="20"/>
      <c r="M476" s="20"/>
      <c r="N476" s="20"/>
      <c r="O476" s="20"/>
      <c r="P476" s="20"/>
      <c r="Q476" s="20"/>
      <c r="R476" s="20"/>
      <c r="S476" s="20"/>
      <c r="T476" s="20"/>
      <c r="U476" s="20"/>
      <c r="V476" s="20"/>
      <c r="W476" s="20"/>
      <c r="X476" s="20"/>
      <c r="Y476" s="20"/>
      <c r="Z476" s="20"/>
    </row>
    <row r="477" ht="13.5" customHeight="1" spans="1:26">
      <c r="A477" s="20"/>
      <c r="B477" s="20"/>
      <c r="C477" s="20"/>
      <c r="D477" s="20"/>
      <c r="E477" s="20"/>
      <c r="F477" s="20"/>
      <c r="G477" s="20"/>
      <c r="H477" s="20"/>
      <c r="I477" s="20"/>
      <c r="J477" s="20"/>
      <c r="K477" s="20"/>
      <c r="L477" s="20"/>
      <c r="M477" s="20"/>
      <c r="N477" s="20"/>
      <c r="O477" s="20"/>
      <c r="P477" s="20"/>
      <c r="Q477" s="20"/>
      <c r="R477" s="20"/>
      <c r="S477" s="20"/>
      <c r="T477" s="20"/>
      <c r="U477" s="20"/>
      <c r="V477" s="20"/>
      <c r="W477" s="20"/>
      <c r="X477" s="20"/>
      <c r="Y477" s="20"/>
      <c r="Z477" s="20"/>
    </row>
    <row r="478" ht="13.5" customHeight="1" spans="1:26">
      <c r="A478" s="20"/>
      <c r="B478" s="20"/>
      <c r="C478" s="20"/>
      <c r="D478" s="20"/>
      <c r="E478" s="20"/>
      <c r="F478" s="20"/>
      <c r="G478" s="20"/>
      <c r="H478" s="20"/>
      <c r="I478" s="20"/>
      <c r="J478" s="20"/>
      <c r="K478" s="20"/>
      <c r="L478" s="20"/>
      <c r="M478" s="20"/>
      <c r="N478" s="20"/>
      <c r="O478" s="20"/>
      <c r="P478" s="20"/>
      <c r="Q478" s="20"/>
      <c r="R478" s="20"/>
      <c r="S478" s="20"/>
      <c r="T478" s="20"/>
      <c r="U478" s="20"/>
      <c r="V478" s="20"/>
      <c r="W478" s="20"/>
      <c r="X478" s="20"/>
      <c r="Y478" s="20"/>
      <c r="Z478" s="20"/>
    </row>
    <row r="479" ht="13.5" customHeight="1" spans="1:26">
      <c r="A479" s="20"/>
      <c r="B479" s="20"/>
      <c r="C479" s="20"/>
      <c r="D479" s="20"/>
      <c r="E479" s="20"/>
      <c r="F479" s="20"/>
      <c r="G479" s="20"/>
      <c r="H479" s="20"/>
      <c r="I479" s="20"/>
      <c r="J479" s="20"/>
      <c r="K479" s="20"/>
      <c r="L479" s="20"/>
      <c r="M479" s="20"/>
      <c r="N479" s="20"/>
      <c r="O479" s="20"/>
      <c r="P479" s="20"/>
      <c r="Q479" s="20"/>
      <c r="R479" s="20"/>
      <c r="S479" s="20"/>
      <c r="T479" s="20"/>
      <c r="U479" s="20"/>
      <c r="V479" s="20"/>
      <c r="W479" s="20"/>
      <c r="X479" s="20"/>
      <c r="Y479" s="20"/>
      <c r="Z479" s="20"/>
    </row>
    <row r="480" ht="13.5" customHeight="1" spans="1:26">
      <c r="A480" s="20"/>
      <c r="B480" s="20"/>
      <c r="C480" s="20"/>
      <c r="D480" s="20"/>
      <c r="E480" s="20"/>
      <c r="F480" s="20"/>
      <c r="G480" s="20"/>
      <c r="H480" s="20"/>
      <c r="I480" s="20"/>
      <c r="J480" s="20"/>
      <c r="K480" s="20"/>
      <c r="L480" s="20"/>
      <c r="M480" s="20"/>
      <c r="N480" s="20"/>
      <c r="O480" s="20"/>
      <c r="P480" s="20"/>
      <c r="Q480" s="20"/>
      <c r="R480" s="20"/>
      <c r="S480" s="20"/>
      <c r="T480" s="20"/>
      <c r="U480" s="20"/>
      <c r="V480" s="20"/>
      <c r="W480" s="20"/>
      <c r="X480" s="20"/>
      <c r="Y480" s="20"/>
      <c r="Z480" s="20"/>
    </row>
    <row r="481" ht="13.5" customHeight="1" spans="1:26">
      <c r="A481" s="20"/>
      <c r="B481" s="20"/>
      <c r="C481" s="20"/>
      <c r="D481" s="20"/>
      <c r="E481" s="20"/>
      <c r="F481" s="20"/>
      <c r="G481" s="20"/>
      <c r="H481" s="20"/>
      <c r="I481" s="20"/>
      <c r="J481" s="20"/>
      <c r="K481" s="20"/>
      <c r="L481" s="20"/>
      <c r="M481" s="20"/>
      <c r="N481" s="20"/>
      <c r="O481" s="20"/>
      <c r="P481" s="20"/>
      <c r="Q481" s="20"/>
      <c r="R481" s="20"/>
      <c r="S481" s="20"/>
      <c r="T481" s="20"/>
      <c r="U481" s="20"/>
      <c r="V481" s="20"/>
      <c r="W481" s="20"/>
      <c r="X481" s="20"/>
      <c r="Y481" s="20"/>
      <c r="Z481" s="20"/>
    </row>
    <row r="482" ht="13.5" customHeight="1" spans="1:26">
      <c r="A482" s="20"/>
      <c r="B482" s="20"/>
      <c r="C482" s="20"/>
      <c r="D482" s="20"/>
      <c r="E482" s="20"/>
      <c r="F482" s="20"/>
      <c r="G482" s="20"/>
      <c r="H482" s="20"/>
      <c r="I482" s="20"/>
      <c r="J482" s="20"/>
      <c r="K482" s="20"/>
      <c r="L482" s="20"/>
      <c r="M482" s="20"/>
      <c r="N482" s="20"/>
      <c r="O482" s="20"/>
      <c r="P482" s="20"/>
      <c r="Q482" s="20"/>
      <c r="R482" s="20"/>
      <c r="S482" s="20"/>
      <c r="T482" s="20"/>
      <c r="U482" s="20"/>
      <c r="V482" s="20"/>
      <c r="W482" s="20"/>
      <c r="X482" s="20"/>
      <c r="Y482" s="20"/>
      <c r="Z482" s="20"/>
    </row>
    <row r="483" ht="13.5" customHeight="1" spans="1:26">
      <c r="A483" s="20"/>
      <c r="B483" s="20"/>
      <c r="C483" s="20"/>
      <c r="D483" s="20"/>
      <c r="E483" s="20"/>
      <c r="F483" s="20"/>
      <c r="G483" s="20"/>
      <c r="H483" s="20"/>
      <c r="I483" s="20"/>
      <c r="J483" s="20"/>
      <c r="K483" s="20"/>
      <c r="L483" s="20"/>
      <c r="M483" s="20"/>
      <c r="N483" s="20"/>
      <c r="O483" s="20"/>
      <c r="P483" s="20"/>
      <c r="Q483" s="20"/>
      <c r="R483" s="20"/>
      <c r="S483" s="20"/>
      <c r="T483" s="20"/>
      <c r="U483" s="20"/>
      <c r="V483" s="20"/>
      <c r="W483" s="20"/>
      <c r="X483" s="20"/>
      <c r="Y483" s="20"/>
      <c r="Z483" s="20"/>
    </row>
    <row r="484" ht="13.5" customHeight="1" spans="1:26">
      <c r="A484" s="20"/>
      <c r="B484" s="20"/>
      <c r="C484" s="20"/>
      <c r="D484" s="20"/>
      <c r="E484" s="20"/>
      <c r="F484" s="20"/>
      <c r="G484" s="20"/>
      <c r="H484" s="20"/>
      <c r="I484" s="20"/>
      <c r="J484" s="20"/>
      <c r="K484" s="20"/>
      <c r="L484" s="20"/>
      <c r="M484" s="20"/>
      <c r="N484" s="20"/>
      <c r="O484" s="20"/>
      <c r="P484" s="20"/>
      <c r="Q484" s="20"/>
      <c r="R484" s="20"/>
      <c r="S484" s="20"/>
      <c r="T484" s="20"/>
      <c r="U484" s="20"/>
      <c r="V484" s="20"/>
      <c r="W484" s="20"/>
      <c r="X484" s="20"/>
      <c r="Y484" s="20"/>
      <c r="Z484" s="20"/>
    </row>
    <row r="485" ht="13.5" customHeight="1" spans="1:26">
      <c r="A485" s="20"/>
      <c r="B485" s="20"/>
      <c r="C485" s="20"/>
      <c r="D485" s="20"/>
      <c r="E485" s="20"/>
      <c r="F485" s="20"/>
      <c r="G485" s="20"/>
      <c r="H485" s="20"/>
      <c r="I485" s="20"/>
      <c r="J485" s="20"/>
      <c r="K485" s="20"/>
      <c r="L485" s="20"/>
      <c r="M485" s="20"/>
      <c r="N485" s="20"/>
      <c r="O485" s="20"/>
      <c r="P485" s="20"/>
      <c r="Q485" s="20"/>
      <c r="R485" s="20"/>
      <c r="S485" s="20"/>
      <c r="T485" s="20"/>
      <c r="U485" s="20"/>
      <c r="V485" s="20"/>
      <c r="W485" s="20"/>
      <c r="X485" s="20"/>
      <c r="Y485" s="20"/>
      <c r="Z485" s="20"/>
    </row>
    <row r="486" ht="13.5" customHeight="1" spans="1:26">
      <c r="A486" s="20"/>
      <c r="B486" s="20"/>
      <c r="C486" s="20"/>
      <c r="D486" s="20"/>
      <c r="E486" s="20"/>
      <c r="F486" s="20"/>
      <c r="G486" s="20"/>
      <c r="H486" s="20"/>
      <c r="I486" s="20"/>
      <c r="J486" s="20"/>
      <c r="K486" s="20"/>
      <c r="L486" s="20"/>
      <c r="M486" s="20"/>
      <c r="N486" s="20"/>
      <c r="O486" s="20"/>
      <c r="P486" s="20"/>
      <c r="Q486" s="20"/>
      <c r="R486" s="20"/>
      <c r="S486" s="20"/>
      <c r="T486" s="20"/>
      <c r="U486" s="20"/>
      <c r="V486" s="20"/>
      <c r="W486" s="20"/>
      <c r="X486" s="20"/>
      <c r="Y486" s="20"/>
      <c r="Z486" s="20"/>
    </row>
    <row r="487" ht="13.5" customHeight="1" spans="1:26">
      <c r="A487" s="20"/>
      <c r="B487" s="20"/>
      <c r="C487" s="20"/>
      <c r="D487" s="20"/>
      <c r="E487" s="20"/>
      <c r="F487" s="20"/>
      <c r="G487" s="20"/>
      <c r="H487" s="20"/>
      <c r="I487" s="20"/>
      <c r="J487" s="20"/>
      <c r="K487" s="20"/>
      <c r="L487" s="20"/>
      <c r="M487" s="20"/>
      <c r="N487" s="20"/>
      <c r="O487" s="20"/>
      <c r="P487" s="20"/>
      <c r="Q487" s="20"/>
      <c r="R487" s="20"/>
      <c r="S487" s="20"/>
      <c r="T487" s="20"/>
      <c r="U487" s="20"/>
      <c r="V487" s="20"/>
      <c r="W487" s="20"/>
      <c r="X487" s="20"/>
      <c r="Y487" s="20"/>
      <c r="Z487" s="20"/>
    </row>
    <row r="488" ht="13.5" customHeight="1" spans="1:26">
      <c r="A488" s="20"/>
      <c r="B488" s="20"/>
      <c r="C488" s="20"/>
      <c r="D488" s="20"/>
      <c r="E488" s="20"/>
      <c r="F488" s="20"/>
      <c r="G488" s="20"/>
      <c r="H488" s="20"/>
      <c r="I488" s="20"/>
      <c r="J488" s="20"/>
      <c r="K488" s="20"/>
      <c r="L488" s="20"/>
      <c r="M488" s="20"/>
      <c r="N488" s="20"/>
      <c r="O488" s="20"/>
      <c r="P488" s="20"/>
      <c r="Q488" s="20"/>
      <c r="R488" s="20"/>
      <c r="S488" s="20"/>
      <c r="T488" s="20"/>
      <c r="U488" s="20"/>
      <c r="V488" s="20"/>
      <c r="W488" s="20"/>
      <c r="X488" s="20"/>
      <c r="Y488" s="20"/>
      <c r="Z488" s="20"/>
    </row>
    <row r="489" ht="13.5" customHeight="1" spans="1:26">
      <c r="A489" s="20"/>
      <c r="B489" s="20"/>
      <c r="C489" s="20"/>
      <c r="D489" s="20"/>
      <c r="E489" s="20"/>
      <c r="F489" s="20"/>
      <c r="G489" s="20"/>
      <c r="H489" s="20"/>
      <c r="I489" s="20"/>
      <c r="J489" s="20"/>
      <c r="K489" s="20"/>
      <c r="L489" s="20"/>
      <c r="M489" s="20"/>
      <c r="N489" s="20"/>
      <c r="O489" s="20"/>
      <c r="P489" s="20"/>
      <c r="Q489" s="20"/>
      <c r="R489" s="20"/>
      <c r="S489" s="20"/>
      <c r="T489" s="20"/>
      <c r="U489" s="20"/>
      <c r="V489" s="20"/>
      <c r="W489" s="20"/>
      <c r="X489" s="20"/>
      <c r="Y489" s="20"/>
      <c r="Z489" s="20"/>
    </row>
    <row r="490" ht="13.5" customHeight="1" spans="1:26">
      <c r="A490" s="20"/>
      <c r="B490" s="20"/>
      <c r="C490" s="20"/>
      <c r="D490" s="20"/>
      <c r="E490" s="20"/>
      <c r="F490" s="20"/>
      <c r="G490" s="20"/>
      <c r="H490" s="20"/>
      <c r="I490" s="20"/>
      <c r="J490" s="20"/>
      <c r="K490" s="20"/>
      <c r="L490" s="20"/>
      <c r="M490" s="20"/>
      <c r="N490" s="20"/>
      <c r="O490" s="20"/>
      <c r="P490" s="20"/>
      <c r="Q490" s="20"/>
      <c r="R490" s="20"/>
      <c r="S490" s="20"/>
      <c r="T490" s="20"/>
      <c r="U490" s="20"/>
      <c r="V490" s="20"/>
      <c r="W490" s="20"/>
      <c r="X490" s="20"/>
      <c r="Y490" s="20"/>
      <c r="Z490" s="20"/>
    </row>
    <row r="491" ht="13.5" customHeight="1" spans="1:26">
      <c r="A491" s="20"/>
      <c r="B491" s="20"/>
      <c r="C491" s="20"/>
      <c r="D491" s="20"/>
      <c r="E491" s="20"/>
      <c r="F491" s="20"/>
      <c r="G491" s="20"/>
      <c r="H491" s="20"/>
      <c r="I491" s="20"/>
      <c r="J491" s="20"/>
      <c r="K491" s="20"/>
      <c r="L491" s="20"/>
      <c r="M491" s="20"/>
      <c r="N491" s="20"/>
      <c r="O491" s="20"/>
      <c r="P491" s="20"/>
      <c r="Q491" s="20"/>
      <c r="R491" s="20"/>
      <c r="S491" s="20"/>
      <c r="T491" s="20"/>
      <c r="U491" s="20"/>
      <c r="V491" s="20"/>
      <c r="W491" s="20"/>
      <c r="X491" s="20"/>
      <c r="Y491" s="20"/>
      <c r="Z491" s="20"/>
    </row>
    <row r="492" ht="13.5" customHeight="1" spans="1:26">
      <c r="A492" s="20"/>
      <c r="B492" s="20"/>
      <c r="C492" s="20"/>
      <c r="D492" s="20"/>
      <c r="E492" s="20"/>
      <c r="F492" s="20"/>
      <c r="G492" s="20"/>
      <c r="H492" s="20"/>
      <c r="I492" s="20"/>
      <c r="J492" s="20"/>
      <c r="K492" s="20"/>
      <c r="L492" s="20"/>
      <c r="M492" s="20"/>
      <c r="N492" s="20"/>
      <c r="O492" s="20"/>
      <c r="P492" s="20"/>
      <c r="Q492" s="20"/>
      <c r="R492" s="20"/>
      <c r="S492" s="20"/>
      <c r="T492" s="20"/>
      <c r="U492" s="20"/>
      <c r="V492" s="20"/>
      <c r="W492" s="20"/>
      <c r="X492" s="20"/>
      <c r="Y492" s="20"/>
      <c r="Z492" s="20"/>
    </row>
    <row r="493" ht="13.5" customHeight="1" spans="1:26">
      <c r="A493" s="20"/>
      <c r="B493" s="20"/>
      <c r="C493" s="20"/>
      <c r="D493" s="20"/>
      <c r="E493" s="20"/>
      <c r="F493" s="20"/>
      <c r="G493" s="20"/>
      <c r="H493" s="20"/>
      <c r="I493" s="20"/>
      <c r="J493" s="20"/>
      <c r="K493" s="20"/>
      <c r="L493" s="20"/>
      <c r="M493" s="20"/>
      <c r="N493" s="20"/>
      <c r="O493" s="20"/>
      <c r="P493" s="20"/>
      <c r="Q493" s="20"/>
      <c r="R493" s="20"/>
      <c r="S493" s="20"/>
      <c r="T493" s="20"/>
      <c r="U493" s="20"/>
      <c r="V493" s="20"/>
      <c r="W493" s="20"/>
      <c r="X493" s="20"/>
      <c r="Y493" s="20"/>
      <c r="Z493" s="20"/>
    </row>
    <row r="494" ht="13.5" customHeight="1" spans="1:26">
      <c r="A494" s="20"/>
      <c r="B494" s="20"/>
      <c r="C494" s="20"/>
      <c r="D494" s="20"/>
      <c r="E494" s="20"/>
      <c r="F494" s="20"/>
      <c r="G494" s="20"/>
      <c r="H494" s="20"/>
      <c r="I494" s="20"/>
      <c r="J494" s="20"/>
      <c r="K494" s="20"/>
      <c r="L494" s="20"/>
      <c r="M494" s="20"/>
      <c r="N494" s="20"/>
      <c r="O494" s="20"/>
      <c r="P494" s="20"/>
      <c r="Q494" s="20"/>
      <c r="R494" s="20"/>
      <c r="S494" s="20"/>
      <c r="T494" s="20"/>
      <c r="U494" s="20"/>
      <c r="V494" s="20"/>
      <c r="W494" s="20"/>
      <c r="X494" s="20"/>
      <c r="Y494" s="20"/>
      <c r="Z494" s="20"/>
    </row>
    <row r="495" ht="13.5" customHeight="1" spans="1:26">
      <c r="A495" s="20"/>
      <c r="B495" s="20"/>
      <c r="C495" s="20"/>
      <c r="D495" s="20"/>
      <c r="E495" s="20"/>
      <c r="F495" s="20"/>
      <c r="G495" s="20"/>
      <c r="H495" s="20"/>
      <c r="I495" s="20"/>
      <c r="J495" s="20"/>
      <c r="K495" s="20"/>
      <c r="L495" s="20"/>
      <c r="M495" s="20"/>
      <c r="N495" s="20"/>
      <c r="O495" s="20"/>
      <c r="P495" s="20"/>
      <c r="Q495" s="20"/>
      <c r="R495" s="20"/>
      <c r="S495" s="20"/>
      <c r="T495" s="20"/>
      <c r="U495" s="20"/>
      <c r="V495" s="20"/>
      <c r="W495" s="20"/>
      <c r="X495" s="20"/>
      <c r="Y495" s="20"/>
      <c r="Z495" s="20"/>
    </row>
    <row r="496" ht="13.5" customHeight="1" spans="1:26">
      <c r="A496" s="20"/>
      <c r="B496" s="20"/>
      <c r="C496" s="20"/>
      <c r="D496" s="20"/>
      <c r="E496" s="20"/>
      <c r="F496" s="20"/>
      <c r="G496" s="20"/>
      <c r="H496" s="20"/>
      <c r="I496" s="20"/>
      <c r="J496" s="20"/>
      <c r="K496" s="20"/>
      <c r="L496" s="20"/>
      <c r="M496" s="20"/>
      <c r="N496" s="20"/>
      <c r="O496" s="20"/>
      <c r="P496" s="20"/>
      <c r="Q496" s="20"/>
      <c r="R496" s="20"/>
      <c r="S496" s="20"/>
      <c r="T496" s="20"/>
      <c r="U496" s="20"/>
      <c r="V496" s="20"/>
      <c r="W496" s="20"/>
      <c r="X496" s="20"/>
      <c r="Y496" s="20"/>
      <c r="Z496" s="20"/>
    </row>
    <row r="497" ht="13.5" customHeight="1" spans="1:26">
      <c r="A497" s="20"/>
      <c r="B497" s="20"/>
      <c r="C497" s="20"/>
      <c r="D497" s="20"/>
      <c r="E497" s="20"/>
      <c r="F497" s="20"/>
      <c r="G497" s="20"/>
      <c r="H497" s="20"/>
      <c r="I497" s="20"/>
      <c r="J497" s="20"/>
      <c r="K497" s="20"/>
      <c r="L497" s="20"/>
      <c r="M497" s="20"/>
      <c r="N497" s="20"/>
      <c r="O497" s="20"/>
      <c r="P497" s="20"/>
      <c r="Q497" s="20"/>
      <c r="R497" s="20"/>
      <c r="S497" s="20"/>
      <c r="T497" s="20"/>
      <c r="U497" s="20"/>
      <c r="V497" s="20"/>
      <c r="W497" s="20"/>
      <c r="X497" s="20"/>
      <c r="Y497" s="20"/>
      <c r="Z497" s="20"/>
    </row>
    <row r="498" ht="13.5" customHeight="1" spans="1:26">
      <c r="A498" s="20"/>
      <c r="B498" s="20"/>
      <c r="C498" s="20"/>
      <c r="D498" s="20"/>
      <c r="E498" s="20"/>
      <c r="F498" s="20"/>
      <c r="G498" s="20"/>
      <c r="H498" s="20"/>
      <c r="I498" s="20"/>
      <c r="J498" s="20"/>
      <c r="K498" s="20"/>
      <c r="L498" s="20"/>
      <c r="M498" s="20"/>
      <c r="N498" s="20"/>
      <c r="O498" s="20"/>
      <c r="P498" s="20"/>
      <c r="Q498" s="20"/>
      <c r="R498" s="20"/>
      <c r="S498" s="20"/>
      <c r="T498" s="20"/>
      <c r="U498" s="20"/>
      <c r="V498" s="20"/>
      <c r="W498" s="20"/>
      <c r="X498" s="20"/>
      <c r="Y498" s="20"/>
      <c r="Z498" s="20"/>
    </row>
    <row r="499" ht="13.5" customHeight="1" spans="1:26">
      <c r="A499" s="20"/>
      <c r="B499" s="20"/>
      <c r="C499" s="20"/>
      <c r="D499" s="20"/>
      <c r="E499" s="20"/>
      <c r="F499" s="20"/>
      <c r="G499" s="20"/>
      <c r="H499" s="20"/>
      <c r="I499" s="20"/>
      <c r="J499" s="20"/>
      <c r="K499" s="20"/>
      <c r="L499" s="20"/>
      <c r="M499" s="20"/>
      <c r="N499" s="20"/>
      <c r="O499" s="20"/>
      <c r="P499" s="20"/>
      <c r="Q499" s="20"/>
      <c r="R499" s="20"/>
      <c r="S499" s="20"/>
      <c r="T499" s="20"/>
      <c r="U499" s="20"/>
      <c r="V499" s="20"/>
      <c r="W499" s="20"/>
      <c r="X499" s="20"/>
      <c r="Y499" s="20"/>
      <c r="Z499" s="20"/>
    </row>
    <row r="500" ht="13.5" customHeight="1" spans="1:26">
      <c r="A500" s="20"/>
      <c r="B500" s="20"/>
      <c r="C500" s="20"/>
      <c r="D500" s="20"/>
      <c r="E500" s="20"/>
      <c r="F500" s="20"/>
      <c r="G500" s="20"/>
      <c r="H500" s="20"/>
      <c r="I500" s="20"/>
      <c r="J500" s="20"/>
      <c r="K500" s="20"/>
      <c r="L500" s="20"/>
      <c r="M500" s="20"/>
      <c r="N500" s="20"/>
      <c r="O500" s="20"/>
      <c r="P500" s="20"/>
      <c r="Q500" s="20"/>
      <c r="R500" s="20"/>
      <c r="S500" s="20"/>
      <c r="T500" s="20"/>
      <c r="U500" s="20"/>
      <c r="V500" s="20"/>
      <c r="W500" s="20"/>
      <c r="X500" s="20"/>
      <c r="Y500" s="20"/>
      <c r="Z500" s="20"/>
    </row>
    <row r="501" ht="13.5" customHeight="1" spans="1:26">
      <c r="A501" s="20"/>
      <c r="B501" s="20"/>
      <c r="C501" s="20"/>
      <c r="D501" s="20"/>
      <c r="E501" s="20"/>
      <c r="F501" s="20"/>
      <c r="G501" s="20"/>
      <c r="H501" s="20"/>
      <c r="I501" s="20"/>
      <c r="J501" s="20"/>
      <c r="K501" s="20"/>
      <c r="L501" s="20"/>
      <c r="M501" s="20"/>
      <c r="N501" s="20"/>
      <c r="O501" s="20"/>
      <c r="P501" s="20"/>
      <c r="Q501" s="20"/>
      <c r="R501" s="20"/>
      <c r="S501" s="20"/>
      <c r="T501" s="20"/>
      <c r="U501" s="20"/>
      <c r="V501" s="20"/>
      <c r="W501" s="20"/>
      <c r="X501" s="20"/>
      <c r="Y501" s="20"/>
      <c r="Z501" s="20"/>
    </row>
    <row r="502" ht="13.5" customHeight="1" spans="1:26">
      <c r="A502" s="20"/>
      <c r="B502" s="20"/>
      <c r="C502" s="20"/>
      <c r="D502" s="20"/>
      <c r="E502" s="20"/>
      <c r="F502" s="20"/>
      <c r="G502" s="20"/>
      <c r="H502" s="20"/>
      <c r="I502" s="20"/>
      <c r="J502" s="20"/>
      <c r="K502" s="20"/>
      <c r="L502" s="20"/>
      <c r="M502" s="20"/>
      <c r="N502" s="20"/>
      <c r="O502" s="20"/>
      <c r="P502" s="20"/>
      <c r="Q502" s="20"/>
      <c r="R502" s="20"/>
      <c r="S502" s="20"/>
      <c r="T502" s="20"/>
      <c r="U502" s="20"/>
      <c r="V502" s="20"/>
      <c r="W502" s="20"/>
      <c r="X502" s="20"/>
      <c r="Y502" s="20"/>
      <c r="Z502" s="20"/>
    </row>
    <row r="503" ht="13.5" customHeight="1" spans="1:26">
      <c r="A503" s="20"/>
      <c r="B503" s="20"/>
      <c r="C503" s="20"/>
      <c r="D503" s="20"/>
      <c r="E503" s="20"/>
      <c r="F503" s="20"/>
      <c r="G503" s="20"/>
      <c r="H503" s="20"/>
      <c r="I503" s="20"/>
      <c r="J503" s="20"/>
      <c r="K503" s="20"/>
      <c r="L503" s="20"/>
      <c r="M503" s="20"/>
      <c r="N503" s="20"/>
      <c r="O503" s="20"/>
      <c r="P503" s="20"/>
      <c r="Q503" s="20"/>
      <c r="R503" s="20"/>
      <c r="S503" s="20"/>
      <c r="T503" s="20"/>
      <c r="U503" s="20"/>
      <c r="V503" s="20"/>
      <c r="W503" s="20"/>
      <c r="X503" s="20"/>
      <c r="Y503" s="20"/>
      <c r="Z503" s="20"/>
    </row>
    <row r="504" ht="13.5" customHeight="1" spans="1:26">
      <c r="A504" s="20"/>
      <c r="B504" s="20"/>
      <c r="C504" s="20"/>
      <c r="D504" s="20"/>
      <c r="E504" s="20"/>
      <c r="F504" s="20"/>
      <c r="G504" s="20"/>
      <c r="H504" s="20"/>
      <c r="I504" s="20"/>
      <c r="J504" s="20"/>
      <c r="K504" s="20"/>
      <c r="L504" s="20"/>
      <c r="M504" s="20"/>
      <c r="N504" s="20"/>
      <c r="O504" s="20"/>
      <c r="P504" s="20"/>
      <c r="Q504" s="20"/>
      <c r="R504" s="20"/>
      <c r="S504" s="20"/>
      <c r="T504" s="20"/>
      <c r="U504" s="20"/>
      <c r="V504" s="20"/>
      <c r="W504" s="20"/>
      <c r="X504" s="20"/>
      <c r="Y504" s="20"/>
      <c r="Z504" s="20"/>
    </row>
    <row r="505" ht="13.5" customHeight="1" spans="1:26">
      <c r="A505" s="20"/>
      <c r="B505" s="20"/>
      <c r="C505" s="20"/>
      <c r="D505" s="20"/>
      <c r="E505" s="20"/>
      <c r="F505" s="20"/>
      <c r="G505" s="20"/>
      <c r="H505" s="20"/>
      <c r="I505" s="20"/>
      <c r="J505" s="20"/>
      <c r="K505" s="20"/>
      <c r="L505" s="20"/>
      <c r="M505" s="20"/>
      <c r="N505" s="20"/>
      <c r="O505" s="20"/>
      <c r="P505" s="20"/>
      <c r="Q505" s="20"/>
      <c r="R505" s="20"/>
      <c r="S505" s="20"/>
      <c r="T505" s="20"/>
      <c r="U505" s="20"/>
      <c r="V505" s="20"/>
      <c r="W505" s="20"/>
      <c r="X505" s="20"/>
      <c r="Y505" s="20"/>
      <c r="Z505" s="20"/>
    </row>
    <row r="506" ht="13.5" customHeight="1" spans="1:26">
      <c r="A506" s="20"/>
      <c r="B506" s="20"/>
      <c r="C506" s="20"/>
      <c r="D506" s="20"/>
      <c r="E506" s="20"/>
      <c r="F506" s="20"/>
      <c r="G506" s="20"/>
      <c r="H506" s="20"/>
      <c r="I506" s="20"/>
      <c r="J506" s="20"/>
      <c r="K506" s="20"/>
      <c r="L506" s="20"/>
      <c r="M506" s="20"/>
      <c r="N506" s="20"/>
      <c r="O506" s="20"/>
      <c r="P506" s="20"/>
      <c r="Q506" s="20"/>
      <c r="R506" s="20"/>
      <c r="S506" s="20"/>
      <c r="T506" s="20"/>
      <c r="U506" s="20"/>
      <c r="V506" s="20"/>
      <c r="W506" s="20"/>
      <c r="X506" s="20"/>
      <c r="Y506" s="20"/>
      <c r="Z506" s="20"/>
    </row>
    <row r="507" ht="13.5" customHeight="1" spans="1:26">
      <c r="A507" s="20"/>
      <c r="B507" s="20"/>
      <c r="C507" s="20"/>
      <c r="D507" s="20"/>
      <c r="E507" s="20"/>
      <c r="F507" s="20"/>
      <c r="G507" s="20"/>
      <c r="H507" s="20"/>
      <c r="I507" s="20"/>
      <c r="J507" s="20"/>
      <c r="K507" s="20"/>
      <c r="L507" s="20"/>
      <c r="M507" s="20"/>
      <c r="N507" s="20"/>
      <c r="O507" s="20"/>
      <c r="P507" s="20"/>
      <c r="Q507" s="20"/>
      <c r="R507" s="20"/>
      <c r="S507" s="20"/>
      <c r="T507" s="20"/>
      <c r="U507" s="20"/>
      <c r="V507" s="20"/>
      <c r="W507" s="20"/>
      <c r="X507" s="20"/>
      <c r="Y507" s="20"/>
      <c r="Z507" s="20"/>
    </row>
    <row r="508" ht="13.5" customHeight="1" spans="1:26">
      <c r="A508" s="20"/>
      <c r="B508" s="20"/>
      <c r="C508" s="20"/>
      <c r="D508" s="20"/>
      <c r="E508" s="20"/>
      <c r="F508" s="20"/>
      <c r="G508" s="20"/>
      <c r="H508" s="20"/>
      <c r="I508" s="20"/>
      <c r="J508" s="20"/>
      <c r="K508" s="20"/>
      <c r="L508" s="20"/>
      <c r="M508" s="20"/>
      <c r="N508" s="20"/>
      <c r="O508" s="20"/>
      <c r="P508" s="20"/>
      <c r="Q508" s="20"/>
      <c r="R508" s="20"/>
      <c r="S508" s="20"/>
      <c r="T508" s="20"/>
      <c r="U508" s="20"/>
      <c r="V508" s="20"/>
      <c r="W508" s="20"/>
      <c r="X508" s="20"/>
      <c r="Y508" s="20"/>
      <c r="Z508" s="20"/>
    </row>
    <row r="509" ht="13.5" customHeight="1" spans="1:26">
      <c r="A509" s="20"/>
      <c r="B509" s="20"/>
      <c r="C509" s="20"/>
      <c r="D509" s="20"/>
      <c r="E509" s="20"/>
      <c r="F509" s="20"/>
      <c r="G509" s="20"/>
      <c r="H509" s="20"/>
      <c r="I509" s="20"/>
      <c r="J509" s="20"/>
      <c r="K509" s="20"/>
      <c r="L509" s="20"/>
      <c r="M509" s="20"/>
      <c r="N509" s="20"/>
      <c r="O509" s="20"/>
      <c r="P509" s="20"/>
      <c r="Q509" s="20"/>
      <c r="R509" s="20"/>
      <c r="S509" s="20"/>
      <c r="T509" s="20"/>
      <c r="U509" s="20"/>
      <c r="V509" s="20"/>
      <c r="W509" s="20"/>
      <c r="X509" s="20"/>
      <c r="Y509" s="20"/>
      <c r="Z509" s="20"/>
    </row>
    <row r="510" ht="13.5" customHeight="1" spans="1:26">
      <c r="A510" s="20"/>
      <c r="B510" s="20"/>
      <c r="C510" s="20"/>
      <c r="D510" s="20"/>
      <c r="E510" s="20"/>
      <c r="F510" s="20"/>
      <c r="G510" s="20"/>
      <c r="H510" s="20"/>
      <c r="I510" s="20"/>
      <c r="J510" s="20"/>
      <c r="K510" s="20"/>
      <c r="L510" s="20"/>
      <c r="M510" s="20"/>
      <c r="N510" s="20"/>
      <c r="O510" s="20"/>
      <c r="P510" s="20"/>
      <c r="Q510" s="20"/>
      <c r="R510" s="20"/>
      <c r="S510" s="20"/>
      <c r="T510" s="20"/>
      <c r="U510" s="20"/>
      <c r="V510" s="20"/>
      <c r="W510" s="20"/>
      <c r="X510" s="20"/>
      <c r="Y510" s="20"/>
      <c r="Z510" s="20"/>
    </row>
    <row r="511" ht="13.5" customHeight="1" spans="1:26">
      <c r="A511" s="20"/>
      <c r="B511" s="20"/>
      <c r="C511" s="20"/>
      <c r="D511" s="20"/>
      <c r="E511" s="20"/>
      <c r="F511" s="20"/>
      <c r="G511" s="20"/>
      <c r="H511" s="20"/>
      <c r="I511" s="20"/>
      <c r="J511" s="20"/>
      <c r="K511" s="20"/>
      <c r="L511" s="20"/>
      <c r="M511" s="20"/>
      <c r="N511" s="20"/>
      <c r="O511" s="20"/>
      <c r="P511" s="20"/>
      <c r="Q511" s="20"/>
      <c r="R511" s="20"/>
      <c r="S511" s="20"/>
      <c r="T511" s="20"/>
      <c r="U511" s="20"/>
      <c r="V511" s="20"/>
      <c r="W511" s="20"/>
      <c r="X511" s="20"/>
      <c r="Y511" s="20"/>
      <c r="Z511" s="20"/>
    </row>
    <row r="512" ht="13.5" customHeight="1" spans="1:26">
      <c r="A512" s="20"/>
      <c r="B512" s="20"/>
      <c r="C512" s="20"/>
      <c r="D512" s="20"/>
      <c r="E512" s="20"/>
      <c r="F512" s="20"/>
      <c r="G512" s="20"/>
      <c r="H512" s="20"/>
      <c r="I512" s="20"/>
      <c r="J512" s="20"/>
      <c r="K512" s="20"/>
      <c r="L512" s="20"/>
      <c r="M512" s="20"/>
      <c r="N512" s="20"/>
      <c r="O512" s="20"/>
      <c r="P512" s="20"/>
      <c r="Q512" s="20"/>
      <c r="R512" s="20"/>
      <c r="S512" s="20"/>
      <c r="T512" s="20"/>
      <c r="U512" s="20"/>
      <c r="V512" s="20"/>
      <c r="W512" s="20"/>
      <c r="X512" s="20"/>
      <c r="Y512" s="20"/>
      <c r="Z512" s="20"/>
    </row>
    <row r="513" ht="13.5" customHeight="1" spans="1:26">
      <c r="A513" s="20"/>
      <c r="B513" s="20"/>
      <c r="C513" s="20"/>
      <c r="D513" s="20"/>
      <c r="E513" s="20"/>
      <c r="F513" s="20"/>
      <c r="G513" s="20"/>
      <c r="H513" s="20"/>
      <c r="I513" s="20"/>
      <c r="J513" s="20"/>
      <c r="K513" s="20"/>
      <c r="L513" s="20"/>
      <c r="M513" s="20"/>
      <c r="N513" s="20"/>
      <c r="O513" s="20"/>
      <c r="P513" s="20"/>
      <c r="Q513" s="20"/>
      <c r="R513" s="20"/>
      <c r="S513" s="20"/>
      <c r="T513" s="20"/>
      <c r="U513" s="20"/>
      <c r="V513" s="20"/>
      <c r="W513" s="20"/>
      <c r="X513" s="20"/>
      <c r="Y513" s="20"/>
      <c r="Z513" s="20"/>
    </row>
    <row r="514" ht="13.5" customHeight="1" spans="1:26">
      <c r="A514" s="20"/>
      <c r="B514" s="20"/>
      <c r="C514" s="20"/>
      <c r="D514" s="20"/>
      <c r="E514" s="20"/>
      <c r="F514" s="20"/>
      <c r="G514" s="20"/>
      <c r="H514" s="20"/>
      <c r="I514" s="20"/>
      <c r="J514" s="20"/>
      <c r="K514" s="20"/>
      <c r="L514" s="20"/>
      <c r="M514" s="20"/>
      <c r="N514" s="20"/>
      <c r="O514" s="20"/>
      <c r="P514" s="20"/>
      <c r="Q514" s="20"/>
      <c r="R514" s="20"/>
      <c r="S514" s="20"/>
      <c r="T514" s="20"/>
      <c r="U514" s="20"/>
      <c r="V514" s="20"/>
      <c r="W514" s="20"/>
      <c r="X514" s="20"/>
      <c r="Y514" s="20"/>
      <c r="Z514" s="20"/>
    </row>
    <row r="515" ht="13.5" customHeight="1" spans="1:26">
      <c r="A515" s="20"/>
      <c r="B515" s="20"/>
      <c r="C515" s="20"/>
      <c r="D515" s="20"/>
      <c r="E515" s="20"/>
      <c r="F515" s="20"/>
      <c r="G515" s="20"/>
      <c r="H515" s="20"/>
      <c r="I515" s="20"/>
      <c r="J515" s="20"/>
      <c r="K515" s="20"/>
      <c r="L515" s="20"/>
      <c r="M515" s="20"/>
      <c r="N515" s="20"/>
      <c r="O515" s="20"/>
      <c r="P515" s="20"/>
      <c r="Q515" s="20"/>
      <c r="R515" s="20"/>
      <c r="S515" s="20"/>
      <c r="T515" s="20"/>
      <c r="U515" s="20"/>
      <c r="V515" s="20"/>
      <c r="W515" s="20"/>
      <c r="X515" s="20"/>
      <c r="Y515" s="20"/>
      <c r="Z515" s="20"/>
    </row>
    <row r="516" ht="13.5" customHeight="1" spans="1:26">
      <c r="A516" s="20"/>
      <c r="B516" s="20"/>
      <c r="C516" s="20"/>
      <c r="D516" s="20"/>
      <c r="E516" s="20"/>
      <c r="F516" s="20"/>
      <c r="G516" s="20"/>
      <c r="H516" s="20"/>
      <c r="I516" s="20"/>
      <c r="J516" s="20"/>
      <c r="K516" s="20"/>
      <c r="L516" s="20"/>
      <c r="M516" s="20"/>
      <c r="N516" s="20"/>
      <c r="O516" s="20"/>
      <c r="P516" s="20"/>
      <c r="Q516" s="20"/>
      <c r="R516" s="20"/>
      <c r="S516" s="20"/>
      <c r="T516" s="20"/>
      <c r="U516" s="20"/>
      <c r="V516" s="20"/>
      <c r="W516" s="20"/>
      <c r="X516" s="20"/>
      <c r="Y516" s="20"/>
      <c r="Z516" s="20"/>
    </row>
    <row r="517" ht="13.5" customHeight="1" spans="1:26">
      <c r="A517" s="20"/>
      <c r="B517" s="20"/>
      <c r="C517" s="20"/>
      <c r="D517" s="20"/>
      <c r="E517" s="20"/>
      <c r="F517" s="20"/>
      <c r="G517" s="20"/>
      <c r="H517" s="20"/>
      <c r="I517" s="20"/>
      <c r="J517" s="20"/>
      <c r="K517" s="20"/>
      <c r="L517" s="20"/>
      <c r="M517" s="20"/>
      <c r="N517" s="20"/>
      <c r="O517" s="20"/>
      <c r="P517" s="20"/>
      <c r="Q517" s="20"/>
      <c r="R517" s="20"/>
      <c r="S517" s="20"/>
      <c r="T517" s="20"/>
      <c r="U517" s="20"/>
      <c r="V517" s="20"/>
      <c r="W517" s="20"/>
      <c r="X517" s="20"/>
      <c r="Y517" s="20"/>
      <c r="Z517" s="20"/>
    </row>
    <row r="518" ht="13.5" customHeight="1" spans="1:26">
      <c r="A518" s="20"/>
      <c r="B518" s="20"/>
      <c r="C518" s="20"/>
      <c r="D518" s="20"/>
      <c r="E518" s="20"/>
      <c r="F518" s="20"/>
      <c r="G518" s="20"/>
      <c r="H518" s="20"/>
      <c r="I518" s="20"/>
      <c r="J518" s="20"/>
      <c r="K518" s="20"/>
      <c r="L518" s="20"/>
      <c r="M518" s="20"/>
      <c r="N518" s="20"/>
      <c r="O518" s="20"/>
      <c r="P518" s="20"/>
      <c r="Q518" s="20"/>
      <c r="R518" s="20"/>
      <c r="S518" s="20"/>
      <c r="T518" s="20"/>
      <c r="U518" s="20"/>
      <c r="V518" s="20"/>
      <c r="W518" s="20"/>
      <c r="X518" s="20"/>
      <c r="Y518" s="20"/>
      <c r="Z518" s="20"/>
    </row>
    <row r="519" ht="13.5" customHeight="1" spans="1:26">
      <c r="A519" s="20"/>
      <c r="B519" s="20"/>
      <c r="C519" s="20"/>
      <c r="D519" s="20"/>
      <c r="E519" s="20"/>
      <c r="F519" s="20"/>
      <c r="G519" s="20"/>
      <c r="H519" s="20"/>
      <c r="I519" s="20"/>
      <c r="J519" s="20"/>
      <c r="K519" s="20"/>
      <c r="L519" s="20"/>
      <c r="M519" s="20"/>
      <c r="N519" s="20"/>
      <c r="O519" s="20"/>
      <c r="P519" s="20"/>
      <c r="Q519" s="20"/>
      <c r="R519" s="20"/>
      <c r="S519" s="20"/>
      <c r="T519" s="20"/>
      <c r="U519" s="20"/>
      <c r="V519" s="20"/>
      <c r="W519" s="20"/>
      <c r="X519" s="20"/>
      <c r="Y519" s="20"/>
      <c r="Z519" s="20"/>
    </row>
    <row r="520" ht="13.5" customHeight="1" spans="1:26">
      <c r="A520" s="20"/>
      <c r="B520" s="20"/>
      <c r="C520" s="20"/>
      <c r="D520" s="20"/>
      <c r="E520" s="20"/>
      <c r="F520" s="20"/>
      <c r="G520" s="20"/>
      <c r="H520" s="20"/>
      <c r="I520" s="20"/>
      <c r="J520" s="20"/>
      <c r="K520" s="20"/>
      <c r="L520" s="20"/>
      <c r="M520" s="20"/>
      <c r="N520" s="20"/>
      <c r="O520" s="20"/>
      <c r="P520" s="20"/>
      <c r="Q520" s="20"/>
      <c r="R520" s="20"/>
      <c r="S520" s="20"/>
      <c r="T520" s="20"/>
      <c r="U520" s="20"/>
      <c r="V520" s="20"/>
      <c r="W520" s="20"/>
      <c r="X520" s="20"/>
      <c r="Y520" s="20"/>
      <c r="Z520" s="20"/>
    </row>
    <row r="521" ht="13.5" customHeight="1" spans="1:26">
      <c r="A521" s="20"/>
      <c r="B521" s="20"/>
      <c r="C521" s="20"/>
      <c r="D521" s="20"/>
      <c r="E521" s="20"/>
      <c r="F521" s="20"/>
      <c r="G521" s="20"/>
      <c r="H521" s="20"/>
      <c r="I521" s="20"/>
      <c r="J521" s="20"/>
      <c r="K521" s="20"/>
      <c r="L521" s="20"/>
      <c r="M521" s="20"/>
      <c r="N521" s="20"/>
      <c r="O521" s="20"/>
      <c r="P521" s="20"/>
      <c r="Q521" s="20"/>
      <c r="R521" s="20"/>
      <c r="S521" s="20"/>
      <c r="T521" s="20"/>
      <c r="U521" s="20"/>
      <c r="V521" s="20"/>
      <c r="W521" s="20"/>
      <c r="X521" s="20"/>
      <c r="Y521" s="20"/>
      <c r="Z521" s="20"/>
    </row>
    <row r="522" ht="13.5" customHeight="1" spans="1:26">
      <c r="A522" s="20"/>
      <c r="B522" s="20"/>
      <c r="C522" s="20"/>
      <c r="D522" s="20"/>
      <c r="E522" s="20"/>
      <c r="F522" s="20"/>
      <c r="G522" s="20"/>
      <c r="H522" s="20"/>
      <c r="I522" s="20"/>
      <c r="J522" s="20"/>
      <c r="K522" s="20"/>
      <c r="L522" s="20"/>
      <c r="M522" s="20"/>
      <c r="N522" s="20"/>
      <c r="O522" s="20"/>
      <c r="P522" s="20"/>
      <c r="Q522" s="20"/>
      <c r="R522" s="20"/>
      <c r="S522" s="20"/>
      <c r="T522" s="20"/>
      <c r="U522" s="20"/>
      <c r="V522" s="20"/>
      <c r="W522" s="20"/>
      <c r="X522" s="20"/>
      <c r="Y522" s="20"/>
      <c r="Z522" s="20"/>
    </row>
    <row r="523" ht="13.5" customHeight="1" spans="1:26">
      <c r="A523" s="20"/>
      <c r="B523" s="20"/>
      <c r="C523" s="20"/>
      <c r="D523" s="20"/>
      <c r="E523" s="20"/>
      <c r="F523" s="20"/>
      <c r="G523" s="20"/>
      <c r="H523" s="20"/>
      <c r="I523" s="20"/>
      <c r="J523" s="20"/>
      <c r="K523" s="20"/>
      <c r="L523" s="20"/>
      <c r="M523" s="20"/>
      <c r="N523" s="20"/>
      <c r="O523" s="20"/>
      <c r="P523" s="20"/>
      <c r="Q523" s="20"/>
      <c r="R523" s="20"/>
      <c r="S523" s="20"/>
      <c r="T523" s="20"/>
      <c r="U523" s="20"/>
      <c r="V523" s="20"/>
      <c r="W523" s="20"/>
      <c r="X523" s="20"/>
      <c r="Y523" s="20"/>
      <c r="Z523" s="20"/>
    </row>
    <row r="524" ht="13.5" customHeight="1" spans="1:26">
      <c r="A524" s="20"/>
      <c r="B524" s="20"/>
      <c r="C524" s="20"/>
      <c r="D524" s="20"/>
      <c r="E524" s="20"/>
      <c r="F524" s="20"/>
      <c r="G524" s="20"/>
      <c r="H524" s="20"/>
      <c r="I524" s="20"/>
      <c r="J524" s="20"/>
      <c r="K524" s="20"/>
      <c r="L524" s="20"/>
      <c r="M524" s="20"/>
      <c r="N524" s="20"/>
      <c r="O524" s="20"/>
      <c r="P524" s="20"/>
      <c r="Q524" s="20"/>
      <c r="R524" s="20"/>
      <c r="S524" s="20"/>
      <c r="T524" s="20"/>
      <c r="U524" s="20"/>
      <c r="V524" s="20"/>
      <c r="W524" s="20"/>
      <c r="X524" s="20"/>
      <c r="Y524" s="20"/>
      <c r="Z524" s="20"/>
    </row>
    <row r="525" ht="13.5" customHeight="1" spans="1:26">
      <c r="A525" s="20"/>
      <c r="B525" s="20"/>
      <c r="C525" s="20"/>
      <c r="D525" s="20"/>
      <c r="E525" s="20"/>
      <c r="F525" s="20"/>
      <c r="G525" s="20"/>
      <c r="H525" s="20"/>
      <c r="I525" s="20"/>
      <c r="J525" s="20"/>
      <c r="K525" s="20"/>
      <c r="L525" s="20"/>
      <c r="M525" s="20"/>
      <c r="N525" s="20"/>
      <c r="O525" s="20"/>
      <c r="P525" s="20"/>
      <c r="Q525" s="20"/>
      <c r="R525" s="20"/>
      <c r="S525" s="20"/>
      <c r="T525" s="20"/>
      <c r="U525" s="20"/>
      <c r="V525" s="20"/>
      <c r="W525" s="20"/>
      <c r="X525" s="20"/>
      <c r="Y525" s="20"/>
      <c r="Z525" s="20"/>
    </row>
    <row r="526" ht="13.5" customHeight="1" spans="1:26">
      <c r="A526" s="20"/>
      <c r="B526" s="20"/>
      <c r="C526" s="20"/>
      <c r="D526" s="20"/>
      <c r="E526" s="20"/>
      <c r="F526" s="20"/>
      <c r="G526" s="20"/>
      <c r="H526" s="20"/>
      <c r="I526" s="20"/>
      <c r="J526" s="20"/>
      <c r="K526" s="20"/>
      <c r="L526" s="20"/>
      <c r="M526" s="20"/>
      <c r="N526" s="20"/>
      <c r="O526" s="20"/>
      <c r="P526" s="20"/>
      <c r="Q526" s="20"/>
      <c r="R526" s="20"/>
      <c r="S526" s="20"/>
      <c r="T526" s="20"/>
      <c r="U526" s="20"/>
      <c r="V526" s="20"/>
      <c r="W526" s="20"/>
      <c r="X526" s="20"/>
      <c r="Y526" s="20"/>
      <c r="Z526" s="20"/>
    </row>
    <row r="527" ht="13.5" customHeight="1" spans="1:26">
      <c r="A527" s="20"/>
      <c r="B527" s="20"/>
      <c r="C527" s="20"/>
      <c r="D527" s="20"/>
      <c r="E527" s="20"/>
      <c r="F527" s="20"/>
      <c r="G527" s="20"/>
      <c r="H527" s="20"/>
      <c r="I527" s="20"/>
      <c r="J527" s="20"/>
      <c r="K527" s="20"/>
      <c r="L527" s="20"/>
      <c r="M527" s="20"/>
      <c r="N527" s="20"/>
      <c r="O527" s="20"/>
      <c r="P527" s="20"/>
      <c r="Q527" s="20"/>
      <c r="R527" s="20"/>
      <c r="S527" s="20"/>
      <c r="T527" s="20"/>
      <c r="U527" s="20"/>
      <c r="V527" s="20"/>
      <c r="W527" s="20"/>
      <c r="X527" s="20"/>
      <c r="Y527" s="20"/>
      <c r="Z527" s="20"/>
    </row>
    <row r="528" ht="13.5" customHeight="1" spans="1:26">
      <c r="A528" s="20"/>
      <c r="B528" s="20"/>
      <c r="C528" s="20"/>
      <c r="D528" s="20"/>
      <c r="E528" s="20"/>
      <c r="F528" s="20"/>
      <c r="G528" s="20"/>
      <c r="H528" s="20"/>
      <c r="I528" s="20"/>
      <c r="J528" s="20"/>
      <c r="K528" s="20"/>
      <c r="L528" s="20"/>
      <c r="M528" s="20"/>
      <c r="N528" s="20"/>
      <c r="O528" s="20"/>
      <c r="P528" s="20"/>
      <c r="Q528" s="20"/>
      <c r="R528" s="20"/>
      <c r="S528" s="20"/>
      <c r="T528" s="20"/>
      <c r="U528" s="20"/>
      <c r="V528" s="20"/>
      <c r="W528" s="20"/>
      <c r="X528" s="20"/>
      <c r="Y528" s="20"/>
      <c r="Z528" s="20"/>
    </row>
    <row r="529" ht="13.5" customHeight="1" spans="1:26">
      <c r="A529" s="20"/>
      <c r="B529" s="20"/>
      <c r="C529" s="20"/>
      <c r="D529" s="20"/>
      <c r="E529" s="20"/>
      <c r="F529" s="20"/>
      <c r="G529" s="20"/>
      <c r="H529" s="20"/>
      <c r="I529" s="20"/>
      <c r="J529" s="20"/>
      <c r="K529" s="20"/>
      <c r="L529" s="20"/>
      <c r="M529" s="20"/>
      <c r="N529" s="20"/>
      <c r="O529" s="20"/>
      <c r="P529" s="20"/>
      <c r="Q529" s="20"/>
      <c r="R529" s="20"/>
      <c r="S529" s="20"/>
      <c r="T529" s="20"/>
      <c r="U529" s="20"/>
      <c r="V529" s="20"/>
      <c r="W529" s="20"/>
      <c r="X529" s="20"/>
      <c r="Y529" s="20"/>
      <c r="Z529" s="20"/>
    </row>
    <row r="530" ht="13.5" customHeight="1" spans="1:26">
      <c r="A530" s="20"/>
      <c r="B530" s="20"/>
      <c r="C530" s="20"/>
      <c r="D530" s="20"/>
      <c r="E530" s="20"/>
      <c r="F530" s="20"/>
      <c r="G530" s="20"/>
      <c r="H530" s="20"/>
      <c r="I530" s="20"/>
      <c r="J530" s="20"/>
      <c r="K530" s="20"/>
      <c r="L530" s="20"/>
      <c r="M530" s="20"/>
      <c r="N530" s="20"/>
      <c r="O530" s="20"/>
      <c r="P530" s="20"/>
      <c r="Q530" s="20"/>
      <c r="R530" s="20"/>
      <c r="S530" s="20"/>
      <c r="T530" s="20"/>
      <c r="U530" s="20"/>
      <c r="V530" s="20"/>
      <c r="W530" s="20"/>
      <c r="X530" s="20"/>
      <c r="Y530" s="20"/>
      <c r="Z530" s="20"/>
    </row>
    <row r="531" ht="13.5" customHeight="1" spans="1:26">
      <c r="A531" s="20"/>
      <c r="B531" s="20"/>
      <c r="C531" s="20"/>
      <c r="D531" s="20"/>
      <c r="E531" s="20"/>
      <c r="F531" s="20"/>
      <c r="G531" s="20"/>
      <c r="H531" s="20"/>
      <c r="I531" s="20"/>
      <c r="J531" s="20"/>
      <c r="K531" s="20"/>
      <c r="L531" s="20"/>
      <c r="M531" s="20"/>
      <c r="N531" s="20"/>
      <c r="O531" s="20"/>
      <c r="P531" s="20"/>
      <c r="Q531" s="20"/>
      <c r="R531" s="20"/>
      <c r="S531" s="20"/>
      <c r="T531" s="20"/>
      <c r="U531" s="20"/>
      <c r="V531" s="20"/>
      <c r="W531" s="20"/>
      <c r="X531" s="20"/>
      <c r="Y531" s="20"/>
      <c r="Z531" s="20"/>
    </row>
    <row r="532" ht="13.5" customHeight="1" spans="1:26">
      <c r="A532" s="20"/>
      <c r="B532" s="20"/>
      <c r="C532" s="20"/>
      <c r="D532" s="20"/>
      <c r="E532" s="20"/>
      <c r="F532" s="20"/>
      <c r="G532" s="20"/>
      <c r="H532" s="20"/>
      <c r="I532" s="20"/>
      <c r="J532" s="20"/>
      <c r="K532" s="20"/>
      <c r="L532" s="20"/>
      <c r="M532" s="20"/>
      <c r="N532" s="20"/>
      <c r="O532" s="20"/>
      <c r="P532" s="20"/>
      <c r="Q532" s="20"/>
      <c r="R532" s="20"/>
      <c r="S532" s="20"/>
      <c r="T532" s="20"/>
      <c r="U532" s="20"/>
      <c r="V532" s="20"/>
      <c r="W532" s="20"/>
      <c r="X532" s="20"/>
      <c r="Y532" s="20"/>
      <c r="Z532" s="20"/>
    </row>
    <row r="533" ht="13.5" customHeight="1" spans="1:26">
      <c r="A533" s="20"/>
      <c r="B533" s="20"/>
      <c r="C533" s="20"/>
      <c r="D533" s="20"/>
      <c r="E533" s="20"/>
      <c r="F533" s="20"/>
      <c r="G533" s="20"/>
      <c r="H533" s="20"/>
      <c r="I533" s="20"/>
      <c r="J533" s="20"/>
      <c r="K533" s="20"/>
      <c r="L533" s="20"/>
      <c r="M533" s="20"/>
      <c r="N533" s="20"/>
      <c r="O533" s="20"/>
      <c r="P533" s="20"/>
      <c r="Q533" s="20"/>
      <c r="R533" s="20"/>
      <c r="S533" s="20"/>
      <c r="T533" s="20"/>
      <c r="U533" s="20"/>
      <c r="V533" s="20"/>
      <c r="W533" s="20"/>
      <c r="X533" s="20"/>
      <c r="Y533" s="20"/>
      <c r="Z533" s="20"/>
    </row>
    <row r="534" ht="13.5" customHeight="1" spans="1:26">
      <c r="A534" s="20"/>
      <c r="B534" s="20"/>
      <c r="C534" s="20"/>
      <c r="D534" s="20"/>
      <c r="E534" s="20"/>
      <c r="F534" s="20"/>
      <c r="G534" s="20"/>
      <c r="H534" s="20"/>
      <c r="I534" s="20"/>
      <c r="J534" s="20"/>
      <c r="K534" s="20"/>
      <c r="L534" s="20"/>
      <c r="M534" s="20"/>
      <c r="N534" s="20"/>
      <c r="O534" s="20"/>
      <c r="P534" s="20"/>
      <c r="Q534" s="20"/>
      <c r="R534" s="20"/>
      <c r="S534" s="20"/>
      <c r="T534" s="20"/>
      <c r="U534" s="20"/>
      <c r="V534" s="20"/>
      <c r="W534" s="20"/>
      <c r="X534" s="20"/>
      <c r="Y534" s="20"/>
      <c r="Z534" s="20"/>
    </row>
    <row r="535" ht="13.5" customHeight="1" spans="1:26">
      <c r="A535" s="20"/>
      <c r="B535" s="20"/>
      <c r="C535" s="20"/>
      <c r="D535" s="20"/>
      <c r="E535" s="20"/>
      <c r="F535" s="20"/>
      <c r="G535" s="20"/>
      <c r="H535" s="20"/>
      <c r="I535" s="20"/>
      <c r="J535" s="20"/>
      <c r="K535" s="20"/>
      <c r="L535" s="20"/>
      <c r="M535" s="20"/>
      <c r="N535" s="20"/>
      <c r="O535" s="20"/>
      <c r="P535" s="20"/>
      <c r="Q535" s="20"/>
      <c r="R535" s="20"/>
      <c r="S535" s="20"/>
      <c r="T535" s="20"/>
      <c r="U535" s="20"/>
      <c r="V535" s="20"/>
      <c r="W535" s="20"/>
      <c r="X535" s="20"/>
      <c r="Y535" s="20"/>
      <c r="Z535" s="20"/>
    </row>
    <row r="536" ht="13.5" customHeight="1" spans="1:26">
      <c r="A536" s="20"/>
      <c r="B536" s="20"/>
      <c r="C536" s="20"/>
      <c r="D536" s="20"/>
      <c r="E536" s="20"/>
      <c r="F536" s="20"/>
      <c r="G536" s="20"/>
      <c r="H536" s="20"/>
      <c r="I536" s="20"/>
      <c r="J536" s="20"/>
      <c r="K536" s="20"/>
      <c r="L536" s="20"/>
      <c r="M536" s="20"/>
      <c r="N536" s="20"/>
      <c r="O536" s="20"/>
      <c r="P536" s="20"/>
      <c r="Q536" s="20"/>
      <c r="R536" s="20"/>
      <c r="S536" s="20"/>
      <c r="T536" s="20"/>
      <c r="U536" s="20"/>
      <c r="V536" s="20"/>
      <c r="W536" s="20"/>
      <c r="X536" s="20"/>
      <c r="Y536" s="20"/>
      <c r="Z536" s="20"/>
    </row>
    <row r="537" ht="13.5" customHeight="1" spans="1:26">
      <c r="A537" s="20"/>
      <c r="B537" s="20"/>
      <c r="C537" s="20"/>
      <c r="D537" s="20"/>
      <c r="E537" s="20"/>
      <c r="F537" s="20"/>
      <c r="G537" s="20"/>
      <c r="H537" s="20"/>
      <c r="I537" s="20"/>
      <c r="J537" s="20"/>
      <c r="K537" s="20"/>
      <c r="L537" s="20"/>
      <c r="M537" s="20"/>
      <c r="N537" s="20"/>
      <c r="O537" s="20"/>
      <c r="P537" s="20"/>
      <c r="Q537" s="20"/>
      <c r="R537" s="20"/>
      <c r="S537" s="20"/>
      <c r="T537" s="20"/>
      <c r="U537" s="20"/>
      <c r="V537" s="20"/>
      <c r="W537" s="20"/>
      <c r="X537" s="20"/>
      <c r="Y537" s="20"/>
      <c r="Z537" s="20"/>
    </row>
    <row r="538" ht="13.5" customHeight="1" spans="1:26">
      <c r="A538" s="20"/>
      <c r="B538" s="20"/>
      <c r="C538" s="20"/>
      <c r="D538" s="20"/>
      <c r="E538" s="20"/>
      <c r="F538" s="20"/>
      <c r="G538" s="20"/>
      <c r="H538" s="20"/>
      <c r="I538" s="20"/>
      <c r="J538" s="20"/>
      <c r="K538" s="20"/>
      <c r="L538" s="20"/>
      <c r="M538" s="20"/>
      <c r="N538" s="20"/>
      <c r="O538" s="20"/>
      <c r="P538" s="20"/>
      <c r="Q538" s="20"/>
      <c r="R538" s="20"/>
      <c r="S538" s="20"/>
      <c r="T538" s="20"/>
      <c r="U538" s="20"/>
      <c r="V538" s="20"/>
      <c r="W538" s="20"/>
      <c r="X538" s="20"/>
      <c r="Y538" s="20"/>
      <c r="Z538" s="20"/>
    </row>
    <row r="539" ht="13.5" customHeight="1" spans="1:26">
      <c r="A539" s="20"/>
      <c r="B539" s="20"/>
      <c r="C539" s="20"/>
      <c r="D539" s="20"/>
      <c r="E539" s="20"/>
      <c r="F539" s="20"/>
      <c r="G539" s="20"/>
      <c r="H539" s="20"/>
      <c r="I539" s="20"/>
      <c r="J539" s="20"/>
      <c r="K539" s="20"/>
      <c r="L539" s="20"/>
      <c r="M539" s="20"/>
      <c r="N539" s="20"/>
      <c r="O539" s="20"/>
      <c r="P539" s="20"/>
      <c r="Q539" s="20"/>
      <c r="R539" s="20"/>
      <c r="S539" s="20"/>
      <c r="T539" s="20"/>
      <c r="U539" s="20"/>
      <c r="V539" s="20"/>
      <c r="W539" s="20"/>
      <c r="X539" s="20"/>
      <c r="Y539" s="20"/>
      <c r="Z539" s="20"/>
    </row>
    <row r="540" ht="13.5" customHeight="1" spans="1:26">
      <c r="A540" s="20"/>
      <c r="B540" s="20"/>
      <c r="C540" s="20"/>
      <c r="D540" s="20"/>
      <c r="E540" s="20"/>
      <c r="F540" s="20"/>
      <c r="G540" s="20"/>
      <c r="H540" s="20"/>
      <c r="I540" s="20"/>
      <c r="J540" s="20"/>
      <c r="K540" s="20"/>
      <c r="L540" s="20"/>
      <c r="M540" s="20"/>
      <c r="N540" s="20"/>
      <c r="O540" s="20"/>
      <c r="P540" s="20"/>
      <c r="Q540" s="20"/>
      <c r="R540" s="20"/>
      <c r="S540" s="20"/>
      <c r="T540" s="20"/>
      <c r="U540" s="20"/>
      <c r="V540" s="20"/>
      <c r="W540" s="20"/>
      <c r="X540" s="20"/>
      <c r="Y540" s="20"/>
      <c r="Z540" s="20"/>
    </row>
    <row r="541" ht="13.5" customHeight="1" spans="1:26">
      <c r="A541" s="20"/>
      <c r="B541" s="20"/>
      <c r="C541" s="20"/>
      <c r="D541" s="20"/>
      <c r="E541" s="20"/>
      <c r="F541" s="20"/>
      <c r="G541" s="20"/>
      <c r="H541" s="20"/>
      <c r="I541" s="20"/>
      <c r="J541" s="20"/>
      <c r="K541" s="20"/>
      <c r="L541" s="20"/>
      <c r="M541" s="20"/>
      <c r="N541" s="20"/>
      <c r="O541" s="20"/>
      <c r="P541" s="20"/>
      <c r="Q541" s="20"/>
      <c r="R541" s="20"/>
      <c r="S541" s="20"/>
      <c r="T541" s="20"/>
      <c r="U541" s="20"/>
      <c r="V541" s="20"/>
      <c r="W541" s="20"/>
      <c r="X541" s="20"/>
      <c r="Y541" s="20"/>
      <c r="Z541" s="20"/>
    </row>
    <row r="542" ht="13.5" customHeight="1" spans="1:26">
      <c r="A542" s="20"/>
      <c r="B542" s="20"/>
      <c r="C542" s="20"/>
      <c r="D542" s="20"/>
      <c r="E542" s="20"/>
      <c r="F542" s="20"/>
      <c r="G542" s="20"/>
      <c r="H542" s="20"/>
      <c r="I542" s="20"/>
      <c r="J542" s="20"/>
      <c r="K542" s="20"/>
      <c r="L542" s="20"/>
      <c r="M542" s="20"/>
      <c r="N542" s="20"/>
      <c r="O542" s="20"/>
      <c r="P542" s="20"/>
      <c r="Q542" s="20"/>
      <c r="R542" s="20"/>
      <c r="S542" s="20"/>
      <c r="T542" s="20"/>
      <c r="U542" s="20"/>
      <c r="V542" s="20"/>
      <c r="W542" s="20"/>
      <c r="X542" s="20"/>
      <c r="Y542" s="20"/>
      <c r="Z542" s="20"/>
    </row>
    <row r="543" ht="13.5" customHeight="1" spans="1:26">
      <c r="A543" s="20"/>
      <c r="B543" s="20"/>
      <c r="C543" s="20"/>
      <c r="D543" s="20"/>
      <c r="E543" s="20"/>
      <c r="F543" s="20"/>
      <c r="G543" s="20"/>
      <c r="H543" s="20"/>
      <c r="I543" s="20"/>
      <c r="J543" s="20"/>
      <c r="K543" s="20"/>
      <c r="L543" s="20"/>
      <c r="M543" s="20"/>
      <c r="N543" s="20"/>
      <c r="O543" s="20"/>
      <c r="P543" s="20"/>
      <c r="Q543" s="20"/>
      <c r="R543" s="20"/>
      <c r="S543" s="20"/>
      <c r="T543" s="20"/>
      <c r="U543" s="20"/>
      <c r="V543" s="20"/>
      <c r="W543" s="20"/>
      <c r="X543" s="20"/>
      <c r="Y543" s="20"/>
      <c r="Z543" s="20"/>
    </row>
    <row r="544" ht="13.5" customHeight="1" spans="1:26">
      <c r="A544" s="20"/>
      <c r="B544" s="20"/>
      <c r="C544" s="20"/>
      <c r="D544" s="20"/>
      <c r="E544" s="20"/>
      <c r="F544" s="20"/>
      <c r="G544" s="20"/>
      <c r="H544" s="20"/>
      <c r="I544" s="20"/>
      <c r="J544" s="20"/>
      <c r="K544" s="20"/>
      <c r="L544" s="20"/>
      <c r="M544" s="20"/>
      <c r="N544" s="20"/>
      <c r="O544" s="20"/>
      <c r="P544" s="20"/>
      <c r="Q544" s="20"/>
      <c r="R544" s="20"/>
      <c r="S544" s="20"/>
      <c r="T544" s="20"/>
      <c r="U544" s="20"/>
      <c r="V544" s="20"/>
      <c r="W544" s="20"/>
      <c r="X544" s="20"/>
      <c r="Y544" s="20"/>
      <c r="Z544" s="20"/>
    </row>
    <row r="545" ht="13.5" customHeight="1" spans="1:26">
      <c r="A545" s="20"/>
      <c r="B545" s="20"/>
      <c r="C545" s="20"/>
      <c r="D545" s="20"/>
      <c r="E545" s="20"/>
      <c r="F545" s="20"/>
      <c r="G545" s="20"/>
      <c r="H545" s="20"/>
      <c r="I545" s="20"/>
      <c r="J545" s="20"/>
      <c r="K545" s="20"/>
      <c r="L545" s="20"/>
      <c r="M545" s="20"/>
      <c r="N545" s="20"/>
      <c r="O545" s="20"/>
      <c r="P545" s="20"/>
      <c r="Q545" s="20"/>
      <c r="R545" s="20"/>
      <c r="S545" s="20"/>
      <c r="T545" s="20"/>
      <c r="U545" s="20"/>
      <c r="V545" s="20"/>
      <c r="W545" s="20"/>
      <c r="X545" s="20"/>
      <c r="Y545" s="20"/>
      <c r="Z545" s="20"/>
    </row>
    <row r="546" ht="13.5" customHeight="1" spans="1:26">
      <c r="A546" s="20"/>
      <c r="B546" s="20"/>
      <c r="C546" s="20"/>
      <c r="D546" s="20"/>
      <c r="E546" s="20"/>
      <c r="F546" s="20"/>
      <c r="G546" s="20"/>
      <c r="H546" s="20"/>
      <c r="I546" s="20"/>
      <c r="J546" s="20"/>
      <c r="K546" s="20"/>
      <c r="L546" s="20"/>
      <c r="M546" s="20"/>
      <c r="N546" s="20"/>
      <c r="O546" s="20"/>
      <c r="P546" s="20"/>
      <c r="Q546" s="20"/>
      <c r="R546" s="20"/>
      <c r="S546" s="20"/>
      <c r="T546" s="20"/>
      <c r="U546" s="20"/>
      <c r="V546" s="20"/>
      <c r="W546" s="20"/>
      <c r="X546" s="20"/>
      <c r="Y546" s="20"/>
      <c r="Z546" s="20"/>
    </row>
    <row r="547" ht="13.5" customHeight="1" spans="1:26">
      <c r="A547" s="20"/>
      <c r="B547" s="20"/>
      <c r="C547" s="20"/>
      <c r="D547" s="20"/>
      <c r="E547" s="20"/>
      <c r="F547" s="20"/>
      <c r="G547" s="20"/>
      <c r="H547" s="20"/>
      <c r="I547" s="20"/>
      <c r="J547" s="20"/>
      <c r="K547" s="20"/>
      <c r="L547" s="20"/>
      <c r="M547" s="20"/>
      <c r="N547" s="20"/>
      <c r="O547" s="20"/>
      <c r="P547" s="20"/>
      <c r="Q547" s="20"/>
      <c r="R547" s="20"/>
      <c r="S547" s="20"/>
      <c r="T547" s="20"/>
      <c r="U547" s="20"/>
      <c r="V547" s="20"/>
      <c r="W547" s="20"/>
      <c r="X547" s="20"/>
      <c r="Y547" s="20"/>
      <c r="Z547" s="20"/>
    </row>
    <row r="548" ht="13.5" customHeight="1" spans="1:26">
      <c r="A548" s="20"/>
      <c r="B548" s="20"/>
      <c r="C548" s="20"/>
      <c r="D548" s="20"/>
      <c r="E548" s="20"/>
      <c r="F548" s="20"/>
      <c r="G548" s="20"/>
      <c r="H548" s="20"/>
      <c r="I548" s="20"/>
      <c r="J548" s="20"/>
      <c r="K548" s="20"/>
      <c r="L548" s="20"/>
      <c r="M548" s="20"/>
      <c r="N548" s="20"/>
      <c r="O548" s="20"/>
      <c r="P548" s="20"/>
      <c r="Q548" s="20"/>
      <c r="R548" s="20"/>
      <c r="S548" s="20"/>
      <c r="T548" s="20"/>
      <c r="U548" s="20"/>
      <c r="V548" s="20"/>
      <c r="W548" s="20"/>
      <c r="X548" s="20"/>
      <c r="Y548" s="20"/>
      <c r="Z548" s="20"/>
    </row>
    <row r="549" ht="13.5" customHeight="1" spans="1:26">
      <c r="A549" s="20"/>
      <c r="B549" s="20"/>
      <c r="C549" s="20"/>
      <c r="D549" s="20"/>
      <c r="E549" s="20"/>
      <c r="F549" s="20"/>
      <c r="G549" s="20"/>
      <c r="H549" s="20"/>
      <c r="I549" s="20"/>
      <c r="J549" s="20"/>
      <c r="K549" s="20"/>
      <c r="L549" s="20"/>
      <c r="M549" s="20"/>
      <c r="N549" s="20"/>
      <c r="O549" s="20"/>
      <c r="P549" s="20"/>
      <c r="Q549" s="20"/>
      <c r="R549" s="20"/>
      <c r="S549" s="20"/>
      <c r="T549" s="20"/>
      <c r="U549" s="20"/>
      <c r="V549" s="20"/>
      <c r="W549" s="20"/>
      <c r="X549" s="20"/>
      <c r="Y549" s="20"/>
      <c r="Z549" s="20"/>
    </row>
    <row r="550" ht="13.5" customHeight="1" spans="1:26">
      <c r="A550" s="20"/>
      <c r="B550" s="20"/>
      <c r="C550" s="20"/>
      <c r="D550" s="20"/>
      <c r="E550" s="20"/>
      <c r="F550" s="20"/>
      <c r="G550" s="20"/>
      <c r="H550" s="20"/>
      <c r="I550" s="20"/>
      <c r="J550" s="20"/>
      <c r="K550" s="20"/>
      <c r="L550" s="20"/>
      <c r="M550" s="20"/>
      <c r="N550" s="20"/>
      <c r="O550" s="20"/>
      <c r="P550" s="20"/>
      <c r="Q550" s="20"/>
      <c r="R550" s="20"/>
      <c r="S550" s="20"/>
      <c r="T550" s="20"/>
      <c r="U550" s="20"/>
      <c r="V550" s="20"/>
      <c r="W550" s="20"/>
      <c r="X550" s="20"/>
      <c r="Y550" s="20"/>
      <c r="Z550" s="20"/>
    </row>
    <row r="551" ht="13.5" customHeight="1" spans="1:26">
      <c r="A551" s="20"/>
      <c r="B551" s="20"/>
      <c r="C551" s="20"/>
      <c r="D551" s="20"/>
      <c r="E551" s="20"/>
      <c r="F551" s="20"/>
      <c r="G551" s="20"/>
      <c r="H551" s="20"/>
      <c r="I551" s="20"/>
      <c r="J551" s="20"/>
      <c r="K551" s="20"/>
      <c r="L551" s="20"/>
      <c r="M551" s="20"/>
      <c r="N551" s="20"/>
      <c r="O551" s="20"/>
      <c r="P551" s="20"/>
      <c r="Q551" s="20"/>
      <c r="R551" s="20"/>
      <c r="S551" s="20"/>
      <c r="T551" s="20"/>
      <c r="U551" s="20"/>
      <c r="V551" s="20"/>
      <c r="W551" s="20"/>
      <c r="X551" s="20"/>
      <c r="Y551" s="20"/>
      <c r="Z551" s="20"/>
    </row>
    <row r="552" ht="13.5" customHeight="1" spans="1:26">
      <c r="A552" s="20"/>
      <c r="B552" s="20"/>
      <c r="C552" s="20"/>
      <c r="D552" s="20"/>
      <c r="E552" s="20"/>
      <c r="F552" s="20"/>
      <c r="G552" s="20"/>
      <c r="H552" s="20"/>
      <c r="I552" s="20"/>
      <c r="J552" s="20"/>
      <c r="K552" s="20"/>
      <c r="L552" s="20"/>
      <c r="M552" s="20"/>
      <c r="N552" s="20"/>
      <c r="O552" s="20"/>
      <c r="P552" s="20"/>
      <c r="Q552" s="20"/>
      <c r="R552" s="20"/>
      <c r="S552" s="20"/>
      <c r="T552" s="20"/>
      <c r="U552" s="20"/>
      <c r="V552" s="20"/>
      <c r="W552" s="20"/>
      <c r="X552" s="20"/>
      <c r="Y552" s="20"/>
      <c r="Z552" s="20"/>
    </row>
    <row r="553" ht="13.5" customHeight="1" spans="1:26">
      <c r="A553" s="20"/>
      <c r="B553" s="20"/>
      <c r="C553" s="20"/>
      <c r="D553" s="20"/>
      <c r="E553" s="20"/>
      <c r="F553" s="20"/>
      <c r="G553" s="20"/>
      <c r="H553" s="20"/>
      <c r="I553" s="20"/>
      <c r="J553" s="20"/>
      <c r="K553" s="20"/>
      <c r="L553" s="20"/>
      <c r="M553" s="20"/>
      <c r="N553" s="20"/>
      <c r="O553" s="20"/>
      <c r="P553" s="20"/>
      <c r="Q553" s="20"/>
      <c r="R553" s="20"/>
      <c r="S553" s="20"/>
      <c r="T553" s="20"/>
      <c r="U553" s="20"/>
      <c r="V553" s="20"/>
      <c r="W553" s="20"/>
      <c r="X553" s="20"/>
      <c r="Y553" s="20"/>
      <c r="Z553" s="20"/>
    </row>
    <row r="554" ht="13.5" customHeight="1" spans="1:26">
      <c r="A554" s="20"/>
      <c r="B554" s="20"/>
      <c r="C554" s="20"/>
      <c r="D554" s="20"/>
      <c r="E554" s="20"/>
      <c r="F554" s="20"/>
      <c r="G554" s="20"/>
      <c r="H554" s="20"/>
      <c r="I554" s="20"/>
      <c r="J554" s="20"/>
      <c r="K554" s="20"/>
      <c r="L554" s="20"/>
      <c r="M554" s="20"/>
      <c r="N554" s="20"/>
      <c r="O554" s="20"/>
      <c r="P554" s="20"/>
      <c r="Q554" s="20"/>
      <c r="R554" s="20"/>
      <c r="S554" s="20"/>
      <c r="T554" s="20"/>
      <c r="U554" s="20"/>
      <c r="V554" s="20"/>
      <c r="W554" s="20"/>
      <c r="X554" s="20"/>
      <c r="Y554" s="20"/>
      <c r="Z554" s="20"/>
    </row>
    <row r="555" ht="13.5" customHeight="1" spans="1:26">
      <c r="A555" s="20"/>
      <c r="B555" s="20"/>
      <c r="C555" s="20"/>
      <c r="D555" s="20"/>
      <c r="E555" s="20"/>
      <c r="F555" s="20"/>
      <c r="G555" s="20"/>
      <c r="H555" s="20"/>
      <c r="I555" s="20"/>
      <c r="J555" s="20"/>
      <c r="K555" s="20"/>
      <c r="L555" s="20"/>
      <c r="M555" s="20"/>
      <c r="N555" s="20"/>
      <c r="O555" s="20"/>
      <c r="P555" s="20"/>
      <c r="Q555" s="20"/>
      <c r="R555" s="20"/>
      <c r="S555" s="20"/>
      <c r="T555" s="20"/>
      <c r="U555" s="20"/>
      <c r="V555" s="20"/>
      <c r="W555" s="20"/>
      <c r="X555" s="20"/>
      <c r="Y555" s="20"/>
      <c r="Z555" s="20"/>
    </row>
    <row r="556" ht="13.5" customHeight="1" spans="1:26">
      <c r="A556" s="20"/>
      <c r="B556" s="20"/>
      <c r="C556" s="20"/>
      <c r="D556" s="20"/>
      <c r="E556" s="20"/>
      <c r="F556" s="20"/>
      <c r="G556" s="20"/>
      <c r="H556" s="20"/>
      <c r="I556" s="20"/>
      <c r="J556" s="20"/>
      <c r="K556" s="20"/>
      <c r="L556" s="20"/>
      <c r="M556" s="20"/>
      <c r="N556" s="20"/>
      <c r="O556" s="20"/>
      <c r="P556" s="20"/>
      <c r="Q556" s="20"/>
      <c r="R556" s="20"/>
      <c r="S556" s="20"/>
      <c r="T556" s="20"/>
      <c r="U556" s="20"/>
      <c r="V556" s="20"/>
      <c r="W556" s="20"/>
      <c r="X556" s="20"/>
      <c r="Y556" s="20"/>
      <c r="Z556" s="20"/>
    </row>
    <row r="557" ht="13.5" customHeight="1" spans="1:26">
      <c r="A557" s="20"/>
      <c r="B557" s="20"/>
      <c r="C557" s="20"/>
      <c r="D557" s="20"/>
      <c r="E557" s="20"/>
      <c r="F557" s="20"/>
      <c r="G557" s="20"/>
      <c r="H557" s="20"/>
      <c r="I557" s="20"/>
      <c r="J557" s="20"/>
      <c r="K557" s="20"/>
      <c r="L557" s="20"/>
      <c r="M557" s="20"/>
      <c r="N557" s="20"/>
      <c r="O557" s="20"/>
      <c r="P557" s="20"/>
      <c r="Q557" s="20"/>
      <c r="R557" s="20"/>
      <c r="S557" s="20"/>
      <c r="T557" s="20"/>
      <c r="U557" s="20"/>
      <c r="V557" s="20"/>
      <c r="W557" s="20"/>
      <c r="X557" s="20"/>
      <c r="Y557" s="20"/>
      <c r="Z557" s="20"/>
    </row>
    <row r="558" ht="13.5" customHeight="1" spans="1:26">
      <c r="A558" s="20"/>
      <c r="B558" s="20"/>
      <c r="C558" s="20"/>
      <c r="D558" s="20"/>
      <c r="E558" s="20"/>
      <c r="F558" s="20"/>
      <c r="G558" s="20"/>
      <c r="H558" s="20"/>
      <c r="I558" s="20"/>
      <c r="J558" s="20"/>
      <c r="K558" s="20"/>
      <c r="L558" s="20"/>
      <c r="M558" s="20"/>
      <c r="N558" s="20"/>
      <c r="O558" s="20"/>
      <c r="P558" s="20"/>
      <c r="Q558" s="20"/>
      <c r="R558" s="20"/>
      <c r="S558" s="20"/>
      <c r="T558" s="20"/>
      <c r="U558" s="20"/>
      <c r="V558" s="20"/>
      <c r="W558" s="20"/>
      <c r="X558" s="20"/>
      <c r="Y558" s="20"/>
      <c r="Z558" s="20"/>
    </row>
    <row r="559" ht="13.5" customHeight="1" spans="1:26">
      <c r="A559" s="20"/>
      <c r="B559" s="20"/>
      <c r="C559" s="20"/>
      <c r="D559" s="20"/>
      <c r="E559" s="20"/>
      <c r="F559" s="20"/>
      <c r="G559" s="20"/>
      <c r="H559" s="20"/>
      <c r="I559" s="20"/>
      <c r="J559" s="20"/>
      <c r="K559" s="20"/>
      <c r="L559" s="20"/>
      <c r="M559" s="20"/>
      <c r="N559" s="20"/>
      <c r="O559" s="20"/>
      <c r="P559" s="20"/>
      <c r="Q559" s="20"/>
      <c r="R559" s="20"/>
      <c r="S559" s="20"/>
      <c r="T559" s="20"/>
      <c r="U559" s="20"/>
      <c r="V559" s="20"/>
      <c r="W559" s="20"/>
      <c r="X559" s="20"/>
      <c r="Y559" s="20"/>
      <c r="Z559" s="20"/>
    </row>
    <row r="560" ht="13.5" customHeight="1" spans="1:26">
      <c r="A560" s="20"/>
      <c r="B560" s="20"/>
      <c r="C560" s="20"/>
      <c r="D560" s="20"/>
      <c r="E560" s="20"/>
      <c r="F560" s="20"/>
      <c r="G560" s="20"/>
      <c r="H560" s="20"/>
      <c r="I560" s="20"/>
      <c r="J560" s="20"/>
      <c r="K560" s="20"/>
      <c r="L560" s="20"/>
      <c r="M560" s="20"/>
      <c r="N560" s="20"/>
      <c r="O560" s="20"/>
      <c r="P560" s="20"/>
      <c r="Q560" s="20"/>
      <c r="R560" s="20"/>
      <c r="S560" s="20"/>
      <c r="T560" s="20"/>
      <c r="U560" s="20"/>
      <c r="V560" s="20"/>
      <c r="W560" s="20"/>
      <c r="X560" s="20"/>
      <c r="Y560" s="20"/>
      <c r="Z560" s="20"/>
    </row>
    <row r="561" ht="13.5" customHeight="1" spans="1:26">
      <c r="A561" s="20"/>
      <c r="B561" s="20"/>
      <c r="C561" s="20"/>
      <c r="D561" s="20"/>
      <c r="E561" s="20"/>
      <c r="F561" s="20"/>
      <c r="G561" s="20"/>
      <c r="H561" s="20"/>
      <c r="I561" s="20"/>
      <c r="J561" s="20"/>
      <c r="K561" s="20"/>
      <c r="L561" s="20"/>
      <c r="M561" s="20"/>
      <c r="N561" s="20"/>
      <c r="O561" s="20"/>
      <c r="P561" s="20"/>
      <c r="Q561" s="20"/>
      <c r="R561" s="20"/>
      <c r="S561" s="20"/>
      <c r="T561" s="20"/>
      <c r="U561" s="20"/>
      <c r="V561" s="20"/>
      <c r="W561" s="20"/>
      <c r="X561" s="20"/>
      <c r="Y561" s="20"/>
      <c r="Z561" s="20"/>
    </row>
    <row r="562" ht="13.5" customHeight="1" spans="1:26">
      <c r="A562" s="20"/>
      <c r="B562" s="20"/>
      <c r="C562" s="20"/>
      <c r="D562" s="20"/>
      <c r="E562" s="20"/>
      <c r="F562" s="20"/>
      <c r="G562" s="20"/>
      <c r="H562" s="20"/>
      <c r="I562" s="20"/>
      <c r="J562" s="20"/>
      <c r="K562" s="20"/>
      <c r="L562" s="20"/>
      <c r="M562" s="20"/>
      <c r="N562" s="20"/>
      <c r="O562" s="20"/>
      <c r="P562" s="20"/>
      <c r="Q562" s="20"/>
      <c r="R562" s="20"/>
      <c r="S562" s="20"/>
      <c r="T562" s="20"/>
      <c r="U562" s="20"/>
      <c r="V562" s="20"/>
      <c r="W562" s="20"/>
      <c r="X562" s="20"/>
      <c r="Y562" s="20"/>
      <c r="Z562" s="20"/>
    </row>
    <row r="563" ht="13.5" customHeight="1" spans="1:26">
      <c r="A563" s="20"/>
      <c r="B563" s="20"/>
      <c r="C563" s="20"/>
      <c r="D563" s="20"/>
      <c r="E563" s="20"/>
      <c r="F563" s="20"/>
      <c r="G563" s="20"/>
      <c r="H563" s="20"/>
      <c r="I563" s="20"/>
      <c r="J563" s="20"/>
      <c r="K563" s="20"/>
      <c r="L563" s="20"/>
      <c r="M563" s="20"/>
      <c r="N563" s="20"/>
      <c r="O563" s="20"/>
      <c r="P563" s="20"/>
      <c r="Q563" s="20"/>
      <c r="R563" s="20"/>
      <c r="S563" s="20"/>
      <c r="T563" s="20"/>
      <c r="U563" s="20"/>
      <c r="V563" s="20"/>
      <c r="W563" s="20"/>
      <c r="X563" s="20"/>
      <c r="Y563" s="20"/>
      <c r="Z563" s="20"/>
    </row>
    <row r="564" ht="13.5" customHeight="1" spans="1:26">
      <c r="A564" s="20"/>
      <c r="B564" s="20"/>
      <c r="C564" s="20"/>
      <c r="D564" s="20"/>
      <c r="E564" s="20"/>
      <c r="F564" s="20"/>
      <c r="G564" s="20"/>
      <c r="H564" s="20"/>
      <c r="I564" s="20"/>
      <c r="J564" s="20"/>
      <c r="K564" s="20"/>
      <c r="L564" s="20"/>
      <c r="M564" s="20"/>
      <c r="N564" s="20"/>
      <c r="O564" s="20"/>
      <c r="P564" s="20"/>
      <c r="Q564" s="20"/>
      <c r="R564" s="20"/>
      <c r="S564" s="20"/>
      <c r="T564" s="20"/>
      <c r="U564" s="20"/>
      <c r="V564" s="20"/>
      <c r="W564" s="20"/>
      <c r="X564" s="20"/>
      <c r="Y564" s="20"/>
      <c r="Z564" s="20"/>
    </row>
    <row r="565" ht="13.5" customHeight="1" spans="1:26">
      <c r="A565" s="20"/>
      <c r="B565" s="20"/>
      <c r="C565" s="20"/>
      <c r="D565" s="20"/>
      <c r="E565" s="20"/>
      <c r="F565" s="20"/>
      <c r="G565" s="20"/>
      <c r="H565" s="20"/>
      <c r="I565" s="20"/>
      <c r="J565" s="20"/>
      <c r="K565" s="20"/>
      <c r="L565" s="20"/>
      <c r="M565" s="20"/>
      <c r="N565" s="20"/>
      <c r="O565" s="20"/>
      <c r="P565" s="20"/>
      <c r="Q565" s="20"/>
      <c r="R565" s="20"/>
      <c r="S565" s="20"/>
      <c r="T565" s="20"/>
      <c r="U565" s="20"/>
      <c r="V565" s="20"/>
      <c r="W565" s="20"/>
      <c r="X565" s="20"/>
      <c r="Y565" s="20"/>
      <c r="Z565" s="20"/>
    </row>
    <row r="566" ht="13.5" customHeight="1" spans="1:26">
      <c r="A566" s="20"/>
      <c r="B566" s="20"/>
      <c r="C566" s="20"/>
      <c r="D566" s="20"/>
      <c r="E566" s="20"/>
      <c r="F566" s="20"/>
      <c r="G566" s="20"/>
      <c r="H566" s="20"/>
      <c r="I566" s="20"/>
      <c r="J566" s="20"/>
      <c r="K566" s="20"/>
      <c r="L566" s="20"/>
      <c r="M566" s="20"/>
      <c r="N566" s="20"/>
      <c r="O566" s="20"/>
      <c r="P566" s="20"/>
      <c r="Q566" s="20"/>
      <c r="R566" s="20"/>
      <c r="S566" s="20"/>
      <c r="T566" s="20"/>
      <c r="U566" s="20"/>
      <c r="V566" s="20"/>
      <c r="W566" s="20"/>
      <c r="X566" s="20"/>
      <c r="Y566" s="20"/>
      <c r="Z566" s="20"/>
    </row>
    <row r="567" ht="13.5" customHeight="1" spans="1:26">
      <c r="A567" s="20"/>
      <c r="B567" s="20"/>
      <c r="C567" s="20"/>
      <c r="D567" s="20"/>
      <c r="E567" s="20"/>
      <c r="F567" s="20"/>
      <c r="G567" s="20"/>
      <c r="H567" s="20"/>
      <c r="I567" s="20"/>
      <c r="J567" s="20"/>
      <c r="K567" s="20"/>
      <c r="L567" s="20"/>
      <c r="M567" s="20"/>
      <c r="N567" s="20"/>
      <c r="O567" s="20"/>
      <c r="P567" s="20"/>
      <c r="Q567" s="20"/>
      <c r="R567" s="20"/>
      <c r="S567" s="20"/>
      <c r="T567" s="20"/>
      <c r="U567" s="20"/>
      <c r="V567" s="20"/>
      <c r="W567" s="20"/>
      <c r="X567" s="20"/>
      <c r="Y567" s="20"/>
      <c r="Z567" s="20"/>
    </row>
    <row r="568" ht="13.5" customHeight="1" spans="1:26">
      <c r="A568" s="20"/>
      <c r="B568" s="20"/>
      <c r="C568" s="20"/>
      <c r="D568" s="20"/>
      <c r="E568" s="20"/>
      <c r="F568" s="20"/>
      <c r="G568" s="20"/>
      <c r="H568" s="20"/>
      <c r="I568" s="20"/>
      <c r="J568" s="20"/>
      <c r="K568" s="20"/>
      <c r="L568" s="20"/>
      <c r="M568" s="20"/>
      <c r="N568" s="20"/>
      <c r="O568" s="20"/>
      <c r="P568" s="20"/>
      <c r="Q568" s="20"/>
      <c r="R568" s="20"/>
      <c r="S568" s="20"/>
      <c r="T568" s="20"/>
      <c r="U568" s="20"/>
      <c r="V568" s="20"/>
      <c r="W568" s="20"/>
      <c r="X568" s="20"/>
      <c r="Y568" s="20"/>
      <c r="Z568" s="20"/>
    </row>
    <row r="569" ht="13.5" customHeight="1" spans="1:26">
      <c r="A569" s="20"/>
      <c r="B569" s="20"/>
      <c r="C569" s="20"/>
      <c r="D569" s="20"/>
      <c r="E569" s="20"/>
      <c r="F569" s="20"/>
      <c r="G569" s="20"/>
      <c r="H569" s="20"/>
      <c r="I569" s="20"/>
      <c r="J569" s="20"/>
      <c r="K569" s="20"/>
      <c r="L569" s="20"/>
      <c r="M569" s="20"/>
      <c r="N569" s="20"/>
      <c r="O569" s="20"/>
      <c r="P569" s="20"/>
      <c r="Q569" s="20"/>
      <c r="R569" s="20"/>
      <c r="S569" s="20"/>
      <c r="T569" s="20"/>
      <c r="U569" s="20"/>
      <c r="V569" s="20"/>
      <c r="W569" s="20"/>
      <c r="X569" s="20"/>
      <c r="Y569" s="20"/>
      <c r="Z569" s="20"/>
    </row>
    <row r="570" ht="13.5" customHeight="1" spans="1:26">
      <c r="A570" s="20"/>
      <c r="B570" s="20"/>
      <c r="C570" s="20"/>
      <c r="D570" s="20"/>
      <c r="E570" s="20"/>
      <c r="F570" s="20"/>
      <c r="G570" s="20"/>
      <c r="H570" s="20"/>
      <c r="I570" s="20"/>
      <c r="J570" s="20"/>
      <c r="K570" s="20"/>
      <c r="L570" s="20"/>
      <c r="M570" s="20"/>
      <c r="N570" s="20"/>
      <c r="O570" s="20"/>
      <c r="P570" s="20"/>
      <c r="Q570" s="20"/>
      <c r="R570" s="20"/>
      <c r="S570" s="20"/>
      <c r="T570" s="20"/>
      <c r="U570" s="20"/>
      <c r="V570" s="20"/>
      <c r="W570" s="20"/>
      <c r="X570" s="20"/>
      <c r="Y570" s="20"/>
      <c r="Z570" s="20"/>
    </row>
    <row r="571" ht="13.5" customHeight="1" spans="1:26">
      <c r="A571" s="20"/>
      <c r="B571" s="20"/>
      <c r="C571" s="20"/>
      <c r="D571" s="20"/>
      <c r="E571" s="20"/>
      <c r="F571" s="20"/>
      <c r="G571" s="20"/>
      <c r="H571" s="20"/>
      <c r="I571" s="20"/>
      <c r="J571" s="20"/>
      <c r="K571" s="20"/>
      <c r="L571" s="20"/>
      <c r="M571" s="20"/>
      <c r="N571" s="20"/>
      <c r="O571" s="20"/>
      <c r="P571" s="20"/>
      <c r="Q571" s="20"/>
      <c r="R571" s="20"/>
      <c r="S571" s="20"/>
      <c r="T571" s="20"/>
      <c r="U571" s="20"/>
      <c r="V571" s="20"/>
      <c r="W571" s="20"/>
      <c r="X571" s="20"/>
      <c r="Y571" s="20"/>
      <c r="Z571" s="20"/>
    </row>
    <row r="572" ht="13.5" customHeight="1" spans="1:26">
      <c r="A572" s="20"/>
      <c r="B572" s="20"/>
      <c r="C572" s="20"/>
      <c r="D572" s="20"/>
      <c r="E572" s="20"/>
      <c r="F572" s="20"/>
      <c r="G572" s="20"/>
      <c r="H572" s="20"/>
      <c r="I572" s="20"/>
      <c r="J572" s="20"/>
      <c r="K572" s="20"/>
      <c r="L572" s="20"/>
      <c r="M572" s="20"/>
      <c r="N572" s="20"/>
      <c r="O572" s="20"/>
      <c r="P572" s="20"/>
      <c r="Q572" s="20"/>
      <c r="R572" s="20"/>
      <c r="S572" s="20"/>
      <c r="T572" s="20"/>
      <c r="U572" s="20"/>
      <c r="V572" s="20"/>
      <c r="W572" s="20"/>
      <c r="X572" s="20"/>
      <c r="Y572" s="20"/>
      <c r="Z572" s="20"/>
    </row>
    <row r="573" ht="13.5" customHeight="1" spans="1:26">
      <c r="A573" s="20"/>
      <c r="B573" s="20"/>
      <c r="C573" s="20"/>
      <c r="D573" s="20"/>
      <c r="E573" s="20"/>
      <c r="F573" s="20"/>
      <c r="G573" s="20"/>
      <c r="H573" s="20"/>
      <c r="I573" s="20"/>
      <c r="J573" s="20"/>
      <c r="K573" s="20"/>
      <c r="L573" s="20"/>
      <c r="M573" s="20"/>
      <c r="N573" s="20"/>
      <c r="O573" s="20"/>
      <c r="P573" s="20"/>
      <c r="Q573" s="20"/>
      <c r="R573" s="20"/>
      <c r="S573" s="20"/>
      <c r="T573" s="20"/>
      <c r="U573" s="20"/>
      <c r="V573" s="20"/>
      <c r="W573" s="20"/>
      <c r="X573" s="20"/>
      <c r="Y573" s="20"/>
      <c r="Z573" s="20"/>
    </row>
    <row r="574" ht="13.5" customHeight="1" spans="1:26">
      <c r="A574" s="20"/>
      <c r="B574" s="20"/>
      <c r="C574" s="20"/>
      <c r="D574" s="20"/>
      <c r="E574" s="20"/>
      <c r="F574" s="20"/>
      <c r="G574" s="20"/>
      <c r="H574" s="20"/>
      <c r="I574" s="20"/>
      <c r="J574" s="20"/>
      <c r="K574" s="20"/>
      <c r="L574" s="20"/>
      <c r="M574" s="20"/>
      <c r="N574" s="20"/>
      <c r="O574" s="20"/>
      <c r="P574" s="20"/>
      <c r="Q574" s="20"/>
      <c r="R574" s="20"/>
      <c r="S574" s="20"/>
      <c r="T574" s="20"/>
      <c r="U574" s="20"/>
      <c r="V574" s="20"/>
      <c r="W574" s="20"/>
      <c r="X574" s="20"/>
      <c r="Y574" s="20"/>
      <c r="Z574" s="20"/>
    </row>
    <row r="575" ht="13.5" customHeight="1" spans="1:26">
      <c r="A575" s="20"/>
      <c r="B575" s="20"/>
      <c r="C575" s="20"/>
      <c r="D575" s="20"/>
      <c r="E575" s="20"/>
      <c r="F575" s="20"/>
      <c r="G575" s="20"/>
      <c r="H575" s="20"/>
      <c r="I575" s="20"/>
      <c r="J575" s="20"/>
      <c r="K575" s="20"/>
      <c r="L575" s="20"/>
      <c r="M575" s="20"/>
      <c r="N575" s="20"/>
      <c r="O575" s="20"/>
      <c r="P575" s="20"/>
      <c r="Q575" s="20"/>
      <c r="R575" s="20"/>
      <c r="S575" s="20"/>
      <c r="T575" s="20"/>
      <c r="U575" s="20"/>
      <c r="V575" s="20"/>
      <c r="W575" s="20"/>
      <c r="X575" s="20"/>
      <c r="Y575" s="20"/>
      <c r="Z575" s="20"/>
    </row>
    <row r="576" ht="13.5" customHeight="1" spans="1:26">
      <c r="A576" s="20"/>
      <c r="B576" s="20"/>
      <c r="C576" s="20"/>
      <c r="D576" s="20"/>
      <c r="E576" s="20"/>
      <c r="F576" s="20"/>
      <c r="G576" s="20"/>
      <c r="H576" s="20"/>
      <c r="I576" s="20"/>
      <c r="J576" s="20"/>
      <c r="K576" s="20"/>
      <c r="L576" s="20"/>
      <c r="M576" s="20"/>
      <c r="N576" s="20"/>
      <c r="O576" s="20"/>
      <c r="P576" s="20"/>
      <c r="Q576" s="20"/>
      <c r="R576" s="20"/>
      <c r="S576" s="20"/>
      <c r="T576" s="20"/>
      <c r="U576" s="20"/>
      <c r="V576" s="20"/>
      <c r="W576" s="20"/>
      <c r="X576" s="20"/>
      <c r="Y576" s="20"/>
      <c r="Z576" s="20"/>
    </row>
    <row r="577" ht="13.5" customHeight="1" spans="1:26">
      <c r="A577" s="20"/>
      <c r="B577" s="20"/>
      <c r="C577" s="20"/>
      <c r="D577" s="20"/>
      <c r="E577" s="20"/>
      <c r="F577" s="20"/>
      <c r="G577" s="20"/>
      <c r="H577" s="20"/>
      <c r="I577" s="20"/>
      <c r="J577" s="20"/>
      <c r="K577" s="20"/>
      <c r="L577" s="20"/>
      <c r="M577" s="20"/>
      <c r="N577" s="20"/>
      <c r="O577" s="20"/>
      <c r="P577" s="20"/>
      <c r="Q577" s="20"/>
      <c r="R577" s="20"/>
      <c r="S577" s="20"/>
      <c r="T577" s="20"/>
      <c r="U577" s="20"/>
      <c r="V577" s="20"/>
      <c r="W577" s="20"/>
      <c r="X577" s="20"/>
      <c r="Y577" s="20"/>
      <c r="Z577" s="20"/>
    </row>
    <row r="578" ht="13.5" customHeight="1" spans="1:26">
      <c r="A578" s="20"/>
      <c r="B578" s="20"/>
      <c r="C578" s="20"/>
      <c r="D578" s="20"/>
      <c r="E578" s="20"/>
      <c r="F578" s="20"/>
      <c r="G578" s="20"/>
      <c r="H578" s="20"/>
      <c r="I578" s="20"/>
      <c r="J578" s="20"/>
      <c r="K578" s="20"/>
      <c r="L578" s="20"/>
      <c r="M578" s="20"/>
      <c r="N578" s="20"/>
      <c r="O578" s="20"/>
      <c r="P578" s="20"/>
      <c r="Q578" s="20"/>
      <c r="R578" s="20"/>
      <c r="S578" s="20"/>
      <c r="T578" s="20"/>
      <c r="U578" s="20"/>
      <c r="V578" s="20"/>
      <c r="W578" s="20"/>
      <c r="X578" s="20"/>
      <c r="Y578" s="20"/>
      <c r="Z578" s="20"/>
    </row>
    <row r="579" ht="13.5" customHeight="1" spans="1:26">
      <c r="A579" s="20"/>
      <c r="B579" s="20"/>
      <c r="C579" s="20"/>
      <c r="D579" s="20"/>
      <c r="E579" s="20"/>
      <c r="F579" s="20"/>
      <c r="G579" s="20"/>
      <c r="H579" s="20"/>
      <c r="I579" s="20"/>
      <c r="J579" s="20"/>
      <c r="K579" s="20"/>
      <c r="L579" s="20"/>
      <c r="M579" s="20"/>
      <c r="N579" s="20"/>
      <c r="O579" s="20"/>
      <c r="P579" s="20"/>
      <c r="Q579" s="20"/>
      <c r="R579" s="20"/>
      <c r="S579" s="20"/>
      <c r="T579" s="20"/>
      <c r="U579" s="20"/>
      <c r="V579" s="20"/>
      <c r="W579" s="20"/>
      <c r="X579" s="20"/>
      <c r="Y579" s="20"/>
      <c r="Z579" s="20"/>
    </row>
    <row r="580" ht="13.5" customHeight="1" spans="1:26">
      <c r="A580" s="20"/>
      <c r="B580" s="20"/>
      <c r="C580" s="20"/>
      <c r="D580" s="20"/>
      <c r="E580" s="20"/>
      <c r="F580" s="20"/>
      <c r="G580" s="20"/>
      <c r="H580" s="20"/>
      <c r="I580" s="20"/>
      <c r="J580" s="20"/>
      <c r="K580" s="20"/>
      <c r="L580" s="20"/>
      <c r="M580" s="20"/>
      <c r="N580" s="20"/>
      <c r="O580" s="20"/>
      <c r="P580" s="20"/>
      <c r="Q580" s="20"/>
      <c r="R580" s="20"/>
      <c r="S580" s="20"/>
      <c r="T580" s="20"/>
      <c r="U580" s="20"/>
      <c r="V580" s="20"/>
      <c r="W580" s="20"/>
      <c r="X580" s="20"/>
      <c r="Y580" s="20"/>
      <c r="Z580" s="20"/>
    </row>
    <row r="581" ht="13.5" customHeight="1" spans="1:26">
      <c r="A581" s="20"/>
      <c r="B581" s="20"/>
      <c r="C581" s="20"/>
      <c r="D581" s="20"/>
      <c r="E581" s="20"/>
      <c r="F581" s="20"/>
      <c r="G581" s="20"/>
      <c r="H581" s="20"/>
      <c r="I581" s="20"/>
      <c r="J581" s="20"/>
      <c r="K581" s="20"/>
      <c r="L581" s="20"/>
      <c r="M581" s="20"/>
      <c r="N581" s="20"/>
      <c r="O581" s="20"/>
      <c r="P581" s="20"/>
      <c r="Q581" s="20"/>
      <c r="R581" s="20"/>
      <c r="S581" s="20"/>
      <c r="T581" s="20"/>
      <c r="U581" s="20"/>
      <c r="V581" s="20"/>
      <c r="W581" s="20"/>
      <c r="X581" s="20"/>
      <c r="Y581" s="20"/>
      <c r="Z581" s="20"/>
    </row>
    <row r="582" ht="13.5" customHeight="1" spans="1:26">
      <c r="A582" s="20"/>
      <c r="B582" s="20"/>
      <c r="C582" s="20"/>
      <c r="D582" s="20"/>
      <c r="E582" s="20"/>
      <c r="F582" s="20"/>
      <c r="G582" s="20"/>
      <c r="H582" s="20"/>
      <c r="I582" s="20"/>
      <c r="J582" s="20"/>
      <c r="K582" s="20"/>
      <c r="L582" s="20"/>
      <c r="M582" s="20"/>
      <c r="N582" s="20"/>
      <c r="O582" s="20"/>
      <c r="P582" s="20"/>
      <c r="Q582" s="20"/>
      <c r="R582" s="20"/>
      <c r="S582" s="20"/>
      <c r="T582" s="20"/>
      <c r="U582" s="20"/>
      <c r="V582" s="20"/>
      <c r="W582" s="20"/>
      <c r="X582" s="20"/>
      <c r="Y582" s="20"/>
      <c r="Z582" s="20"/>
    </row>
    <row r="583" ht="13.5" customHeight="1" spans="1:26">
      <c r="A583" s="20"/>
      <c r="B583" s="20"/>
      <c r="C583" s="20"/>
      <c r="D583" s="20"/>
      <c r="E583" s="20"/>
      <c r="F583" s="20"/>
      <c r="G583" s="20"/>
      <c r="H583" s="20"/>
      <c r="I583" s="20"/>
      <c r="J583" s="20"/>
      <c r="K583" s="20"/>
      <c r="L583" s="20"/>
      <c r="M583" s="20"/>
      <c r="N583" s="20"/>
      <c r="O583" s="20"/>
      <c r="P583" s="20"/>
      <c r="Q583" s="20"/>
      <c r="R583" s="20"/>
      <c r="S583" s="20"/>
      <c r="T583" s="20"/>
      <c r="U583" s="20"/>
      <c r="V583" s="20"/>
      <c r="W583" s="20"/>
      <c r="X583" s="20"/>
      <c r="Y583" s="20"/>
      <c r="Z583" s="20"/>
    </row>
    <row r="584" ht="13.5" customHeight="1" spans="1:26">
      <c r="A584" s="20"/>
      <c r="B584" s="20"/>
      <c r="C584" s="20"/>
      <c r="D584" s="20"/>
      <c r="E584" s="20"/>
      <c r="F584" s="20"/>
      <c r="G584" s="20"/>
      <c r="H584" s="20"/>
      <c r="I584" s="20"/>
      <c r="J584" s="20"/>
      <c r="K584" s="20"/>
      <c r="L584" s="20"/>
      <c r="M584" s="20"/>
      <c r="N584" s="20"/>
      <c r="O584" s="20"/>
      <c r="P584" s="20"/>
      <c r="Q584" s="20"/>
      <c r="R584" s="20"/>
      <c r="S584" s="20"/>
      <c r="T584" s="20"/>
      <c r="U584" s="20"/>
      <c r="V584" s="20"/>
      <c r="W584" s="20"/>
      <c r="X584" s="20"/>
      <c r="Y584" s="20"/>
      <c r="Z584" s="20"/>
    </row>
    <row r="585" ht="13.5" customHeight="1" spans="1:26">
      <c r="A585" s="20"/>
      <c r="B585" s="20"/>
      <c r="C585" s="20"/>
      <c r="D585" s="20"/>
      <c r="E585" s="20"/>
      <c r="F585" s="20"/>
      <c r="G585" s="20"/>
      <c r="H585" s="20"/>
      <c r="I585" s="20"/>
      <c r="J585" s="20"/>
      <c r="K585" s="20"/>
      <c r="L585" s="20"/>
      <c r="M585" s="20"/>
      <c r="N585" s="20"/>
      <c r="O585" s="20"/>
      <c r="P585" s="20"/>
      <c r="Q585" s="20"/>
      <c r="R585" s="20"/>
      <c r="S585" s="20"/>
      <c r="T585" s="20"/>
      <c r="U585" s="20"/>
      <c r="V585" s="20"/>
      <c r="W585" s="20"/>
      <c r="X585" s="20"/>
      <c r="Y585" s="20"/>
      <c r="Z585" s="20"/>
    </row>
    <row r="586" ht="13.5" customHeight="1" spans="1:26">
      <c r="A586" s="20"/>
      <c r="B586" s="20"/>
      <c r="C586" s="20"/>
      <c r="D586" s="20"/>
      <c r="E586" s="20"/>
      <c r="F586" s="20"/>
      <c r="G586" s="20"/>
      <c r="H586" s="20"/>
      <c r="I586" s="20"/>
      <c r="J586" s="20"/>
      <c r="K586" s="20"/>
      <c r="L586" s="20"/>
      <c r="M586" s="20"/>
      <c r="N586" s="20"/>
      <c r="O586" s="20"/>
      <c r="P586" s="20"/>
      <c r="Q586" s="20"/>
      <c r="R586" s="20"/>
      <c r="S586" s="20"/>
      <c r="T586" s="20"/>
      <c r="U586" s="20"/>
      <c r="V586" s="20"/>
      <c r="W586" s="20"/>
      <c r="X586" s="20"/>
      <c r="Y586" s="20"/>
      <c r="Z586" s="20"/>
    </row>
    <row r="587" ht="13.5" customHeight="1" spans="1:26">
      <c r="A587" s="20"/>
      <c r="B587" s="20"/>
      <c r="C587" s="20"/>
      <c r="D587" s="20"/>
      <c r="E587" s="20"/>
      <c r="F587" s="20"/>
      <c r="G587" s="20"/>
      <c r="H587" s="20"/>
      <c r="I587" s="20"/>
      <c r="J587" s="20"/>
      <c r="K587" s="20"/>
      <c r="L587" s="20"/>
      <c r="M587" s="20"/>
      <c r="N587" s="20"/>
      <c r="O587" s="20"/>
      <c r="P587" s="20"/>
      <c r="Q587" s="20"/>
      <c r="R587" s="20"/>
      <c r="S587" s="20"/>
      <c r="T587" s="20"/>
      <c r="U587" s="20"/>
      <c r="V587" s="20"/>
      <c r="W587" s="20"/>
      <c r="X587" s="20"/>
      <c r="Y587" s="20"/>
      <c r="Z587" s="20"/>
    </row>
    <row r="588" ht="13.5" customHeight="1" spans="1:26">
      <c r="A588" s="20"/>
      <c r="B588" s="20"/>
      <c r="C588" s="20"/>
      <c r="D588" s="20"/>
      <c r="E588" s="20"/>
      <c r="F588" s="20"/>
      <c r="G588" s="20"/>
      <c r="H588" s="20"/>
      <c r="I588" s="20"/>
      <c r="J588" s="20"/>
      <c r="K588" s="20"/>
      <c r="L588" s="20"/>
      <c r="M588" s="20"/>
      <c r="N588" s="20"/>
      <c r="O588" s="20"/>
      <c r="P588" s="20"/>
      <c r="Q588" s="20"/>
      <c r="R588" s="20"/>
      <c r="S588" s="20"/>
      <c r="T588" s="20"/>
      <c r="U588" s="20"/>
      <c r="V588" s="20"/>
      <c r="W588" s="20"/>
      <c r="X588" s="20"/>
      <c r="Y588" s="20"/>
      <c r="Z588" s="20"/>
    </row>
    <row r="589" ht="13.5" customHeight="1" spans="1:26">
      <c r="A589" s="20"/>
      <c r="B589" s="20"/>
      <c r="C589" s="20"/>
      <c r="D589" s="20"/>
      <c r="E589" s="20"/>
      <c r="F589" s="20"/>
      <c r="G589" s="20"/>
      <c r="H589" s="20"/>
      <c r="I589" s="20"/>
      <c r="J589" s="20"/>
      <c r="K589" s="20"/>
      <c r="L589" s="20"/>
      <c r="M589" s="20"/>
      <c r="N589" s="20"/>
      <c r="O589" s="20"/>
      <c r="P589" s="20"/>
      <c r="Q589" s="20"/>
      <c r="R589" s="20"/>
      <c r="S589" s="20"/>
      <c r="T589" s="20"/>
      <c r="U589" s="20"/>
      <c r="V589" s="20"/>
      <c r="W589" s="20"/>
      <c r="X589" s="20"/>
      <c r="Y589" s="20"/>
      <c r="Z589" s="20"/>
    </row>
    <row r="590" ht="13.5" customHeight="1" spans="1:26">
      <c r="A590" s="20"/>
      <c r="B590" s="20"/>
      <c r="C590" s="20"/>
      <c r="D590" s="20"/>
      <c r="E590" s="20"/>
      <c r="F590" s="20"/>
      <c r="G590" s="20"/>
      <c r="H590" s="20"/>
      <c r="I590" s="20"/>
      <c r="J590" s="20"/>
      <c r="K590" s="20"/>
      <c r="L590" s="20"/>
      <c r="M590" s="20"/>
      <c r="N590" s="20"/>
      <c r="O590" s="20"/>
      <c r="P590" s="20"/>
      <c r="Q590" s="20"/>
      <c r="R590" s="20"/>
      <c r="S590" s="20"/>
      <c r="T590" s="20"/>
      <c r="U590" s="20"/>
      <c r="V590" s="20"/>
      <c r="W590" s="20"/>
      <c r="X590" s="20"/>
      <c r="Y590" s="20"/>
      <c r="Z590" s="20"/>
    </row>
    <row r="591" ht="13.5" customHeight="1" spans="1:26">
      <c r="A591" s="20"/>
      <c r="B591" s="20"/>
      <c r="C591" s="20"/>
      <c r="D591" s="20"/>
      <c r="E591" s="20"/>
      <c r="F591" s="20"/>
      <c r="G591" s="20"/>
      <c r="H591" s="20"/>
      <c r="I591" s="20"/>
      <c r="J591" s="20"/>
      <c r="K591" s="20"/>
      <c r="L591" s="20"/>
      <c r="M591" s="20"/>
      <c r="N591" s="20"/>
      <c r="O591" s="20"/>
      <c r="P591" s="20"/>
      <c r="Q591" s="20"/>
      <c r="R591" s="20"/>
      <c r="S591" s="20"/>
      <c r="T591" s="20"/>
      <c r="U591" s="20"/>
      <c r="V591" s="20"/>
      <c r="W591" s="20"/>
      <c r="X591" s="20"/>
      <c r="Y591" s="20"/>
      <c r="Z591" s="20"/>
    </row>
    <row r="592" ht="13.5" customHeight="1" spans="1:26">
      <c r="A592" s="20"/>
      <c r="B592" s="20"/>
      <c r="C592" s="20"/>
      <c r="D592" s="20"/>
      <c r="E592" s="20"/>
      <c r="F592" s="20"/>
      <c r="G592" s="20"/>
      <c r="H592" s="20"/>
      <c r="I592" s="20"/>
      <c r="J592" s="20"/>
      <c r="K592" s="20"/>
      <c r="L592" s="20"/>
      <c r="M592" s="20"/>
      <c r="N592" s="20"/>
      <c r="O592" s="20"/>
      <c r="P592" s="20"/>
      <c r="Q592" s="20"/>
      <c r="R592" s="20"/>
      <c r="S592" s="20"/>
      <c r="T592" s="20"/>
      <c r="U592" s="20"/>
      <c r="V592" s="20"/>
      <c r="W592" s="20"/>
      <c r="X592" s="20"/>
      <c r="Y592" s="20"/>
      <c r="Z592" s="20"/>
    </row>
    <row r="593" ht="13.5" customHeight="1" spans="1:26">
      <c r="A593" s="20"/>
      <c r="B593" s="20"/>
      <c r="C593" s="20"/>
      <c r="D593" s="20"/>
      <c r="E593" s="20"/>
      <c r="F593" s="20"/>
      <c r="G593" s="20"/>
      <c r="H593" s="20"/>
      <c r="I593" s="20"/>
      <c r="J593" s="20"/>
      <c r="K593" s="20"/>
      <c r="L593" s="20"/>
      <c r="M593" s="20"/>
      <c r="N593" s="20"/>
      <c r="O593" s="20"/>
      <c r="P593" s="20"/>
      <c r="Q593" s="20"/>
      <c r="R593" s="20"/>
      <c r="S593" s="20"/>
      <c r="T593" s="20"/>
      <c r="U593" s="20"/>
      <c r="V593" s="20"/>
      <c r="W593" s="20"/>
      <c r="X593" s="20"/>
      <c r="Y593" s="20"/>
      <c r="Z593" s="20"/>
    </row>
    <row r="594" ht="13.5" customHeight="1" spans="1:26">
      <c r="A594" s="20"/>
      <c r="B594" s="20"/>
      <c r="C594" s="20"/>
      <c r="D594" s="20"/>
      <c r="E594" s="20"/>
      <c r="F594" s="20"/>
      <c r="G594" s="20"/>
      <c r="H594" s="20"/>
      <c r="I594" s="20"/>
      <c r="J594" s="20"/>
      <c r="K594" s="20"/>
      <c r="L594" s="20"/>
      <c r="M594" s="20"/>
      <c r="N594" s="20"/>
      <c r="O594" s="20"/>
      <c r="P594" s="20"/>
      <c r="Q594" s="20"/>
      <c r="R594" s="20"/>
      <c r="S594" s="20"/>
      <c r="T594" s="20"/>
      <c r="U594" s="20"/>
      <c r="V594" s="20"/>
      <c r="W594" s="20"/>
      <c r="X594" s="20"/>
      <c r="Y594" s="20"/>
      <c r="Z594" s="20"/>
    </row>
    <row r="595" ht="13.5" customHeight="1" spans="1:26">
      <c r="A595" s="20"/>
      <c r="B595" s="20"/>
      <c r="C595" s="20"/>
      <c r="D595" s="20"/>
      <c r="E595" s="20"/>
      <c r="F595" s="20"/>
      <c r="G595" s="20"/>
      <c r="H595" s="20"/>
      <c r="I595" s="20"/>
      <c r="J595" s="20"/>
      <c r="K595" s="20"/>
      <c r="L595" s="20"/>
      <c r="M595" s="20"/>
      <c r="N595" s="20"/>
      <c r="O595" s="20"/>
      <c r="P595" s="20"/>
      <c r="Q595" s="20"/>
      <c r="R595" s="20"/>
      <c r="S595" s="20"/>
      <c r="T595" s="20"/>
      <c r="U595" s="20"/>
      <c r="V595" s="20"/>
      <c r="W595" s="20"/>
      <c r="X595" s="20"/>
      <c r="Y595" s="20"/>
      <c r="Z595" s="20"/>
    </row>
    <row r="596" ht="13.5" customHeight="1" spans="1:26">
      <c r="A596" s="20"/>
      <c r="B596" s="20"/>
      <c r="C596" s="20"/>
      <c r="D596" s="20"/>
      <c r="E596" s="20"/>
      <c r="F596" s="20"/>
      <c r="G596" s="20"/>
      <c r="H596" s="20"/>
      <c r="I596" s="20"/>
      <c r="J596" s="20"/>
      <c r="K596" s="20"/>
      <c r="L596" s="20"/>
      <c r="M596" s="20"/>
      <c r="N596" s="20"/>
      <c r="O596" s="20"/>
      <c r="P596" s="20"/>
      <c r="Q596" s="20"/>
      <c r="R596" s="20"/>
      <c r="S596" s="20"/>
      <c r="T596" s="20"/>
      <c r="U596" s="20"/>
      <c r="V596" s="20"/>
      <c r="W596" s="20"/>
      <c r="X596" s="20"/>
      <c r="Y596" s="20"/>
      <c r="Z596" s="20"/>
    </row>
    <row r="597" ht="13.5" customHeight="1" spans="1:26">
      <c r="A597" s="20"/>
      <c r="B597" s="20"/>
      <c r="C597" s="20"/>
      <c r="D597" s="20"/>
      <c r="E597" s="20"/>
      <c r="F597" s="20"/>
      <c r="G597" s="20"/>
      <c r="H597" s="20"/>
      <c r="I597" s="20"/>
      <c r="J597" s="20"/>
      <c r="K597" s="20"/>
      <c r="L597" s="20"/>
      <c r="M597" s="20"/>
      <c r="N597" s="20"/>
      <c r="O597" s="20"/>
      <c r="P597" s="20"/>
      <c r="Q597" s="20"/>
      <c r="R597" s="20"/>
      <c r="S597" s="20"/>
      <c r="T597" s="20"/>
      <c r="U597" s="20"/>
      <c r="V597" s="20"/>
      <c r="W597" s="20"/>
      <c r="X597" s="20"/>
      <c r="Y597" s="20"/>
      <c r="Z597" s="20"/>
    </row>
    <row r="598" ht="13.5" customHeight="1" spans="1:26">
      <c r="A598" s="20"/>
      <c r="B598" s="20"/>
      <c r="C598" s="20"/>
      <c r="D598" s="20"/>
      <c r="E598" s="20"/>
      <c r="F598" s="20"/>
      <c r="G598" s="20"/>
      <c r="H598" s="20"/>
      <c r="I598" s="20"/>
      <c r="J598" s="20"/>
      <c r="K598" s="20"/>
      <c r="L598" s="20"/>
      <c r="M598" s="20"/>
      <c r="N598" s="20"/>
      <c r="O598" s="20"/>
      <c r="P598" s="20"/>
      <c r="Q598" s="20"/>
      <c r="R598" s="20"/>
      <c r="S598" s="20"/>
      <c r="T598" s="20"/>
      <c r="U598" s="20"/>
      <c r="V598" s="20"/>
      <c r="W598" s="20"/>
      <c r="X598" s="20"/>
      <c r="Y598" s="20"/>
      <c r="Z598" s="20"/>
    </row>
    <row r="599" ht="13.5" customHeight="1" spans="1:26">
      <c r="A599" s="20"/>
      <c r="B599" s="20"/>
      <c r="C599" s="20"/>
      <c r="D599" s="20"/>
      <c r="E599" s="20"/>
      <c r="F599" s="20"/>
      <c r="G599" s="20"/>
      <c r="H599" s="20"/>
      <c r="I599" s="20"/>
      <c r="J599" s="20"/>
      <c r="K599" s="20"/>
      <c r="L599" s="20"/>
      <c r="M599" s="20"/>
      <c r="N599" s="20"/>
      <c r="O599" s="20"/>
      <c r="P599" s="20"/>
      <c r="Q599" s="20"/>
      <c r="R599" s="20"/>
      <c r="S599" s="20"/>
      <c r="T599" s="20"/>
      <c r="U599" s="20"/>
      <c r="V599" s="20"/>
      <c r="W599" s="20"/>
      <c r="X599" s="20"/>
      <c r="Y599" s="20"/>
      <c r="Z599" s="20"/>
    </row>
    <row r="600" ht="13.5" customHeight="1" spans="1:26">
      <c r="A600" s="20"/>
      <c r="B600" s="20"/>
      <c r="C600" s="20"/>
      <c r="D600" s="20"/>
      <c r="E600" s="20"/>
      <c r="F600" s="20"/>
      <c r="G600" s="20"/>
      <c r="H600" s="20"/>
      <c r="I600" s="20"/>
      <c r="J600" s="20"/>
      <c r="K600" s="20"/>
      <c r="L600" s="20"/>
      <c r="M600" s="20"/>
      <c r="N600" s="20"/>
      <c r="O600" s="20"/>
      <c r="P600" s="20"/>
      <c r="Q600" s="20"/>
      <c r="R600" s="20"/>
      <c r="S600" s="20"/>
      <c r="T600" s="20"/>
      <c r="U600" s="20"/>
      <c r="V600" s="20"/>
      <c r="W600" s="20"/>
      <c r="X600" s="20"/>
      <c r="Y600" s="20"/>
      <c r="Z600" s="20"/>
    </row>
    <row r="601" ht="13.5" customHeight="1" spans="1:26">
      <c r="A601" s="20"/>
      <c r="B601" s="20"/>
      <c r="C601" s="20"/>
      <c r="D601" s="20"/>
      <c r="E601" s="20"/>
      <c r="F601" s="20"/>
      <c r="G601" s="20"/>
      <c r="H601" s="20"/>
      <c r="I601" s="20"/>
      <c r="J601" s="20"/>
      <c r="K601" s="20"/>
      <c r="L601" s="20"/>
      <c r="M601" s="20"/>
      <c r="N601" s="20"/>
      <c r="O601" s="20"/>
      <c r="P601" s="20"/>
      <c r="Q601" s="20"/>
      <c r="R601" s="20"/>
      <c r="S601" s="20"/>
      <c r="T601" s="20"/>
      <c r="U601" s="20"/>
      <c r="V601" s="20"/>
      <c r="W601" s="20"/>
      <c r="X601" s="20"/>
      <c r="Y601" s="20"/>
      <c r="Z601" s="20"/>
    </row>
    <row r="602" ht="13.5" customHeight="1" spans="1:26">
      <c r="A602" s="20"/>
      <c r="B602" s="20"/>
      <c r="C602" s="20"/>
      <c r="D602" s="20"/>
      <c r="E602" s="20"/>
      <c r="F602" s="20"/>
      <c r="G602" s="20"/>
      <c r="H602" s="20"/>
      <c r="I602" s="20"/>
      <c r="J602" s="20"/>
      <c r="K602" s="20"/>
      <c r="L602" s="20"/>
      <c r="M602" s="20"/>
      <c r="N602" s="20"/>
      <c r="O602" s="20"/>
      <c r="P602" s="20"/>
      <c r="Q602" s="20"/>
      <c r="R602" s="20"/>
      <c r="S602" s="20"/>
      <c r="T602" s="20"/>
      <c r="U602" s="20"/>
      <c r="V602" s="20"/>
      <c r="W602" s="20"/>
      <c r="X602" s="20"/>
      <c r="Y602" s="20"/>
      <c r="Z602" s="20"/>
    </row>
    <row r="603" ht="13.5" customHeight="1" spans="1:26">
      <c r="A603" s="20"/>
      <c r="B603" s="20"/>
      <c r="C603" s="20"/>
      <c r="D603" s="20"/>
      <c r="E603" s="20"/>
      <c r="F603" s="20"/>
      <c r="G603" s="20"/>
      <c r="H603" s="20"/>
      <c r="I603" s="20"/>
      <c r="J603" s="20"/>
      <c r="K603" s="20"/>
      <c r="L603" s="20"/>
      <c r="M603" s="20"/>
      <c r="N603" s="20"/>
      <c r="O603" s="20"/>
      <c r="P603" s="20"/>
      <c r="Q603" s="20"/>
      <c r="R603" s="20"/>
      <c r="S603" s="20"/>
      <c r="T603" s="20"/>
      <c r="U603" s="20"/>
      <c r="V603" s="20"/>
      <c r="W603" s="20"/>
      <c r="X603" s="20"/>
      <c r="Y603" s="20"/>
      <c r="Z603" s="20"/>
    </row>
    <row r="604" ht="13.5" customHeight="1" spans="1:26">
      <c r="A604" s="20"/>
      <c r="B604" s="20"/>
      <c r="C604" s="20"/>
      <c r="D604" s="20"/>
      <c r="E604" s="20"/>
      <c r="F604" s="20"/>
      <c r="G604" s="20"/>
      <c r="H604" s="20"/>
      <c r="I604" s="20"/>
      <c r="J604" s="20"/>
      <c r="K604" s="20"/>
      <c r="L604" s="20"/>
      <c r="M604" s="20"/>
      <c r="N604" s="20"/>
      <c r="O604" s="20"/>
      <c r="P604" s="20"/>
      <c r="Q604" s="20"/>
      <c r="R604" s="20"/>
      <c r="S604" s="20"/>
      <c r="T604" s="20"/>
      <c r="U604" s="20"/>
      <c r="V604" s="20"/>
      <c r="W604" s="20"/>
      <c r="X604" s="20"/>
      <c r="Y604" s="20"/>
      <c r="Z604" s="20"/>
    </row>
    <row r="605" ht="13.5" customHeight="1" spans="1:26">
      <c r="A605" s="20"/>
      <c r="B605" s="20"/>
      <c r="C605" s="20"/>
      <c r="D605" s="20"/>
      <c r="E605" s="20"/>
      <c r="F605" s="20"/>
      <c r="G605" s="20"/>
      <c r="H605" s="20"/>
      <c r="I605" s="20"/>
      <c r="J605" s="20"/>
      <c r="K605" s="20"/>
      <c r="L605" s="20"/>
      <c r="M605" s="20"/>
      <c r="N605" s="20"/>
      <c r="O605" s="20"/>
      <c r="P605" s="20"/>
      <c r="Q605" s="20"/>
      <c r="R605" s="20"/>
      <c r="S605" s="20"/>
      <c r="T605" s="20"/>
      <c r="U605" s="20"/>
      <c r="V605" s="20"/>
      <c r="W605" s="20"/>
      <c r="X605" s="20"/>
      <c r="Y605" s="20"/>
      <c r="Z605" s="20"/>
    </row>
    <row r="606" ht="13.5" customHeight="1" spans="1:26">
      <c r="A606" s="20"/>
      <c r="B606" s="20"/>
      <c r="C606" s="20"/>
      <c r="D606" s="20"/>
      <c r="E606" s="20"/>
      <c r="F606" s="20"/>
      <c r="G606" s="20"/>
      <c r="H606" s="20"/>
      <c r="I606" s="20"/>
      <c r="J606" s="20"/>
      <c r="K606" s="20"/>
      <c r="L606" s="20"/>
      <c r="M606" s="20"/>
      <c r="N606" s="20"/>
      <c r="O606" s="20"/>
      <c r="P606" s="20"/>
      <c r="Q606" s="20"/>
      <c r="R606" s="20"/>
      <c r="S606" s="20"/>
      <c r="T606" s="20"/>
      <c r="U606" s="20"/>
      <c r="V606" s="20"/>
      <c r="W606" s="20"/>
      <c r="X606" s="20"/>
      <c r="Y606" s="20"/>
      <c r="Z606" s="20"/>
    </row>
    <row r="607" ht="13.5" customHeight="1" spans="1:26">
      <c r="A607" s="20"/>
      <c r="B607" s="20"/>
      <c r="C607" s="20"/>
      <c r="D607" s="20"/>
      <c r="E607" s="20"/>
      <c r="F607" s="20"/>
      <c r="G607" s="20"/>
      <c r="H607" s="20"/>
      <c r="I607" s="20"/>
      <c r="J607" s="20"/>
      <c r="K607" s="20"/>
      <c r="L607" s="20"/>
      <c r="M607" s="20"/>
      <c r="N607" s="20"/>
      <c r="O607" s="20"/>
      <c r="P607" s="20"/>
      <c r="Q607" s="20"/>
      <c r="R607" s="20"/>
      <c r="S607" s="20"/>
      <c r="T607" s="20"/>
      <c r="U607" s="20"/>
      <c r="V607" s="20"/>
      <c r="W607" s="20"/>
      <c r="X607" s="20"/>
      <c r="Y607" s="20"/>
      <c r="Z607" s="20"/>
    </row>
    <row r="608" ht="13.5" customHeight="1" spans="1:26">
      <c r="A608" s="20"/>
      <c r="B608" s="20"/>
      <c r="C608" s="20"/>
      <c r="D608" s="20"/>
      <c r="E608" s="20"/>
      <c r="F608" s="20"/>
      <c r="G608" s="20"/>
      <c r="H608" s="20"/>
      <c r="I608" s="20"/>
      <c r="J608" s="20"/>
      <c r="K608" s="20"/>
      <c r="L608" s="20"/>
      <c r="M608" s="20"/>
      <c r="N608" s="20"/>
      <c r="O608" s="20"/>
      <c r="P608" s="20"/>
      <c r="Q608" s="20"/>
      <c r="R608" s="20"/>
      <c r="S608" s="20"/>
      <c r="T608" s="20"/>
      <c r="U608" s="20"/>
      <c r="V608" s="20"/>
      <c r="W608" s="20"/>
      <c r="X608" s="20"/>
      <c r="Y608" s="20"/>
      <c r="Z608" s="20"/>
    </row>
    <row r="609" ht="13.5" customHeight="1" spans="1:26">
      <c r="A609" s="20"/>
      <c r="B609" s="20"/>
      <c r="C609" s="20"/>
      <c r="D609" s="20"/>
      <c r="E609" s="20"/>
      <c r="F609" s="20"/>
      <c r="G609" s="20"/>
      <c r="H609" s="20"/>
      <c r="I609" s="20"/>
      <c r="J609" s="20"/>
      <c r="K609" s="20"/>
      <c r="L609" s="20"/>
      <c r="M609" s="20"/>
      <c r="N609" s="20"/>
      <c r="O609" s="20"/>
      <c r="P609" s="20"/>
      <c r="Q609" s="20"/>
      <c r="R609" s="20"/>
      <c r="S609" s="20"/>
      <c r="T609" s="20"/>
      <c r="U609" s="20"/>
      <c r="V609" s="20"/>
      <c r="W609" s="20"/>
      <c r="X609" s="20"/>
      <c r="Y609" s="20"/>
      <c r="Z609" s="20"/>
    </row>
    <row r="610" ht="13.5" customHeight="1" spans="1:26">
      <c r="A610" s="20"/>
      <c r="B610" s="20"/>
      <c r="C610" s="20"/>
      <c r="D610" s="20"/>
      <c r="E610" s="20"/>
      <c r="F610" s="20"/>
      <c r="G610" s="20"/>
      <c r="H610" s="20"/>
      <c r="I610" s="20"/>
      <c r="J610" s="20"/>
      <c r="K610" s="20"/>
      <c r="L610" s="20"/>
      <c r="M610" s="20"/>
      <c r="N610" s="20"/>
      <c r="O610" s="20"/>
      <c r="P610" s="20"/>
      <c r="Q610" s="20"/>
      <c r="R610" s="20"/>
      <c r="S610" s="20"/>
      <c r="T610" s="20"/>
      <c r="U610" s="20"/>
      <c r="V610" s="20"/>
      <c r="W610" s="20"/>
      <c r="X610" s="20"/>
      <c r="Y610" s="20"/>
      <c r="Z610" s="20"/>
    </row>
    <row r="611" ht="13.5" customHeight="1" spans="1:26">
      <c r="A611" s="20"/>
      <c r="B611" s="20"/>
      <c r="C611" s="20"/>
      <c r="D611" s="20"/>
      <c r="E611" s="20"/>
      <c r="F611" s="20"/>
      <c r="G611" s="20"/>
      <c r="H611" s="20"/>
      <c r="I611" s="20"/>
      <c r="J611" s="20"/>
      <c r="K611" s="20"/>
      <c r="L611" s="20"/>
      <c r="M611" s="20"/>
      <c r="N611" s="20"/>
      <c r="O611" s="20"/>
      <c r="P611" s="20"/>
      <c r="Q611" s="20"/>
      <c r="R611" s="20"/>
      <c r="S611" s="20"/>
      <c r="T611" s="20"/>
      <c r="U611" s="20"/>
      <c r="V611" s="20"/>
      <c r="W611" s="20"/>
      <c r="X611" s="20"/>
      <c r="Y611" s="20"/>
      <c r="Z611" s="20"/>
    </row>
    <row r="612" ht="13.5" customHeight="1" spans="1:26">
      <c r="A612" s="20"/>
      <c r="B612" s="20"/>
      <c r="C612" s="20"/>
      <c r="D612" s="20"/>
      <c r="E612" s="20"/>
      <c r="F612" s="20"/>
      <c r="G612" s="20"/>
      <c r="H612" s="20"/>
      <c r="I612" s="20"/>
      <c r="J612" s="20"/>
      <c r="K612" s="20"/>
      <c r="L612" s="20"/>
      <c r="M612" s="20"/>
      <c r="N612" s="20"/>
      <c r="O612" s="20"/>
      <c r="P612" s="20"/>
      <c r="Q612" s="20"/>
      <c r="R612" s="20"/>
      <c r="S612" s="20"/>
      <c r="T612" s="20"/>
      <c r="U612" s="20"/>
      <c r="V612" s="20"/>
      <c r="W612" s="20"/>
      <c r="X612" s="20"/>
      <c r="Y612" s="20"/>
      <c r="Z612" s="20"/>
    </row>
    <row r="613" ht="13.5" customHeight="1" spans="1:26">
      <c r="A613" s="20"/>
      <c r="B613" s="20"/>
      <c r="C613" s="20"/>
      <c r="D613" s="20"/>
      <c r="E613" s="20"/>
      <c r="F613" s="20"/>
      <c r="G613" s="20"/>
      <c r="H613" s="20"/>
      <c r="I613" s="20"/>
      <c r="J613" s="20"/>
      <c r="K613" s="20"/>
      <c r="L613" s="20"/>
      <c r="M613" s="20"/>
      <c r="N613" s="20"/>
      <c r="O613" s="20"/>
      <c r="P613" s="20"/>
      <c r="Q613" s="20"/>
      <c r="R613" s="20"/>
      <c r="S613" s="20"/>
      <c r="T613" s="20"/>
      <c r="U613" s="20"/>
      <c r="V613" s="20"/>
      <c r="W613" s="20"/>
      <c r="X613" s="20"/>
      <c r="Y613" s="20"/>
      <c r="Z613" s="20"/>
    </row>
    <row r="614" ht="13.5" customHeight="1" spans="1:26">
      <c r="A614" s="20"/>
      <c r="B614" s="20"/>
      <c r="C614" s="20"/>
      <c r="D614" s="20"/>
      <c r="E614" s="20"/>
      <c r="F614" s="20"/>
      <c r="G614" s="20"/>
      <c r="H614" s="20"/>
      <c r="I614" s="20"/>
      <c r="J614" s="20"/>
      <c r="K614" s="20"/>
      <c r="L614" s="20"/>
      <c r="M614" s="20"/>
      <c r="N614" s="20"/>
      <c r="O614" s="20"/>
      <c r="P614" s="20"/>
      <c r="Q614" s="20"/>
      <c r="R614" s="20"/>
      <c r="S614" s="20"/>
      <c r="T614" s="20"/>
      <c r="U614" s="20"/>
      <c r="V614" s="20"/>
      <c r="W614" s="20"/>
      <c r="X614" s="20"/>
      <c r="Y614" s="20"/>
      <c r="Z614" s="20"/>
    </row>
    <row r="615" ht="13.5" customHeight="1" spans="1:26">
      <c r="A615" s="20"/>
      <c r="B615" s="20"/>
      <c r="C615" s="20"/>
      <c r="D615" s="20"/>
      <c r="E615" s="20"/>
      <c r="F615" s="20"/>
      <c r="G615" s="20"/>
      <c r="H615" s="20"/>
      <c r="I615" s="20"/>
      <c r="J615" s="20"/>
      <c r="K615" s="20"/>
      <c r="L615" s="20"/>
      <c r="M615" s="20"/>
      <c r="N615" s="20"/>
      <c r="O615" s="20"/>
      <c r="P615" s="20"/>
      <c r="Q615" s="20"/>
      <c r="R615" s="20"/>
      <c r="S615" s="20"/>
      <c r="T615" s="20"/>
      <c r="U615" s="20"/>
      <c r="V615" s="20"/>
      <c r="W615" s="20"/>
      <c r="X615" s="20"/>
      <c r="Y615" s="20"/>
      <c r="Z615" s="20"/>
    </row>
    <row r="616" ht="13.5" customHeight="1" spans="1:26">
      <c r="A616" s="20"/>
      <c r="B616" s="20"/>
      <c r="C616" s="20"/>
      <c r="D616" s="20"/>
      <c r="E616" s="20"/>
      <c r="F616" s="20"/>
      <c r="G616" s="20"/>
      <c r="H616" s="20"/>
      <c r="I616" s="20"/>
      <c r="J616" s="20"/>
      <c r="K616" s="20"/>
      <c r="L616" s="20"/>
      <c r="M616" s="20"/>
      <c r="N616" s="20"/>
      <c r="O616" s="20"/>
      <c r="P616" s="20"/>
      <c r="Q616" s="20"/>
      <c r="R616" s="20"/>
      <c r="S616" s="20"/>
      <c r="T616" s="20"/>
      <c r="U616" s="20"/>
      <c r="V616" s="20"/>
      <c r="W616" s="20"/>
      <c r="X616" s="20"/>
      <c r="Y616" s="20"/>
      <c r="Z616" s="20"/>
    </row>
    <row r="617" ht="13.5" customHeight="1" spans="1:26">
      <c r="A617" s="20"/>
      <c r="B617" s="20"/>
      <c r="C617" s="20"/>
      <c r="D617" s="20"/>
      <c r="E617" s="20"/>
      <c r="F617" s="20"/>
      <c r="G617" s="20"/>
      <c r="H617" s="20"/>
      <c r="I617" s="20"/>
      <c r="J617" s="20"/>
      <c r="K617" s="20"/>
      <c r="L617" s="20"/>
      <c r="M617" s="20"/>
      <c r="N617" s="20"/>
      <c r="O617" s="20"/>
      <c r="P617" s="20"/>
      <c r="Q617" s="20"/>
      <c r="R617" s="20"/>
      <c r="S617" s="20"/>
      <c r="T617" s="20"/>
      <c r="U617" s="20"/>
      <c r="V617" s="20"/>
      <c r="W617" s="20"/>
      <c r="X617" s="20"/>
      <c r="Y617" s="20"/>
      <c r="Z617" s="20"/>
    </row>
    <row r="618" ht="13.5" customHeight="1" spans="1:26">
      <c r="A618" s="20"/>
      <c r="B618" s="20"/>
      <c r="C618" s="20"/>
      <c r="D618" s="20"/>
      <c r="E618" s="20"/>
      <c r="F618" s="20"/>
      <c r="G618" s="20"/>
      <c r="H618" s="20"/>
      <c r="I618" s="20"/>
      <c r="J618" s="20"/>
      <c r="K618" s="20"/>
      <c r="L618" s="20"/>
      <c r="M618" s="20"/>
      <c r="N618" s="20"/>
      <c r="O618" s="20"/>
      <c r="P618" s="20"/>
      <c r="Q618" s="20"/>
      <c r="R618" s="20"/>
      <c r="S618" s="20"/>
      <c r="T618" s="20"/>
      <c r="U618" s="20"/>
      <c r="V618" s="20"/>
      <c r="W618" s="20"/>
      <c r="X618" s="20"/>
      <c r="Y618" s="20"/>
      <c r="Z618" s="20"/>
    </row>
    <row r="619" ht="13.5" customHeight="1" spans="1:26">
      <c r="A619" s="20"/>
      <c r="B619" s="20"/>
      <c r="C619" s="20"/>
      <c r="D619" s="20"/>
      <c r="E619" s="20"/>
      <c r="F619" s="20"/>
      <c r="G619" s="20"/>
      <c r="H619" s="20"/>
      <c r="I619" s="20"/>
      <c r="J619" s="20"/>
      <c r="K619" s="20"/>
      <c r="L619" s="20"/>
      <c r="M619" s="20"/>
      <c r="N619" s="20"/>
      <c r="O619" s="20"/>
      <c r="P619" s="20"/>
      <c r="Q619" s="20"/>
      <c r="R619" s="20"/>
      <c r="S619" s="20"/>
      <c r="T619" s="20"/>
      <c r="U619" s="20"/>
      <c r="V619" s="20"/>
      <c r="W619" s="20"/>
      <c r="X619" s="20"/>
      <c r="Y619" s="20"/>
      <c r="Z619" s="20"/>
    </row>
    <row r="620" ht="13.5" customHeight="1" spans="1:26">
      <c r="A620" s="20"/>
      <c r="B620" s="20"/>
      <c r="C620" s="20"/>
      <c r="D620" s="20"/>
      <c r="E620" s="20"/>
      <c r="F620" s="20"/>
      <c r="G620" s="20"/>
      <c r="H620" s="20"/>
      <c r="I620" s="20"/>
      <c r="J620" s="20"/>
      <c r="K620" s="20"/>
      <c r="L620" s="20"/>
      <c r="M620" s="20"/>
      <c r="N620" s="20"/>
      <c r="O620" s="20"/>
      <c r="P620" s="20"/>
      <c r="Q620" s="20"/>
      <c r="R620" s="20"/>
      <c r="S620" s="20"/>
      <c r="T620" s="20"/>
      <c r="U620" s="20"/>
      <c r="V620" s="20"/>
      <c r="W620" s="20"/>
      <c r="X620" s="20"/>
      <c r="Y620" s="20"/>
      <c r="Z620" s="20"/>
    </row>
    <row r="621" ht="13.5" customHeight="1" spans="1:26">
      <c r="A621" s="20"/>
      <c r="B621" s="20"/>
      <c r="C621" s="20"/>
      <c r="D621" s="20"/>
      <c r="E621" s="20"/>
      <c r="F621" s="20"/>
      <c r="G621" s="20"/>
      <c r="H621" s="20"/>
      <c r="I621" s="20"/>
      <c r="J621" s="20"/>
      <c r="K621" s="20"/>
      <c r="L621" s="20"/>
      <c r="M621" s="20"/>
      <c r="N621" s="20"/>
      <c r="O621" s="20"/>
      <c r="P621" s="20"/>
      <c r="Q621" s="20"/>
      <c r="R621" s="20"/>
      <c r="S621" s="20"/>
      <c r="T621" s="20"/>
      <c r="U621" s="20"/>
      <c r="V621" s="20"/>
      <c r="W621" s="20"/>
      <c r="X621" s="20"/>
      <c r="Y621" s="20"/>
      <c r="Z621" s="20"/>
    </row>
    <row r="622" ht="13.5" customHeight="1" spans="1:26">
      <c r="A622" s="20"/>
      <c r="B622" s="20"/>
      <c r="C622" s="20"/>
      <c r="D622" s="20"/>
      <c r="E622" s="20"/>
      <c r="F622" s="20"/>
      <c r="G622" s="20"/>
      <c r="H622" s="20"/>
      <c r="I622" s="20"/>
      <c r="J622" s="20"/>
      <c r="K622" s="20"/>
      <c r="L622" s="20"/>
      <c r="M622" s="20"/>
      <c r="N622" s="20"/>
      <c r="O622" s="20"/>
      <c r="P622" s="20"/>
      <c r="Q622" s="20"/>
      <c r="R622" s="20"/>
      <c r="S622" s="20"/>
      <c r="T622" s="20"/>
      <c r="U622" s="20"/>
      <c r="V622" s="20"/>
      <c r="W622" s="20"/>
      <c r="X622" s="20"/>
      <c r="Y622" s="20"/>
      <c r="Z622" s="20"/>
    </row>
    <row r="623" ht="13.5" customHeight="1" spans="1:26">
      <c r="A623" s="20"/>
      <c r="B623" s="20"/>
      <c r="C623" s="20"/>
      <c r="D623" s="20"/>
      <c r="E623" s="20"/>
      <c r="F623" s="20"/>
      <c r="G623" s="20"/>
      <c r="H623" s="20"/>
      <c r="I623" s="20"/>
      <c r="J623" s="20"/>
      <c r="K623" s="20"/>
      <c r="L623" s="20"/>
      <c r="M623" s="20"/>
      <c r="N623" s="20"/>
      <c r="O623" s="20"/>
      <c r="P623" s="20"/>
      <c r="Q623" s="20"/>
      <c r="R623" s="20"/>
      <c r="S623" s="20"/>
      <c r="T623" s="20"/>
      <c r="U623" s="20"/>
      <c r="V623" s="20"/>
      <c r="W623" s="20"/>
      <c r="X623" s="20"/>
      <c r="Y623" s="20"/>
      <c r="Z623" s="20"/>
    </row>
    <row r="624" ht="13.5" customHeight="1" spans="1:26">
      <c r="A624" s="20"/>
      <c r="B624" s="20"/>
      <c r="C624" s="20"/>
      <c r="D624" s="20"/>
      <c r="E624" s="20"/>
      <c r="F624" s="20"/>
      <c r="G624" s="20"/>
      <c r="H624" s="20"/>
      <c r="I624" s="20"/>
      <c r="J624" s="20"/>
      <c r="K624" s="20"/>
      <c r="L624" s="20"/>
      <c r="M624" s="20"/>
      <c r="N624" s="20"/>
      <c r="O624" s="20"/>
      <c r="P624" s="20"/>
      <c r="Q624" s="20"/>
      <c r="R624" s="20"/>
      <c r="S624" s="20"/>
      <c r="T624" s="20"/>
      <c r="U624" s="20"/>
      <c r="V624" s="20"/>
      <c r="W624" s="20"/>
      <c r="X624" s="20"/>
      <c r="Y624" s="20"/>
      <c r="Z624" s="20"/>
    </row>
    <row r="625" ht="13.5" customHeight="1" spans="1:26">
      <c r="A625" s="20"/>
      <c r="B625" s="20"/>
      <c r="C625" s="20"/>
      <c r="D625" s="20"/>
      <c r="E625" s="20"/>
      <c r="F625" s="20"/>
      <c r="G625" s="20"/>
      <c r="H625" s="20"/>
      <c r="I625" s="20"/>
      <c r="J625" s="20"/>
      <c r="K625" s="20"/>
      <c r="L625" s="20"/>
      <c r="M625" s="20"/>
      <c r="N625" s="20"/>
      <c r="O625" s="20"/>
      <c r="P625" s="20"/>
      <c r="Q625" s="20"/>
      <c r="R625" s="20"/>
      <c r="S625" s="20"/>
      <c r="T625" s="20"/>
      <c r="U625" s="20"/>
      <c r="V625" s="20"/>
      <c r="W625" s="20"/>
      <c r="X625" s="20"/>
      <c r="Y625" s="20"/>
      <c r="Z625" s="20"/>
    </row>
    <row r="626" ht="13.5" customHeight="1" spans="1:26">
      <c r="A626" s="20"/>
      <c r="B626" s="20"/>
      <c r="C626" s="20"/>
      <c r="D626" s="20"/>
      <c r="E626" s="20"/>
      <c r="F626" s="20"/>
      <c r="G626" s="20"/>
      <c r="H626" s="20"/>
      <c r="I626" s="20"/>
      <c r="J626" s="20"/>
      <c r="K626" s="20"/>
      <c r="L626" s="20"/>
      <c r="M626" s="20"/>
      <c r="N626" s="20"/>
      <c r="O626" s="20"/>
      <c r="P626" s="20"/>
      <c r="Q626" s="20"/>
      <c r="R626" s="20"/>
      <c r="S626" s="20"/>
      <c r="T626" s="20"/>
      <c r="U626" s="20"/>
      <c r="V626" s="20"/>
      <c r="W626" s="20"/>
      <c r="X626" s="20"/>
      <c r="Y626" s="20"/>
      <c r="Z626" s="20"/>
    </row>
    <row r="627" ht="13.5" customHeight="1" spans="1:26">
      <c r="A627" s="20"/>
      <c r="B627" s="20"/>
      <c r="C627" s="20"/>
      <c r="D627" s="20"/>
      <c r="E627" s="20"/>
      <c r="F627" s="20"/>
      <c r="G627" s="20"/>
      <c r="H627" s="20"/>
      <c r="I627" s="20"/>
      <c r="J627" s="20"/>
      <c r="K627" s="20"/>
      <c r="L627" s="20"/>
      <c r="M627" s="20"/>
      <c r="N627" s="20"/>
      <c r="O627" s="20"/>
      <c r="P627" s="20"/>
      <c r="Q627" s="20"/>
      <c r="R627" s="20"/>
      <c r="S627" s="20"/>
      <c r="T627" s="20"/>
      <c r="U627" s="20"/>
      <c r="V627" s="20"/>
      <c r="W627" s="20"/>
      <c r="X627" s="20"/>
      <c r="Y627" s="20"/>
      <c r="Z627" s="20"/>
    </row>
    <row r="628" ht="13.5" customHeight="1" spans="1:26">
      <c r="A628" s="20"/>
      <c r="B628" s="20"/>
      <c r="C628" s="20"/>
      <c r="D628" s="20"/>
      <c r="E628" s="20"/>
      <c r="F628" s="20"/>
      <c r="G628" s="20"/>
      <c r="H628" s="20"/>
      <c r="I628" s="20"/>
      <c r="J628" s="20"/>
      <c r="K628" s="20"/>
      <c r="L628" s="20"/>
      <c r="M628" s="20"/>
      <c r="N628" s="20"/>
      <c r="O628" s="20"/>
      <c r="P628" s="20"/>
      <c r="Q628" s="20"/>
      <c r="R628" s="20"/>
      <c r="S628" s="20"/>
      <c r="T628" s="20"/>
      <c r="U628" s="20"/>
      <c r="V628" s="20"/>
      <c r="W628" s="20"/>
      <c r="X628" s="20"/>
      <c r="Y628" s="20"/>
      <c r="Z628" s="20"/>
    </row>
    <row r="629" ht="13.5" customHeight="1" spans="1:26">
      <c r="A629" s="20"/>
      <c r="B629" s="20"/>
      <c r="C629" s="20"/>
      <c r="D629" s="20"/>
      <c r="E629" s="20"/>
      <c r="F629" s="20"/>
      <c r="G629" s="20"/>
      <c r="H629" s="20"/>
      <c r="I629" s="20"/>
      <c r="J629" s="20"/>
      <c r="K629" s="20"/>
      <c r="L629" s="20"/>
      <c r="M629" s="20"/>
      <c r="N629" s="20"/>
      <c r="O629" s="20"/>
      <c r="P629" s="20"/>
      <c r="Q629" s="20"/>
      <c r="R629" s="20"/>
      <c r="S629" s="20"/>
      <c r="T629" s="20"/>
      <c r="U629" s="20"/>
      <c r="V629" s="20"/>
      <c r="W629" s="20"/>
      <c r="X629" s="20"/>
      <c r="Y629" s="20"/>
      <c r="Z629" s="20"/>
    </row>
    <row r="630" ht="13.5" customHeight="1" spans="1:26">
      <c r="A630" s="20"/>
      <c r="B630" s="20"/>
      <c r="C630" s="20"/>
      <c r="D630" s="20"/>
      <c r="E630" s="20"/>
      <c r="F630" s="20"/>
      <c r="G630" s="20"/>
      <c r="H630" s="20"/>
      <c r="I630" s="20"/>
      <c r="J630" s="20"/>
      <c r="K630" s="20"/>
      <c r="L630" s="20"/>
      <c r="M630" s="20"/>
      <c r="N630" s="20"/>
      <c r="O630" s="20"/>
      <c r="P630" s="20"/>
      <c r="Q630" s="20"/>
      <c r="R630" s="20"/>
      <c r="S630" s="20"/>
      <c r="T630" s="20"/>
      <c r="U630" s="20"/>
      <c r="V630" s="20"/>
      <c r="W630" s="20"/>
      <c r="X630" s="20"/>
      <c r="Y630" s="20"/>
      <c r="Z630" s="20"/>
    </row>
    <row r="631" ht="13.5" customHeight="1" spans="1:26">
      <c r="A631" s="20"/>
      <c r="B631" s="20"/>
      <c r="C631" s="20"/>
      <c r="D631" s="20"/>
      <c r="E631" s="20"/>
      <c r="F631" s="20"/>
      <c r="G631" s="20"/>
      <c r="H631" s="20"/>
      <c r="I631" s="20"/>
      <c r="J631" s="20"/>
      <c r="K631" s="20"/>
      <c r="L631" s="20"/>
      <c r="M631" s="20"/>
      <c r="N631" s="20"/>
      <c r="O631" s="20"/>
      <c r="P631" s="20"/>
      <c r="Q631" s="20"/>
      <c r="R631" s="20"/>
      <c r="S631" s="20"/>
      <c r="T631" s="20"/>
      <c r="U631" s="20"/>
      <c r="V631" s="20"/>
      <c r="W631" s="20"/>
      <c r="X631" s="20"/>
      <c r="Y631" s="20"/>
      <c r="Z631" s="20"/>
    </row>
    <row r="632" ht="13.5" customHeight="1" spans="1:26">
      <c r="A632" s="20"/>
      <c r="B632" s="20"/>
      <c r="C632" s="20"/>
      <c r="D632" s="20"/>
      <c r="E632" s="20"/>
      <c r="F632" s="20"/>
      <c r="G632" s="20"/>
      <c r="H632" s="20"/>
      <c r="I632" s="20"/>
      <c r="J632" s="20"/>
      <c r="K632" s="20"/>
      <c r="L632" s="20"/>
      <c r="M632" s="20"/>
      <c r="N632" s="20"/>
      <c r="O632" s="20"/>
      <c r="P632" s="20"/>
      <c r="Q632" s="20"/>
      <c r="R632" s="20"/>
      <c r="S632" s="20"/>
      <c r="T632" s="20"/>
      <c r="U632" s="20"/>
      <c r="V632" s="20"/>
      <c r="W632" s="20"/>
      <c r="X632" s="20"/>
      <c r="Y632" s="20"/>
      <c r="Z632" s="20"/>
    </row>
    <row r="633" ht="13.5" customHeight="1" spans="1:26">
      <c r="A633" s="20"/>
      <c r="B633" s="20"/>
      <c r="C633" s="20"/>
      <c r="D633" s="20"/>
      <c r="E633" s="20"/>
      <c r="F633" s="20"/>
      <c r="G633" s="20"/>
      <c r="H633" s="20"/>
      <c r="I633" s="20"/>
      <c r="J633" s="20"/>
      <c r="K633" s="20"/>
      <c r="L633" s="20"/>
      <c r="M633" s="20"/>
      <c r="N633" s="20"/>
      <c r="O633" s="20"/>
      <c r="P633" s="20"/>
      <c r="Q633" s="20"/>
      <c r="R633" s="20"/>
      <c r="S633" s="20"/>
      <c r="T633" s="20"/>
      <c r="U633" s="20"/>
      <c r="V633" s="20"/>
      <c r="W633" s="20"/>
      <c r="X633" s="20"/>
      <c r="Y633" s="20"/>
      <c r="Z633" s="20"/>
    </row>
    <row r="634" ht="13.5" customHeight="1" spans="1:26">
      <c r="A634" s="20"/>
      <c r="B634" s="20"/>
      <c r="C634" s="20"/>
      <c r="D634" s="20"/>
      <c r="E634" s="20"/>
      <c r="F634" s="20"/>
      <c r="G634" s="20"/>
      <c r="H634" s="20"/>
      <c r="I634" s="20"/>
      <c r="J634" s="20"/>
      <c r="K634" s="20"/>
      <c r="L634" s="20"/>
      <c r="M634" s="20"/>
      <c r="N634" s="20"/>
      <c r="O634" s="20"/>
      <c r="P634" s="20"/>
      <c r="Q634" s="20"/>
      <c r="R634" s="20"/>
      <c r="S634" s="20"/>
      <c r="T634" s="20"/>
      <c r="U634" s="20"/>
      <c r="V634" s="20"/>
      <c r="W634" s="20"/>
      <c r="X634" s="20"/>
      <c r="Y634" s="20"/>
      <c r="Z634" s="20"/>
    </row>
    <row r="635" ht="13.5" customHeight="1" spans="1:26">
      <c r="A635" s="20"/>
      <c r="B635" s="20"/>
      <c r="C635" s="20"/>
      <c r="D635" s="20"/>
      <c r="E635" s="20"/>
      <c r="F635" s="20"/>
      <c r="G635" s="20"/>
      <c r="H635" s="20"/>
      <c r="I635" s="20"/>
      <c r="J635" s="20"/>
      <c r="K635" s="20"/>
      <c r="L635" s="20"/>
      <c r="M635" s="20"/>
      <c r="N635" s="20"/>
      <c r="O635" s="20"/>
      <c r="P635" s="20"/>
      <c r="Q635" s="20"/>
      <c r="R635" s="20"/>
      <c r="S635" s="20"/>
      <c r="T635" s="20"/>
      <c r="U635" s="20"/>
      <c r="V635" s="20"/>
      <c r="W635" s="20"/>
      <c r="X635" s="20"/>
      <c r="Y635" s="20"/>
      <c r="Z635" s="20"/>
    </row>
    <row r="636" ht="13.5" customHeight="1" spans="1:26">
      <c r="A636" s="20"/>
      <c r="B636" s="20"/>
      <c r="C636" s="20"/>
      <c r="D636" s="20"/>
      <c r="E636" s="20"/>
      <c r="F636" s="20"/>
      <c r="G636" s="20"/>
      <c r="H636" s="20"/>
      <c r="I636" s="20"/>
      <c r="J636" s="20"/>
      <c r="K636" s="20"/>
      <c r="L636" s="20"/>
      <c r="M636" s="20"/>
      <c r="N636" s="20"/>
      <c r="O636" s="20"/>
      <c r="P636" s="20"/>
      <c r="Q636" s="20"/>
      <c r="R636" s="20"/>
      <c r="S636" s="20"/>
      <c r="T636" s="20"/>
      <c r="U636" s="20"/>
      <c r="V636" s="20"/>
      <c r="W636" s="20"/>
      <c r="X636" s="20"/>
      <c r="Y636" s="20"/>
      <c r="Z636" s="20"/>
    </row>
    <row r="637" ht="13.5" customHeight="1" spans="1:26">
      <c r="A637" s="20"/>
      <c r="B637" s="20"/>
      <c r="C637" s="20"/>
      <c r="D637" s="20"/>
      <c r="E637" s="20"/>
      <c r="F637" s="20"/>
      <c r="G637" s="20"/>
      <c r="H637" s="20"/>
      <c r="I637" s="20"/>
      <c r="J637" s="20"/>
      <c r="K637" s="20"/>
      <c r="L637" s="20"/>
      <c r="M637" s="20"/>
      <c r="N637" s="20"/>
      <c r="O637" s="20"/>
      <c r="P637" s="20"/>
      <c r="Q637" s="20"/>
      <c r="R637" s="20"/>
      <c r="S637" s="20"/>
      <c r="T637" s="20"/>
      <c r="U637" s="20"/>
      <c r="V637" s="20"/>
      <c r="W637" s="20"/>
      <c r="X637" s="20"/>
      <c r="Y637" s="20"/>
      <c r="Z637" s="20"/>
    </row>
    <row r="638" ht="13.5" customHeight="1" spans="1:26">
      <c r="A638" s="20"/>
      <c r="B638" s="20"/>
      <c r="C638" s="20"/>
      <c r="D638" s="20"/>
      <c r="E638" s="20"/>
      <c r="F638" s="20"/>
      <c r="G638" s="20"/>
      <c r="H638" s="20"/>
      <c r="I638" s="20"/>
      <c r="J638" s="20"/>
      <c r="K638" s="20"/>
      <c r="L638" s="20"/>
      <c r="M638" s="20"/>
      <c r="N638" s="20"/>
      <c r="O638" s="20"/>
      <c r="P638" s="20"/>
      <c r="Q638" s="20"/>
      <c r="R638" s="20"/>
      <c r="S638" s="20"/>
      <c r="T638" s="20"/>
      <c r="U638" s="20"/>
      <c r="V638" s="20"/>
      <c r="W638" s="20"/>
      <c r="X638" s="20"/>
      <c r="Y638" s="20"/>
      <c r="Z638" s="20"/>
    </row>
    <row r="639" ht="13.5" customHeight="1" spans="1:26">
      <c r="A639" s="20"/>
      <c r="B639" s="20"/>
      <c r="C639" s="20"/>
      <c r="D639" s="20"/>
      <c r="E639" s="20"/>
      <c r="F639" s="20"/>
      <c r="G639" s="20"/>
      <c r="H639" s="20"/>
      <c r="I639" s="20"/>
      <c r="J639" s="20"/>
      <c r="K639" s="20"/>
      <c r="L639" s="20"/>
      <c r="M639" s="20"/>
      <c r="N639" s="20"/>
      <c r="O639" s="20"/>
      <c r="P639" s="20"/>
      <c r="Q639" s="20"/>
      <c r="R639" s="20"/>
      <c r="S639" s="20"/>
      <c r="T639" s="20"/>
      <c r="U639" s="20"/>
      <c r="V639" s="20"/>
      <c r="W639" s="20"/>
      <c r="X639" s="20"/>
      <c r="Y639" s="20"/>
      <c r="Z639" s="20"/>
    </row>
    <row r="640" ht="13.5" customHeight="1" spans="1:26">
      <c r="A640" s="20"/>
      <c r="B640" s="20"/>
      <c r="C640" s="20"/>
      <c r="D640" s="20"/>
      <c r="E640" s="20"/>
      <c r="F640" s="20"/>
      <c r="G640" s="20"/>
      <c r="H640" s="20"/>
      <c r="I640" s="20"/>
      <c r="J640" s="20"/>
      <c r="K640" s="20"/>
      <c r="L640" s="20"/>
      <c r="M640" s="20"/>
      <c r="N640" s="20"/>
      <c r="O640" s="20"/>
      <c r="P640" s="20"/>
      <c r="Q640" s="20"/>
      <c r="R640" s="20"/>
      <c r="S640" s="20"/>
      <c r="T640" s="20"/>
      <c r="U640" s="20"/>
      <c r="V640" s="20"/>
      <c r="W640" s="20"/>
      <c r="X640" s="20"/>
      <c r="Y640" s="20"/>
      <c r="Z640" s="20"/>
    </row>
    <row r="641" ht="13.5" customHeight="1" spans="1:26">
      <c r="A641" s="20"/>
      <c r="B641" s="20"/>
      <c r="C641" s="20"/>
      <c r="D641" s="20"/>
      <c r="E641" s="20"/>
      <c r="F641" s="20"/>
      <c r="G641" s="20"/>
      <c r="H641" s="20"/>
      <c r="I641" s="20"/>
      <c r="J641" s="20"/>
      <c r="K641" s="20"/>
      <c r="L641" s="20"/>
      <c r="M641" s="20"/>
      <c r="N641" s="20"/>
      <c r="O641" s="20"/>
      <c r="P641" s="20"/>
      <c r="Q641" s="20"/>
      <c r="R641" s="20"/>
      <c r="S641" s="20"/>
      <c r="T641" s="20"/>
      <c r="U641" s="20"/>
      <c r="V641" s="20"/>
      <c r="W641" s="20"/>
      <c r="X641" s="20"/>
      <c r="Y641" s="20"/>
      <c r="Z641" s="20"/>
    </row>
    <row r="642" ht="13.5" customHeight="1" spans="1:26">
      <c r="A642" s="20"/>
      <c r="B642" s="20"/>
      <c r="C642" s="20"/>
      <c r="D642" s="20"/>
      <c r="E642" s="20"/>
      <c r="F642" s="20"/>
      <c r="G642" s="20"/>
      <c r="H642" s="20"/>
      <c r="I642" s="20"/>
      <c r="J642" s="20"/>
      <c r="K642" s="20"/>
      <c r="L642" s="20"/>
      <c r="M642" s="20"/>
      <c r="N642" s="20"/>
      <c r="O642" s="20"/>
      <c r="P642" s="20"/>
      <c r="Q642" s="20"/>
      <c r="R642" s="20"/>
      <c r="S642" s="20"/>
      <c r="T642" s="20"/>
      <c r="U642" s="20"/>
      <c r="V642" s="20"/>
      <c r="W642" s="20"/>
      <c r="X642" s="20"/>
      <c r="Y642" s="20"/>
      <c r="Z642" s="20"/>
    </row>
    <row r="643" ht="13.5" customHeight="1" spans="1:26">
      <c r="A643" s="20"/>
      <c r="B643" s="20"/>
      <c r="C643" s="20"/>
      <c r="D643" s="20"/>
      <c r="E643" s="20"/>
      <c r="F643" s="20"/>
      <c r="G643" s="20"/>
      <c r="H643" s="20"/>
      <c r="I643" s="20"/>
      <c r="J643" s="20"/>
      <c r="K643" s="20"/>
      <c r="L643" s="20"/>
      <c r="M643" s="20"/>
      <c r="N643" s="20"/>
      <c r="O643" s="20"/>
      <c r="P643" s="20"/>
      <c r="Q643" s="20"/>
      <c r="R643" s="20"/>
      <c r="S643" s="20"/>
      <c r="T643" s="20"/>
      <c r="U643" s="20"/>
      <c r="V643" s="20"/>
      <c r="W643" s="20"/>
      <c r="X643" s="20"/>
      <c r="Y643" s="20"/>
      <c r="Z643" s="20"/>
    </row>
    <row r="644" ht="13.5" customHeight="1" spans="1:26">
      <c r="A644" s="20"/>
      <c r="B644" s="20"/>
      <c r="C644" s="20"/>
      <c r="D644" s="20"/>
      <c r="E644" s="20"/>
      <c r="F644" s="20"/>
      <c r="G644" s="20"/>
      <c r="H644" s="20"/>
      <c r="I644" s="20"/>
      <c r="J644" s="20"/>
      <c r="K644" s="20"/>
      <c r="L644" s="20"/>
      <c r="M644" s="20"/>
      <c r="N644" s="20"/>
      <c r="O644" s="20"/>
      <c r="P644" s="20"/>
      <c r="Q644" s="20"/>
      <c r="R644" s="20"/>
      <c r="S644" s="20"/>
      <c r="T644" s="20"/>
      <c r="U644" s="20"/>
      <c r="V644" s="20"/>
      <c r="W644" s="20"/>
      <c r="X644" s="20"/>
      <c r="Y644" s="20"/>
      <c r="Z644" s="20"/>
    </row>
    <row r="645" ht="13.5" customHeight="1" spans="1:26">
      <c r="A645" s="20"/>
      <c r="B645" s="20"/>
      <c r="C645" s="20"/>
      <c r="D645" s="20"/>
      <c r="E645" s="20"/>
      <c r="F645" s="20"/>
      <c r="G645" s="20"/>
      <c r="H645" s="20"/>
      <c r="I645" s="20"/>
      <c r="J645" s="20"/>
      <c r="K645" s="20"/>
      <c r="L645" s="20"/>
      <c r="M645" s="20"/>
      <c r="N645" s="20"/>
      <c r="O645" s="20"/>
      <c r="P645" s="20"/>
      <c r="Q645" s="20"/>
      <c r="R645" s="20"/>
      <c r="S645" s="20"/>
      <c r="T645" s="20"/>
      <c r="U645" s="20"/>
      <c r="V645" s="20"/>
      <c r="W645" s="20"/>
      <c r="X645" s="20"/>
      <c r="Y645" s="20"/>
      <c r="Z645" s="20"/>
    </row>
    <row r="646" ht="13.5" customHeight="1" spans="1:26">
      <c r="A646" s="20"/>
      <c r="B646" s="20"/>
      <c r="C646" s="20"/>
      <c r="D646" s="20"/>
      <c r="E646" s="20"/>
      <c r="F646" s="20"/>
      <c r="G646" s="20"/>
      <c r="H646" s="20"/>
      <c r="I646" s="20"/>
      <c r="J646" s="20"/>
      <c r="K646" s="20"/>
      <c r="L646" s="20"/>
      <c r="M646" s="20"/>
      <c r="N646" s="20"/>
      <c r="O646" s="20"/>
      <c r="P646" s="20"/>
      <c r="Q646" s="20"/>
      <c r="R646" s="20"/>
      <c r="S646" s="20"/>
      <c r="T646" s="20"/>
      <c r="U646" s="20"/>
      <c r="V646" s="20"/>
      <c r="W646" s="20"/>
      <c r="X646" s="20"/>
      <c r="Y646" s="20"/>
      <c r="Z646" s="20"/>
    </row>
    <row r="647" ht="13.5" customHeight="1" spans="1:26">
      <c r="A647" s="20"/>
      <c r="B647" s="20"/>
      <c r="C647" s="20"/>
      <c r="D647" s="20"/>
      <c r="E647" s="20"/>
      <c r="F647" s="20"/>
      <c r="G647" s="20"/>
      <c r="H647" s="20"/>
      <c r="I647" s="20"/>
      <c r="J647" s="20"/>
      <c r="K647" s="20"/>
      <c r="L647" s="20"/>
      <c r="M647" s="20"/>
      <c r="N647" s="20"/>
      <c r="O647" s="20"/>
      <c r="P647" s="20"/>
      <c r="Q647" s="20"/>
      <c r="R647" s="20"/>
      <c r="S647" s="20"/>
      <c r="T647" s="20"/>
      <c r="U647" s="20"/>
      <c r="V647" s="20"/>
      <c r="W647" s="20"/>
      <c r="X647" s="20"/>
      <c r="Y647" s="20"/>
      <c r="Z647" s="20"/>
    </row>
    <row r="648" ht="13.5" customHeight="1" spans="1:26">
      <c r="A648" s="20"/>
      <c r="B648" s="20"/>
      <c r="C648" s="20"/>
      <c r="D648" s="20"/>
      <c r="E648" s="20"/>
      <c r="F648" s="20"/>
      <c r="G648" s="20"/>
      <c r="H648" s="20"/>
      <c r="I648" s="20"/>
      <c r="J648" s="20"/>
      <c r="K648" s="20"/>
      <c r="L648" s="20"/>
      <c r="M648" s="20"/>
      <c r="N648" s="20"/>
      <c r="O648" s="20"/>
      <c r="P648" s="20"/>
      <c r="Q648" s="20"/>
      <c r="R648" s="20"/>
      <c r="S648" s="20"/>
      <c r="T648" s="20"/>
      <c r="U648" s="20"/>
      <c r="V648" s="20"/>
      <c r="W648" s="20"/>
      <c r="X648" s="20"/>
      <c r="Y648" s="20"/>
      <c r="Z648" s="20"/>
    </row>
    <row r="649" ht="13.5" customHeight="1" spans="1:26">
      <c r="A649" s="20"/>
      <c r="B649" s="20"/>
      <c r="C649" s="20"/>
      <c r="D649" s="20"/>
      <c r="E649" s="20"/>
      <c r="F649" s="20"/>
      <c r="G649" s="20"/>
      <c r="H649" s="20"/>
      <c r="I649" s="20"/>
      <c r="J649" s="20"/>
      <c r="K649" s="20"/>
      <c r="L649" s="20"/>
      <c r="M649" s="20"/>
      <c r="N649" s="20"/>
      <c r="O649" s="20"/>
      <c r="P649" s="20"/>
      <c r="Q649" s="20"/>
      <c r="R649" s="20"/>
      <c r="S649" s="20"/>
      <c r="T649" s="20"/>
      <c r="U649" s="20"/>
      <c r="V649" s="20"/>
      <c r="W649" s="20"/>
      <c r="X649" s="20"/>
      <c r="Y649" s="20"/>
      <c r="Z649" s="20"/>
    </row>
    <row r="650" ht="13.5" customHeight="1" spans="1:26">
      <c r="A650" s="20"/>
      <c r="B650" s="20"/>
      <c r="C650" s="20"/>
      <c r="D650" s="20"/>
      <c r="E650" s="20"/>
      <c r="F650" s="20"/>
      <c r="G650" s="20"/>
      <c r="H650" s="20"/>
      <c r="I650" s="20"/>
      <c r="J650" s="20"/>
      <c r="K650" s="20"/>
      <c r="L650" s="20"/>
      <c r="M650" s="20"/>
      <c r="N650" s="20"/>
      <c r="O650" s="20"/>
      <c r="P650" s="20"/>
      <c r="Q650" s="20"/>
      <c r="R650" s="20"/>
      <c r="S650" s="20"/>
      <c r="T650" s="20"/>
      <c r="U650" s="20"/>
      <c r="V650" s="20"/>
      <c r="W650" s="20"/>
      <c r="X650" s="20"/>
      <c r="Y650" s="20"/>
      <c r="Z650" s="20"/>
    </row>
    <row r="651" ht="13.5" customHeight="1" spans="1:26">
      <c r="A651" s="20"/>
      <c r="B651" s="20"/>
      <c r="C651" s="20"/>
      <c r="D651" s="20"/>
      <c r="E651" s="20"/>
      <c r="F651" s="20"/>
      <c r="G651" s="20"/>
      <c r="H651" s="20"/>
      <c r="I651" s="20"/>
      <c r="J651" s="20"/>
      <c r="K651" s="20"/>
      <c r="L651" s="20"/>
      <c r="M651" s="20"/>
      <c r="N651" s="20"/>
      <c r="O651" s="20"/>
      <c r="P651" s="20"/>
      <c r="Q651" s="20"/>
      <c r="R651" s="20"/>
      <c r="S651" s="20"/>
      <c r="T651" s="20"/>
      <c r="U651" s="20"/>
      <c r="V651" s="20"/>
      <c r="W651" s="20"/>
      <c r="X651" s="20"/>
      <c r="Y651" s="20"/>
      <c r="Z651" s="20"/>
    </row>
    <row r="652" ht="13.5" customHeight="1" spans="1:26">
      <c r="A652" s="20"/>
      <c r="B652" s="20"/>
      <c r="C652" s="20"/>
      <c r="D652" s="20"/>
      <c r="E652" s="20"/>
      <c r="F652" s="20"/>
      <c r="G652" s="20"/>
      <c r="H652" s="20"/>
      <c r="I652" s="20"/>
      <c r="J652" s="20"/>
      <c r="K652" s="20"/>
      <c r="L652" s="20"/>
      <c r="M652" s="20"/>
      <c r="N652" s="20"/>
      <c r="O652" s="20"/>
      <c r="P652" s="20"/>
      <c r="Q652" s="20"/>
      <c r="R652" s="20"/>
      <c r="S652" s="20"/>
      <c r="T652" s="20"/>
      <c r="U652" s="20"/>
      <c r="V652" s="20"/>
      <c r="W652" s="20"/>
      <c r="X652" s="20"/>
      <c r="Y652" s="20"/>
      <c r="Z652" s="20"/>
    </row>
    <row r="653" ht="13.5" customHeight="1" spans="1:26">
      <c r="A653" s="20"/>
      <c r="B653" s="20"/>
      <c r="C653" s="20"/>
      <c r="D653" s="20"/>
      <c r="E653" s="20"/>
      <c r="F653" s="20"/>
      <c r="G653" s="20"/>
      <c r="H653" s="20"/>
      <c r="I653" s="20"/>
      <c r="J653" s="20"/>
      <c r="K653" s="20"/>
      <c r="L653" s="20"/>
      <c r="M653" s="20"/>
      <c r="N653" s="20"/>
      <c r="O653" s="20"/>
      <c r="P653" s="20"/>
      <c r="Q653" s="20"/>
      <c r="R653" s="20"/>
      <c r="S653" s="20"/>
      <c r="T653" s="20"/>
      <c r="U653" s="20"/>
      <c r="V653" s="20"/>
      <c r="W653" s="20"/>
      <c r="X653" s="20"/>
      <c r="Y653" s="20"/>
      <c r="Z653" s="20"/>
    </row>
    <row r="654" ht="13.5" customHeight="1" spans="1:26">
      <c r="A654" s="20"/>
      <c r="B654" s="20"/>
      <c r="C654" s="20"/>
      <c r="D654" s="20"/>
      <c r="E654" s="20"/>
      <c r="F654" s="20"/>
      <c r="G654" s="20"/>
      <c r="H654" s="20"/>
      <c r="I654" s="20"/>
      <c r="J654" s="20"/>
      <c r="K654" s="20"/>
      <c r="L654" s="20"/>
      <c r="M654" s="20"/>
      <c r="N654" s="20"/>
      <c r="O654" s="20"/>
      <c r="P654" s="20"/>
      <c r="Q654" s="20"/>
      <c r="R654" s="20"/>
      <c r="S654" s="20"/>
      <c r="T654" s="20"/>
      <c r="U654" s="20"/>
      <c r="V654" s="20"/>
      <c r="W654" s="20"/>
      <c r="X654" s="20"/>
      <c r="Y654" s="20"/>
      <c r="Z654" s="20"/>
    </row>
    <row r="655" ht="13.5" customHeight="1" spans="1:26">
      <c r="A655" s="20"/>
      <c r="B655" s="20"/>
      <c r="C655" s="20"/>
      <c r="D655" s="20"/>
      <c r="E655" s="20"/>
      <c r="F655" s="20"/>
      <c r="G655" s="20"/>
      <c r="H655" s="20"/>
      <c r="I655" s="20"/>
      <c r="J655" s="20"/>
      <c r="K655" s="20"/>
      <c r="L655" s="20"/>
      <c r="M655" s="20"/>
      <c r="N655" s="20"/>
      <c r="O655" s="20"/>
      <c r="P655" s="20"/>
      <c r="Q655" s="20"/>
      <c r="R655" s="20"/>
      <c r="S655" s="20"/>
      <c r="T655" s="20"/>
      <c r="U655" s="20"/>
      <c r="V655" s="20"/>
      <c r="W655" s="20"/>
      <c r="X655" s="20"/>
      <c r="Y655" s="20"/>
      <c r="Z655" s="20"/>
    </row>
    <row r="656" ht="13.5" customHeight="1" spans="1:26">
      <c r="A656" s="20"/>
      <c r="B656" s="20"/>
      <c r="C656" s="20"/>
      <c r="D656" s="20"/>
      <c r="E656" s="20"/>
      <c r="F656" s="20"/>
      <c r="G656" s="20"/>
      <c r="H656" s="20"/>
      <c r="I656" s="20"/>
      <c r="J656" s="20"/>
      <c r="K656" s="20"/>
      <c r="L656" s="20"/>
      <c r="M656" s="20"/>
      <c r="N656" s="20"/>
      <c r="O656" s="20"/>
      <c r="P656" s="20"/>
      <c r="Q656" s="20"/>
      <c r="R656" s="20"/>
      <c r="S656" s="20"/>
      <c r="T656" s="20"/>
      <c r="U656" s="20"/>
      <c r="V656" s="20"/>
      <c r="W656" s="20"/>
      <c r="X656" s="20"/>
      <c r="Y656" s="20"/>
      <c r="Z656" s="20"/>
    </row>
    <row r="657" ht="13.5" customHeight="1" spans="1:26">
      <c r="A657" s="20"/>
      <c r="B657" s="20"/>
      <c r="C657" s="20"/>
      <c r="D657" s="20"/>
      <c r="E657" s="20"/>
      <c r="F657" s="20"/>
      <c r="G657" s="20"/>
      <c r="H657" s="20"/>
      <c r="I657" s="20"/>
      <c r="J657" s="20"/>
      <c r="K657" s="20"/>
      <c r="L657" s="20"/>
      <c r="M657" s="20"/>
      <c r="N657" s="20"/>
      <c r="O657" s="20"/>
      <c r="P657" s="20"/>
      <c r="Q657" s="20"/>
      <c r="R657" s="20"/>
      <c r="S657" s="20"/>
      <c r="T657" s="20"/>
      <c r="U657" s="20"/>
      <c r="V657" s="20"/>
      <c r="W657" s="20"/>
      <c r="X657" s="20"/>
      <c r="Y657" s="20"/>
      <c r="Z657" s="20"/>
    </row>
    <row r="658" ht="13.5" customHeight="1" spans="1:26">
      <c r="A658" s="20"/>
      <c r="B658" s="20"/>
      <c r="C658" s="20"/>
      <c r="D658" s="20"/>
      <c r="E658" s="20"/>
      <c r="F658" s="20"/>
      <c r="G658" s="20"/>
      <c r="H658" s="20"/>
      <c r="I658" s="20"/>
      <c r="J658" s="20"/>
      <c r="K658" s="20"/>
      <c r="L658" s="20"/>
      <c r="M658" s="20"/>
      <c r="N658" s="20"/>
      <c r="O658" s="20"/>
      <c r="P658" s="20"/>
      <c r="Q658" s="20"/>
      <c r="R658" s="20"/>
      <c r="S658" s="20"/>
      <c r="T658" s="20"/>
      <c r="U658" s="20"/>
      <c r="V658" s="20"/>
      <c r="W658" s="20"/>
      <c r="X658" s="20"/>
      <c r="Y658" s="20"/>
      <c r="Z658" s="20"/>
    </row>
    <row r="659" ht="13.5" customHeight="1" spans="1:26">
      <c r="A659" s="20"/>
      <c r="B659" s="20"/>
      <c r="C659" s="20"/>
      <c r="D659" s="20"/>
      <c r="E659" s="20"/>
      <c r="F659" s="20"/>
      <c r="G659" s="20"/>
      <c r="H659" s="20"/>
      <c r="I659" s="20"/>
      <c r="J659" s="20"/>
      <c r="K659" s="20"/>
      <c r="L659" s="20"/>
      <c r="M659" s="20"/>
      <c r="N659" s="20"/>
      <c r="O659" s="20"/>
      <c r="P659" s="20"/>
      <c r="Q659" s="20"/>
      <c r="R659" s="20"/>
      <c r="S659" s="20"/>
      <c r="T659" s="20"/>
      <c r="U659" s="20"/>
      <c r="V659" s="20"/>
      <c r="W659" s="20"/>
      <c r="X659" s="20"/>
      <c r="Y659" s="20"/>
      <c r="Z659" s="20"/>
    </row>
    <row r="660" ht="13.5" customHeight="1" spans="1:26">
      <c r="A660" s="20"/>
      <c r="B660" s="20"/>
      <c r="C660" s="20"/>
      <c r="D660" s="20"/>
      <c r="E660" s="20"/>
      <c r="F660" s="20"/>
      <c r="G660" s="20"/>
      <c r="H660" s="20"/>
      <c r="I660" s="20"/>
      <c r="J660" s="20"/>
      <c r="K660" s="20"/>
      <c r="L660" s="20"/>
      <c r="M660" s="20"/>
      <c r="N660" s="20"/>
      <c r="O660" s="20"/>
      <c r="P660" s="20"/>
      <c r="Q660" s="20"/>
      <c r="R660" s="20"/>
      <c r="S660" s="20"/>
      <c r="T660" s="20"/>
      <c r="U660" s="20"/>
      <c r="V660" s="20"/>
      <c r="W660" s="20"/>
      <c r="X660" s="20"/>
      <c r="Y660" s="20"/>
      <c r="Z660" s="20"/>
    </row>
    <row r="661" ht="13.5" customHeight="1" spans="1:26">
      <c r="A661" s="20"/>
      <c r="B661" s="20"/>
      <c r="C661" s="20"/>
      <c r="D661" s="20"/>
      <c r="E661" s="20"/>
      <c r="F661" s="20"/>
      <c r="G661" s="20"/>
      <c r="H661" s="20"/>
      <c r="I661" s="20"/>
      <c r="J661" s="20"/>
      <c r="K661" s="20"/>
      <c r="L661" s="20"/>
      <c r="M661" s="20"/>
      <c r="N661" s="20"/>
      <c r="O661" s="20"/>
      <c r="P661" s="20"/>
      <c r="Q661" s="20"/>
      <c r="R661" s="20"/>
      <c r="S661" s="20"/>
      <c r="T661" s="20"/>
      <c r="U661" s="20"/>
      <c r="V661" s="20"/>
      <c r="W661" s="20"/>
      <c r="X661" s="20"/>
      <c r="Y661" s="20"/>
      <c r="Z661" s="20"/>
    </row>
    <row r="662" ht="13.5" customHeight="1" spans="1:26">
      <c r="A662" s="20"/>
      <c r="B662" s="20"/>
      <c r="C662" s="20"/>
      <c r="D662" s="20"/>
      <c r="E662" s="20"/>
      <c r="F662" s="20"/>
      <c r="G662" s="20"/>
      <c r="H662" s="20"/>
      <c r="I662" s="20"/>
      <c r="J662" s="20"/>
      <c r="K662" s="20"/>
      <c r="L662" s="20"/>
      <c r="M662" s="20"/>
      <c r="N662" s="20"/>
      <c r="O662" s="20"/>
      <c r="P662" s="20"/>
      <c r="Q662" s="20"/>
      <c r="R662" s="20"/>
      <c r="S662" s="20"/>
      <c r="T662" s="20"/>
      <c r="U662" s="20"/>
      <c r="V662" s="20"/>
      <c r="W662" s="20"/>
      <c r="X662" s="20"/>
      <c r="Y662" s="20"/>
      <c r="Z662" s="20"/>
    </row>
    <row r="663" ht="13.5" customHeight="1" spans="1:26">
      <c r="A663" s="20"/>
      <c r="B663" s="20"/>
      <c r="C663" s="20"/>
      <c r="D663" s="20"/>
      <c r="E663" s="20"/>
      <c r="F663" s="20"/>
      <c r="G663" s="20"/>
      <c r="H663" s="20"/>
      <c r="I663" s="20"/>
      <c r="J663" s="20"/>
      <c r="K663" s="20"/>
      <c r="L663" s="20"/>
      <c r="M663" s="20"/>
      <c r="N663" s="20"/>
      <c r="O663" s="20"/>
      <c r="P663" s="20"/>
      <c r="Q663" s="20"/>
      <c r="R663" s="20"/>
      <c r="S663" s="20"/>
      <c r="T663" s="20"/>
      <c r="U663" s="20"/>
      <c r="V663" s="20"/>
      <c r="W663" s="20"/>
      <c r="X663" s="20"/>
      <c r="Y663" s="20"/>
      <c r="Z663" s="20"/>
    </row>
    <row r="664" ht="13.5" customHeight="1" spans="1:26">
      <c r="A664" s="20"/>
      <c r="B664" s="20"/>
      <c r="C664" s="20"/>
      <c r="D664" s="20"/>
      <c r="E664" s="20"/>
      <c r="F664" s="20"/>
      <c r="G664" s="20"/>
      <c r="H664" s="20"/>
      <c r="I664" s="20"/>
      <c r="J664" s="20"/>
      <c r="K664" s="20"/>
      <c r="L664" s="20"/>
      <c r="M664" s="20"/>
      <c r="N664" s="20"/>
      <c r="O664" s="20"/>
      <c r="P664" s="20"/>
      <c r="Q664" s="20"/>
      <c r="R664" s="20"/>
      <c r="S664" s="20"/>
      <c r="T664" s="20"/>
      <c r="U664" s="20"/>
      <c r="V664" s="20"/>
      <c r="W664" s="20"/>
      <c r="X664" s="20"/>
      <c r="Y664" s="20"/>
      <c r="Z664" s="20"/>
    </row>
    <row r="665" ht="13.5" customHeight="1" spans="1:26">
      <c r="A665" s="20"/>
      <c r="B665" s="20"/>
      <c r="C665" s="20"/>
      <c r="D665" s="20"/>
      <c r="E665" s="20"/>
      <c r="F665" s="20"/>
      <c r="G665" s="20"/>
      <c r="H665" s="20"/>
      <c r="I665" s="20"/>
      <c r="J665" s="20"/>
      <c r="K665" s="20"/>
      <c r="L665" s="20"/>
      <c r="M665" s="20"/>
      <c r="N665" s="20"/>
      <c r="O665" s="20"/>
      <c r="P665" s="20"/>
      <c r="Q665" s="20"/>
      <c r="R665" s="20"/>
      <c r="S665" s="20"/>
      <c r="T665" s="20"/>
      <c r="U665" s="20"/>
      <c r="V665" s="20"/>
      <c r="W665" s="20"/>
      <c r="X665" s="20"/>
      <c r="Y665" s="20"/>
      <c r="Z665" s="20"/>
    </row>
    <row r="666" ht="13.5" customHeight="1" spans="1:26">
      <c r="A666" s="20"/>
      <c r="B666" s="20"/>
      <c r="C666" s="20"/>
      <c r="D666" s="20"/>
      <c r="E666" s="20"/>
      <c r="F666" s="20"/>
      <c r="G666" s="20"/>
      <c r="H666" s="20"/>
      <c r="I666" s="20"/>
      <c r="J666" s="20"/>
      <c r="K666" s="20"/>
      <c r="L666" s="20"/>
      <c r="M666" s="20"/>
      <c r="N666" s="20"/>
      <c r="O666" s="20"/>
      <c r="P666" s="20"/>
      <c r="Q666" s="20"/>
      <c r="R666" s="20"/>
      <c r="S666" s="20"/>
      <c r="T666" s="20"/>
      <c r="U666" s="20"/>
      <c r="V666" s="20"/>
      <c r="W666" s="20"/>
      <c r="X666" s="20"/>
      <c r="Y666" s="20"/>
      <c r="Z666" s="20"/>
    </row>
    <row r="667" ht="13.5" customHeight="1" spans="1:26">
      <c r="A667" s="20"/>
      <c r="B667" s="20"/>
      <c r="C667" s="20"/>
      <c r="D667" s="20"/>
      <c r="E667" s="20"/>
      <c r="F667" s="20"/>
      <c r="G667" s="20"/>
      <c r="H667" s="20"/>
      <c r="I667" s="20"/>
      <c r="J667" s="20"/>
      <c r="K667" s="20"/>
      <c r="L667" s="20"/>
      <c r="M667" s="20"/>
      <c r="N667" s="20"/>
      <c r="O667" s="20"/>
      <c r="P667" s="20"/>
      <c r="Q667" s="20"/>
      <c r="R667" s="20"/>
      <c r="S667" s="20"/>
      <c r="T667" s="20"/>
      <c r="U667" s="20"/>
      <c r="V667" s="20"/>
      <c r="W667" s="20"/>
      <c r="X667" s="20"/>
      <c r="Y667" s="20"/>
      <c r="Z667" s="20"/>
    </row>
    <row r="668" ht="13.5" customHeight="1" spans="1:26">
      <c r="A668" s="20"/>
      <c r="B668" s="20"/>
      <c r="C668" s="20"/>
      <c r="D668" s="20"/>
      <c r="E668" s="20"/>
      <c r="F668" s="20"/>
      <c r="G668" s="20"/>
      <c r="H668" s="20"/>
      <c r="I668" s="20"/>
      <c r="J668" s="20"/>
      <c r="K668" s="20"/>
      <c r="L668" s="20"/>
      <c r="M668" s="20"/>
      <c r="N668" s="20"/>
      <c r="O668" s="20"/>
      <c r="P668" s="20"/>
      <c r="Q668" s="20"/>
      <c r="R668" s="20"/>
      <c r="S668" s="20"/>
      <c r="T668" s="20"/>
      <c r="U668" s="20"/>
      <c r="V668" s="20"/>
      <c r="W668" s="20"/>
      <c r="X668" s="20"/>
      <c r="Y668" s="20"/>
      <c r="Z668" s="20"/>
    </row>
    <row r="669" ht="13.5" customHeight="1" spans="1:26">
      <c r="A669" s="20"/>
      <c r="B669" s="20"/>
      <c r="C669" s="20"/>
      <c r="D669" s="20"/>
      <c r="E669" s="20"/>
      <c r="F669" s="20"/>
      <c r="G669" s="20"/>
      <c r="H669" s="20"/>
      <c r="I669" s="20"/>
      <c r="J669" s="20"/>
      <c r="K669" s="20"/>
      <c r="L669" s="20"/>
      <c r="M669" s="20"/>
      <c r="N669" s="20"/>
      <c r="O669" s="20"/>
      <c r="P669" s="20"/>
      <c r="Q669" s="20"/>
      <c r="R669" s="20"/>
      <c r="S669" s="20"/>
      <c r="T669" s="20"/>
      <c r="U669" s="20"/>
      <c r="V669" s="20"/>
      <c r="W669" s="20"/>
      <c r="X669" s="20"/>
      <c r="Y669" s="20"/>
      <c r="Z669" s="20"/>
    </row>
    <row r="670" ht="13.5" customHeight="1" spans="1:26">
      <c r="A670" s="20"/>
      <c r="B670" s="20"/>
      <c r="C670" s="20"/>
      <c r="D670" s="20"/>
      <c r="E670" s="20"/>
      <c r="F670" s="20"/>
      <c r="G670" s="20"/>
      <c r="H670" s="20"/>
      <c r="I670" s="20"/>
      <c r="J670" s="20"/>
      <c r="K670" s="20"/>
      <c r="L670" s="20"/>
      <c r="M670" s="20"/>
      <c r="N670" s="20"/>
      <c r="O670" s="20"/>
      <c r="P670" s="20"/>
      <c r="Q670" s="20"/>
      <c r="R670" s="20"/>
      <c r="S670" s="20"/>
      <c r="T670" s="20"/>
      <c r="U670" s="20"/>
      <c r="V670" s="20"/>
      <c r="W670" s="20"/>
      <c r="X670" s="20"/>
      <c r="Y670" s="20"/>
      <c r="Z670" s="20"/>
    </row>
    <row r="671" ht="13.5" customHeight="1" spans="1:26">
      <c r="A671" s="20"/>
      <c r="B671" s="20"/>
      <c r="C671" s="20"/>
      <c r="D671" s="20"/>
      <c r="E671" s="20"/>
      <c r="F671" s="20"/>
      <c r="G671" s="20"/>
      <c r="H671" s="20"/>
      <c r="I671" s="20"/>
      <c r="J671" s="20"/>
      <c r="K671" s="20"/>
      <c r="L671" s="20"/>
      <c r="M671" s="20"/>
      <c r="N671" s="20"/>
      <c r="O671" s="20"/>
      <c r="P671" s="20"/>
      <c r="Q671" s="20"/>
      <c r="R671" s="20"/>
      <c r="S671" s="20"/>
      <c r="T671" s="20"/>
      <c r="U671" s="20"/>
      <c r="V671" s="20"/>
      <c r="W671" s="20"/>
      <c r="X671" s="20"/>
      <c r="Y671" s="20"/>
      <c r="Z671" s="20"/>
    </row>
    <row r="672" ht="13.5" customHeight="1" spans="1:26">
      <c r="A672" s="20"/>
      <c r="B672" s="20"/>
      <c r="C672" s="20"/>
      <c r="D672" s="20"/>
      <c r="E672" s="20"/>
      <c r="F672" s="20"/>
      <c r="G672" s="20"/>
      <c r="H672" s="20"/>
      <c r="I672" s="20"/>
      <c r="J672" s="20"/>
      <c r="K672" s="20"/>
      <c r="L672" s="20"/>
      <c r="M672" s="20"/>
      <c r="N672" s="20"/>
      <c r="O672" s="20"/>
      <c r="P672" s="20"/>
      <c r="Q672" s="20"/>
      <c r="R672" s="20"/>
      <c r="S672" s="20"/>
      <c r="T672" s="20"/>
      <c r="U672" s="20"/>
      <c r="V672" s="20"/>
      <c r="W672" s="20"/>
      <c r="X672" s="20"/>
      <c r="Y672" s="20"/>
      <c r="Z672" s="20"/>
    </row>
    <row r="673" ht="13.5" customHeight="1" spans="1:26">
      <c r="A673" s="20"/>
      <c r="B673" s="20"/>
      <c r="C673" s="20"/>
      <c r="D673" s="20"/>
      <c r="E673" s="20"/>
      <c r="F673" s="20"/>
      <c r="G673" s="20"/>
      <c r="H673" s="20"/>
      <c r="I673" s="20"/>
      <c r="J673" s="20"/>
      <c r="K673" s="20"/>
      <c r="L673" s="20"/>
      <c r="M673" s="20"/>
      <c r="N673" s="20"/>
      <c r="O673" s="20"/>
      <c r="P673" s="20"/>
      <c r="Q673" s="20"/>
      <c r="R673" s="20"/>
      <c r="S673" s="20"/>
      <c r="T673" s="20"/>
      <c r="U673" s="20"/>
      <c r="V673" s="20"/>
      <c r="W673" s="20"/>
      <c r="X673" s="20"/>
      <c r="Y673" s="20"/>
      <c r="Z673" s="20"/>
    </row>
    <row r="674" ht="13.5" customHeight="1" spans="1:26">
      <c r="A674" s="20"/>
      <c r="B674" s="20"/>
      <c r="C674" s="20"/>
      <c r="D674" s="20"/>
      <c r="E674" s="20"/>
      <c r="F674" s="20"/>
      <c r="G674" s="20"/>
      <c r="H674" s="20"/>
      <c r="I674" s="20"/>
      <c r="J674" s="20"/>
      <c r="K674" s="20"/>
      <c r="L674" s="20"/>
      <c r="M674" s="20"/>
      <c r="N674" s="20"/>
      <c r="O674" s="20"/>
      <c r="P674" s="20"/>
      <c r="Q674" s="20"/>
      <c r="R674" s="20"/>
      <c r="S674" s="20"/>
      <c r="T674" s="20"/>
      <c r="U674" s="20"/>
      <c r="V674" s="20"/>
      <c r="W674" s="20"/>
      <c r="X674" s="20"/>
      <c r="Y674" s="20"/>
      <c r="Z674" s="20"/>
    </row>
    <row r="675" ht="13.5" customHeight="1" spans="1:26">
      <c r="A675" s="20"/>
      <c r="B675" s="20"/>
      <c r="C675" s="20"/>
      <c r="D675" s="20"/>
      <c r="E675" s="20"/>
      <c r="F675" s="20"/>
      <c r="G675" s="20"/>
      <c r="H675" s="20"/>
      <c r="I675" s="20"/>
      <c r="J675" s="20"/>
      <c r="K675" s="20"/>
      <c r="L675" s="20"/>
      <c r="M675" s="20"/>
      <c r="N675" s="20"/>
      <c r="O675" s="20"/>
      <c r="P675" s="20"/>
      <c r="Q675" s="20"/>
      <c r="R675" s="20"/>
      <c r="S675" s="20"/>
      <c r="T675" s="20"/>
      <c r="U675" s="20"/>
      <c r="V675" s="20"/>
      <c r="W675" s="20"/>
      <c r="X675" s="20"/>
      <c r="Y675" s="20"/>
      <c r="Z675" s="20"/>
    </row>
    <row r="676" ht="13.5" customHeight="1" spans="1:26">
      <c r="A676" s="20"/>
      <c r="B676" s="20"/>
      <c r="C676" s="20"/>
      <c r="D676" s="20"/>
      <c r="E676" s="20"/>
      <c r="F676" s="20"/>
      <c r="G676" s="20"/>
      <c r="H676" s="20"/>
      <c r="I676" s="20"/>
      <c r="J676" s="20"/>
      <c r="K676" s="20"/>
      <c r="L676" s="20"/>
      <c r="M676" s="20"/>
      <c r="N676" s="20"/>
      <c r="O676" s="20"/>
      <c r="P676" s="20"/>
      <c r="Q676" s="20"/>
      <c r="R676" s="20"/>
      <c r="S676" s="20"/>
      <c r="T676" s="20"/>
      <c r="U676" s="20"/>
      <c r="V676" s="20"/>
      <c r="W676" s="20"/>
      <c r="X676" s="20"/>
      <c r="Y676" s="20"/>
      <c r="Z676" s="20"/>
    </row>
    <row r="677" ht="13.5" customHeight="1" spans="1:26">
      <c r="A677" s="20"/>
      <c r="B677" s="20"/>
      <c r="C677" s="20"/>
      <c r="D677" s="20"/>
      <c r="E677" s="20"/>
      <c r="F677" s="20"/>
      <c r="G677" s="20"/>
      <c r="H677" s="20"/>
      <c r="I677" s="20"/>
      <c r="J677" s="20"/>
      <c r="K677" s="20"/>
      <c r="L677" s="20"/>
      <c r="M677" s="20"/>
      <c r="N677" s="20"/>
      <c r="O677" s="20"/>
      <c r="P677" s="20"/>
      <c r="Q677" s="20"/>
      <c r="R677" s="20"/>
      <c r="S677" s="20"/>
      <c r="T677" s="20"/>
      <c r="U677" s="20"/>
      <c r="V677" s="20"/>
      <c r="W677" s="20"/>
      <c r="X677" s="20"/>
      <c r="Y677" s="20"/>
      <c r="Z677" s="20"/>
    </row>
    <row r="678" ht="13.5" customHeight="1" spans="1:26">
      <c r="A678" s="20"/>
      <c r="B678" s="20"/>
      <c r="C678" s="20"/>
      <c r="D678" s="20"/>
      <c r="E678" s="20"/>
      <c r="F678" s="20"/>
      <c r="G678" s="20"/>
      <c r="H678" s="20"/>
      <c r="I678" s="20"/>
      <c r="J678" s="20"/>
      <c r="K678" s="20"/>
      <c r="L678" s="20"/>
      <c r="M678" s="20"/>
      <c r="N678" s="20"/>
      <c r="O678" s="20"/>
      <c r="P678" s="20"/>
      <c r="Q678" s="20"/>
      <c r="R678" s="20"/>
      <c r="S678" s="20"/>
      <c r="T678" s="20"/>
      <c r="U678" s="20"/>
      <c r="V678" s="20"/>
      <c r="W678" s="20"/>
      <c r="X678" s="20"/>
      <c r="Y678" s="20"/>
      <c r="Z678" s="20"/>
    </row>
    <row r="679" ht="13.5" customHeight="1" spans="1:26">
      <c r="A679" s="20"/>
      <c r="B679" s="20"/>
      <c r="C679" s="20"/>
      <c r="D679" s="20"/>
      <c r="E679" s="20"/>
      <c r="F679" s="20"/>
      <c r="G679" s="20"/>
      <c r="H679" s="20"/>
      <c r="I679" s="20"/>
      <c r="J679" s="20"/>
      <c r="K679" s="20"/>
      <c r="L679" s="20"/>
      <c r="M679" s="20"/>
      <c r="N679" s="20"/>
      <c r="O679" s="20"/>
      <c r="P679" s="20"/>
      <c r="Q679" s="20"/>
      <c r="R679" s="20"/>
      <c r="S679" s="20"/>
      <c r="T679" s="20"/>
      <c r="U679" s="20"/>
      <c r="V679" s="20"/>
      <c r="W679" s="20"/>
      <c r="X679" s="20"/>
      <c r="Y679" s="20"/>
      <c r="Z679" s="20"/>
    </row>
    <row r="680" ht="13.5" customHeight="1" spans="1:26">
      <c r="A680" s="20"/>
      <c r="B680" s="20"/>
      <c r="C680" s="20"/>
      <c r="D680" s="20"/>
      <c r="E680" s="20"/>
      <c r="F680" s="20"/>
      <c r="G680" s="20"/>
      <c r="H680" s="20"/>
      <c r="I680" s="20"/>
      <c r="J680" s="20"/>
      <c r="K680" s="20"/>
      <c r="L680" s="20"/>
      <c r="M680" s="20"/>
      <c r="N680" s="20"/>
      <c r="O680" s="20"/>
      <c r="P680" s="20"/>
      <c r="Q680" s="20"/>
      <c r="R680" s="20"/>
      <c r="S680" s="20"/>
      <c r="T680" s="20"/>
      <c r="U680" s="20"/>
      <c r="V680" s="20"/>
      <c r="W680" s="20"/>
      <c r="X680" s="20"/>
      <c r="Y680" s="20"/>
      <c r="Z680" s="20"/>
    </row>
    <row r="681" ht="13.5" customHeight="1" spans="1:26">
      <c r="A681" s="20"/>
      <c r="B681" s="20"/>
      <c r="C681" s="20"/>
      <c r="D681" s="20"/>
      <c r="E681" s="20"/>
      <c r="F681" s="20"/>
      <c r="G681" s="20"/>
      <c r="H681" s="20"/>
      <c r="I681" s="20"/>
      <c r="J681" s="20"/>
      <c r="K681" s="20"/>
      <c r="L681" s="20"/>
      <c r="M681" s="20"/>
      <c r="N681" s="20"/>
      <c r="O681" s="20"/>
      <c r="P681" s="20"/>
      <c r="Q681" s="20"/>
      <c r="R681" s="20"/>
      <c r="S681" s="20"/>
      <c r="T681" s="20"/>
      <c r="U681" s="20"/>
      <c r="V681" s="20"/>
      <c r="W681" s="20"/>
      <c r="X681" s="20"/>
      <c r="Y681" s="20"/>
      <c r="Z681" s="20"/>
    </row>
    <row r="682" ht="13.5" customHeight="1" spans="1:26">
      <c r="A682" s="20"/>
      <c r="B682" s="20"/>
      <c r="C682" s="20"/>
      <c r="D682" s="20"/>
      <c r="E682" s="20"/>
      <c r="F682" s="20"/>
      <c r="G682" s="20"/>
      <c r="H682" s="20"/>
      <c r="I682" s="20"/>
      <c r="J682" s="20"/>
      <c r="K682" s="20"/>
      <c r="L682" s="20"/>
      <c r="M682" s="20"/>
      <c r="N682" s="20"/>
      <c r="O682" s="20"/>
      <c r="P682" s="20"/>
      <c r="Q682" s="20"/>
      <c r="R682" s="20"/>
      <c r="S682" s="20"/>
      <c r="T682" s="20"/>
      <c r="U682" s="20"/>
      <c r="V682" s="20"/>
      <c r="W682" s="20"/>
      <c r="X682" s="20"/>
      <c r="Y682" s="20"/>
      <c r="Z682" s="20"/>
    </row>
    <row r="683" ht="13.5" customHeight="1" spans="1:26">
      <c r="A683" s="20"/>
      <c r="B683" s="20"/>
      <c r="C683" s="20"/>
      <c r="D683" s="20"/>
      <c r="E683" s="20"/>
      <c r="F683" s="20"/>
      <c r="G683" s="20"/>
      <c r="H683" s="20"/>
      <c r="I683" s="20"/>
      <c r="J683" s="20"/>
      <c r="K683" s="20"/>
      <c r="L683" s="20"/>
      <c r="M683" s="20"/>
      <c r="N683" s="20"/>
      <c r="O683" s="20"/>
      <c r="P683" s="20"/>
      <c r="Q683" s="20"/>
      <c r="R683" s="20"/>
      <c r="S683" s="20"/>
      <c r="T683" s="20"/>
      <c r="U683" s="20"/>
      <c r="V683" s="20"/>
      <c r="W683" s="20"/>
      <c r="X683" s="20"/>
      <c r="Y683" s="20"/>
      <c r="Z683" s="20"/>
    </row>
    <row r="684" ht="13.5" customHeight="1" spans="1:26">
      <c r="A684" s="20"/>
      <c r="B684" s="20"/>
      <c r="C684" s="20"/>
      <c r="D684" s="20"/>
      <c r="E684" s="20"/>
      <c r="F684" s="20"/>
      <c r="G684" s="20"/>
      <c r="H684" s="20"/>
      <c r="I684" s="20"/>
      <c r="J684" s="20"/>
      <c r="K684" s="20"/>
      <c r="L684" s="20"/>
      <c r="M684" s="20"/>
      <c r="N684" s="20"/>
      <c r="O684" s="20"/>
      <c r="P684" s="20"/>
      <c r="Q684" s="20"/>
      <c r="R684" s="20"/>
      <c r="S684" s="20"/>
      <c r="T684" s="20"/>
      <c r="U684" s="20"/>
      <c r="V684" s="20"/>
      <c r="W684" s="20"/>
      <c r="X684" s="20"/>
      <c r="Y684" s="20"/>
      <c r="Z684" s="20"/>
    </row>
    <row r="685" ht="13.5" customHeight="1" spans="1:26">
      <c r="A685" s="20"/>
      <c r="B685" s="20"/>
      <c r="C685" s="20"/>
      <c r="D685" s="20"/>
      <c r="E685" s="20"/>
      <c r="F685" s="20"/>
      <c r="G685" s="20"/>
      <c r="H685" s="20"/>
      <c r="I685" s="20"/>
      <c r="J685" s="20"/>
      <c r="K685" s="20"/>
      <c r="L685" s="20"/>
      <c r="M685" s="20"/>
      <c r="N685" s="20"/>
      <c r="O685" s="20"/>
      <c r="P685" s="20"/>
      <c r="Q685" s="20"/>
      <c r="R685" s="20"/>
      <c r="S685" s="20"/>
      <c r="T685" s="20"/>
      <c r="U685" s="20"/>
      <c r="V685" s="20"/>
      <c r="W685" s="20"/>
      <c r="X685" s="20"/>
      <c r="Y685" s="20"/>
      <c r="Z685" s="20"/>
    </row>
    <row r="686" ht="13.5" customHeight="1" spans="1:26">
      <c r="A686" s="20"/>
      <c r="B686" s="20"/>
      <c r="C686" s="20"/>
      <c r="D686" s="20"/>
      <c r="E686" s="20"/>
      <c r="F686" s="20"/>
      <c r="G686" s="20"/>
      <c r="H686" s="20"/>
      <c r="I686" s="20"/>
      <c r="J686" s="20"/>
      <c r="K686" s="20"/>
      <c r="L686" s="20"/>
      <c r="M686" s="20"/>
      <c r="N686" s="20"/>
      <c r="O686" s="20"/>
      <c r="P686" s="20"/>
      <c r="Q686" s="20"/>
      <c r="R686" s="20"/>
      <c r="S686" s="20"/>
      <c r="T686" s="20"/>
      <c r="U686" s="20"/>
      <c r="V686" s="20"/>
      <c r="W686" s="20"/>
      <c r="X686" s="20"/>
      <c r="Y686" s="20"/>
      <c r="Z686" s="20"/>
    </row>
    <row r="687" ht="13.5" customHeight="1" spans="1:26">
      <c r="A687" s="20"/>
      <c r="B687" s="20"/>
      <c r="C687" s="20"/>
      <c r="D687" s="20"/>
      <c r="E687" s="20"/>
      <c r="F687" s="20"/>
      <c r="G687" s="20"/>
      <c r="H687" s="20"/>
      <c r="I687" s="20"/>
      <c r="J687" s="20"/>
      <c r="K687" s="20"/>
      <c r="L687" s="20"/>
      <c r="M687" s="20"/>
      <c r="N687" s="20"/>
      <c r="O687" s="20"/>
      <c r="P687" s="20"/>
      <c r="Q687" s="20"/>
      <c r="R687" s="20"/>
      <c r="S687" s="20"/>
      <c r="T687" s="20"/>
      <c r="U687" s="20"/>
      <c r="V687" s="20"/>
      <c r="W687" s="20"/>
      <c r="X687" s="20"/>
      <c r="Y687" s="20"/>
      <c r="Z687" s="20"/>
    </row>
    <row r="688" ht="13.5" customHeight="1" spans="1:26">
      <c r="A688" s="20"/>
      <c r="B688" s="20"/>
      <c r="C688" s="20"/>
      <c r="D688" s="20"/>
      <c r="E688" s="20"/>
      <c r="F688" s="20"/>
      <c r="G688" s="20"/>
      <c r="H688" s="20"/>
      <c r="I688" s="20"/>
      <c r="J688" s="20"/>
      <c r="K688" s="20"/>
      <c r="L688" s="20"/>
      <c r="M688" s="20"/>
      <c r="N688" s="20"/>
      <c r="O688" s="20"/>
      <c r="P688" s="20"/>
      <c r="Q688" s="20"/>
      <c r="R688" s="20"/>
      <c r="S688" s="20"/>
      <c r="T688" s="20"/>
      <c r="U688" s="20"/>
      <c r="V688" s="20"/>
      <c r="W688" s="20"/>
      <c r="X688" s="20"/>
      <c r="Y688" s="20"/>
      <c r="Z688" s="20"/>
    </row>
    <row r="689" ht="13.5" customHeight="1" spans="1:26">
      <c r="A689" s="20"/>
      <c r="B689" s="20"/>
      <c r="C689" s="20"/>
      <c r="D689" s="20"/>
      <c r="E689" s="20"/>
      <c r="F689" s="20"/>
      <c r="G689" s="20"/>
      <c r="H689" s="20"/>
      <c r="I689" s="20"/>
      <c r="J689" s="20"/>
      <c r="K689" s="20"/>
      <c r="L689" s="20"/>
      <c r="M689" s="20"/>
      <c r="N689" s="20"/>
      <c r="O689" s="20"/>
      <c r="P689" s="20"/>
      <c r="Q689" s="20"/>
      <c r="R689" s="20"/>
      <c r="S689" s="20"/>
      <c r="T689" s="20"/>
      <c r="U689" s="20"/>
      <c r="V689" s="20"/>
      <c r="W689" s="20"/>
      <c r="X689" s="20"/>
      <c r="Y689" s="20"/>
      <c r="Z689" s="20"/>
    </row>
    <row r="690" ht="13.5" customHeight="1" spans="1:26">
      <c r="A690" s="20"/>
      <c r="B690" s="20"/>
      <c r="C690" s="20"/>
      <c r="D690" s="20"/>
      <c r="E690" s="20"/>
      <c r="F690" s="20"/>
      <c r="G690" s="20"/>
      <c r="H690" s="20"/>
      <c r="I690" s="20"/>
      <c r="J690" s="20"/>
      <c r="K690" s="20"/>
      <c r="L690" s="20"/>
      <c r="M690" s="20"/>
      <c r="N690" s="20"/>
      <c r="O690" s="20"/>
      <c r="P690" s="20"/>
      <c r="Q690" s="20"/>
      <c r="R690" s="20"/>
      <c r="S690" s="20"/>
      <c r="T690" s="20"/>
      <c r="U690" s="20"/>
      <c r="V690" s="20"/>
      <c r="W690" s="20"/>
      <c r="X690" s="20"/>
      <c r="Y690" s="20"/>
      <c r="Z690" s="20"/>
    </row>
    <row r="691" ht="13.5" customHeight="1" spans="1:26">
      <c r="A691" s="20"/>
      <c r="B691" s="20"/>
      <c r="C691" s="20"/>
      <c r="D691" s="20"/>
      <c r="E691" s="20"/>
      <c r="F691" s="20"/>
      <c r="G691" s="20"/>
      <c r="H691" s="20"/>
      <c r="I691" s="20"/>
      <c r="J691" s="20"/>
      <c r="K691" s="20"/>
      <c r="L691" s="20"/>
      <c r="M691" s="20"/>
      <c r="N691" s="20"/>
      <c r="O691" s="20"/>
      <c r="P691" s="20"/>
      <c r="Q691" s="20"/>
      <c r="R691" s="20"/>
      <c r="S691" s="20"/>
      <c r="T691" s="20"/>
      <c r="U691" s="20"/>
      <c r="V691" s="20"/>
      <c r="W691" s="20"/>
      <c r="X691" s="20"/>
      <c r="Y691" s="20"/>
      <c r="Z691" s="20"/>
    </row>
    <row r="692" ht="13.5" customHeight="1" spans="1:26">
      <c r="A692" s="20"/>
      <c r="B692" s="20"/>
      <c r="C692" s="20"/>
      <c r="D692" s="20"/>
      <c r="E692" s="20"/>
      <c r="F692" s="20"/>
      <c r="G692" s="20"/>
      <c r="H692" s="20"/>
      <c r="I692" s="20"/>
      <c r="J692" s="20"/>
      <c r="K692" s="20"/>
      <c r="L692" s="20"/>
      <c r="M692" s="20"/>
      <c r="N692" s="20"/>
      <c r="O692" s="20"/>
      <c r="P692" s="20"/>
      <c r="Q692" s="20"/>
      <c r="R692" s="20"/>
      <c r="S692" s="20"/>
      <c r="T692" s="20"/>
      <c r="U692" s="20"/>
      <c r="V692" s="20"/>
      <c r="W692" s="20"/>
      <c r="X692" s="20"/>
      <c r="Y692" s="20"/>
      <c r="Z692" s="20"/>
    </row>
    <row r="693" ht="13.5" customHeight="1" spans="1:26">
      <c r="A693" s="20"/>
      <c r="B693" s="20"/>
      <c r="C693" s="20"/>
      <c r="D693" s="20"/>
      <c r="E693" s="20"/>
      <c r="F693" s="20"/>
      <c r="G693" s="20"/>
      <c r="H693" s="20"/>
      <c r="I693" s="20"/>
      <c r="J693" s="20"/>
      <c r="K693" s="20"/>
      <c r="L693" s="20"/>
      <c r="M693" s="20"/>
      <c r="N693" s="20"/>
      <c r="O693" s="20"/>
      <c r="P693" s="20"/>
      <c r="Q693" s="20"/>
      <c r="R693" s="20"/>
      <c r="S693" s="20"/>
      <c r="T693" s="20"/>
      <c r="U693" s="20"/>
      <c r="V693" s="20"/>
      <c r="W693" s="20"/>
      <c r="X693" s="20"/>
      <c r="Y693" s="20"/>
      <c r="Z693" s="20"/>
    </row>
    <row r="694" ht="13.5" customHeight="1" spans="1:26">
      <c r="A694" s="20"/>
      <c r="B694" s="20"/>
      <c r="C694" s="20"/>
      <c r="D694" s="20"/>
      <c r="E694" s="20"/>
      <c r="F694" s="20"/>
      <c r="G694" s="20"/>
      <c r="H694" s="20"/>
      <c r="I694" s="20"/>
      <c r="J694" s="20"/>
      <c r="K694" s="20"/>
      <c r="L694" s="20"/>
      <c r="M694" s="20"/>
      <c r="N694" s="20"/>
      <c r="O694" s="20"/>
      <c r="P694" s="20"/>
      <c r="Q694" s="20"/>
      <c r="R694" s="20"/>
      <c r="S694" s="20"/>
      <c r="T694" s="20"/>
      <c r="U694" s="20"/>
      <c r="V694" s="20"/>
      <c r="W694" s="20"/>
      <c r="X694" s="20"/>
      <c r="Y694" s="20"/>
      <c r="Z694" s="20"/>
    </row>
    <row r="695" ht="13.5" customHeight="1" spans="1:26">
      <c r="A695" s="20"/>
      <c r="B695" s="20"/>
      <c r="C695" s="20"/>
      <c r="D695" s="20"/>
      <c r="E695" s="20"/>
      <c r="F695" s="20"/>
      <c r="G695" s="20"/>
      <c r="H695" s="20"/>
      <c r="I695" s="20"/>
      <c r="J695" s="20"/>
      <c r="K695" s="20"/>
      <c r="L695" s="20"/>
      <c r="M695" s="20"/>
      <c r="N695" s="20"/>
      <c r="O695" s="20"/>
      <c r="P695" s="20"/>
      <c r="Q695" s="20"/>
      <c r="R695" s="20"/>
      <c r="S695" s="20"/>
      <c r="T695" s="20"/>
      <c r="U695" s="20"/>
      <c r="V695" s="20"/>
      <c r="W695" s="20"/>
      <c r="X695" s="20"/>
      <c r="Y695" s="20"/>
      <c r="Z695" s="20"/>
    </row>
    <row r="696" ht="13.5" customHeight="1" spans="1:26">
      <c r="A696" s="20"/>
      <c r="B696" s="20"/>
      <c r="C696" s="20"/>
      <c r="D696" s="20"/>
      <c r="E696" s="20"/>
      <c r="F696" s="20"/>
      <c r="G696" s="20"/>
      <c r="H696" s="20"/>
      <c r="I696" s="20"/>
      <c r="J696" s="20"/>
      <c r="K696" s="20"/>
      <c r="L696" s="20"/>
      <c r="M696" s="20"/>
      <c r="N696" s="20"/>
      <c r="O696" s="20"/>
      <c r="P696" s="20"/>
      <c r="Q696" s="20"/>
      <c r="R696" s="20"/>
      <c r="S696" s="20"/>
      <c r="T696" s="20"/>
      <c r="U696" s="20"/>
      <c r="V696" s="20"/>
      <c r="W696" s="20"/>
      <c r="X696" s="20"/>
      <c r="Y696" s="20"/>
      <c r="Z696" s="20"/>
    </row>
    <row r="697" ht="13.5" customHeight="1" spans="1:26">
      <c r="A697" s="20"/>
      <c r="B697" s="20"/>
      <c r="C697" s="20"/>
      <c r="D697" s="20"/>
      <c r="E697" s="20"/>
      <c r="F697" s="20"/>
      <c r="G697" s="20"/>
      <c r="H697" s="20"/>
      <c r="I697" s="20"/>
      <c r="J697" s="20"/>
      <c r="K697" s="20"/>
      <c r="L697" s="20"/>
      <c r="M697" s="20"/>
      <c r="N697" s="20"/>
      <c r="O697" s="20"/>
      <c r="P697" s="20"/>
      <c r="Q697" s="20"/>
      <c r="R697" s="20"/>
      <c r="S697" s="20"/>
      <c r="T697" s="20"/>
      <c r="U697" s="20"/>
      <c r="V697" s="20"/>
      <c r="W697" s="20"/>
      <c r="X697" s="20"/>
      <c r="Y697" s="20"/>
      <c r="Z697" s="20"/>
    </row>
    <row r="698" ht="13.5" customHeight="1" spans="1:26">
      <c r="A698" s="20"/>
      <c r="B698" s="20"/>
      <c r="C698" s="20"/>
      <c r="D698" s="20"/>
      <c r="E698" s="20"/>
      <c r="F698" s="20"/>
      <c r="G698" s="20"/>
      <c r="H698" s="20"/>
      <c r="I698" s="20"/>
      <c r="J698" s="20"/>
      <c r="K698" s="20"/>
      <c r="L698" s="20"/>
      <c r="M698" s="20"/>
      <c r="N698" s="20"/>
      <c r="O698" s="20"/>
      <c r="P698" s="20"/>
      <c r="Q698" s="20"/>
      <c r="R698" s="20"/>
      <c r="S698" s="20"/>
      <c r="T698" s="20"/>
      <c r="U698" s="20"/>
      <c r="V698" s="20"/>
      <c r="W698" s="20"/>
      <c r="X698" s="20"/>
      <c r="Y698" s="20"/>
      <c r="Z698" s="20"/>
    </row>
    <row r="699" ht="13.5" customHeight="1" spans="1:26">
      <c r="A699" s="20"/>
      <c r="B699" s="20"/>
      <c r="C699" s="20"/>
      <c r="D699" s="20"/>
      <c r="E699" s="20"/>
      <c r="F699" s="20"/>
      <c r="G699" s="20"/>
      <c r="H699" s="20"/>
      <c r="I699" s="20"/>
      <c r="J699" s="20"/>
      <c r="K699" s="20"/>
      <c r="L699" s="20"/>
      <c r="M699" s="20"/>
      <c r="N699" s="20"/>
      <c r="O699" s="20"/>
      <c r="P699" s="20"/>
      <c r="Q699" s="20"/>
      <c r="R699" s="20"/>
      <c r="S699" s="20"/>
      <c r="T699" s="20"/>
      <c r="U699" s="20"/>
      <c r="V699" s="20"/>
      <c r="W699" s="20"/>
      <c r="X699" s="20"/>
      <c r="Y699" s="20"/>
      <c r="Z699" s="20"/>
    </row>
    <row r="700" ht="13.5" customHeight="1" spans="1:26">
      <c r="A700" s="20"/>
      <c r="B700" s="20"/>
      <c r="C700" s="20"/>
      <c r="D700" s="20"/>
      <c r="E700" s="20"/>
      <c r="F700" s="20"/>
      <c r="G700" s="20"/>
      <c r="H700" s="20"/>
      <c r="I700" s="20"/>
      <c r="J700" s="20"/>
      <c r="K700" s="20"/>
      <c r="L700" s="20"/>
      <c r="M700" s="20"/>
      <c r="N700" s="20"/>
      <c r="O700" s="20"/>
      <c r="P700" s="20"/>
      <c r="Q700" s="20"/>
      <c r="R700" s="20"/>
      <c r="S700" s="20"/>
      <c r="T700" s="20"/>
      <c r="U700" s="20"/>
      <c r="V700" s="20"/>
      <c r="W700" s="20"/>
      <c r="X700" s="20"/>
      <c r="Y700" s="20"/>
      <c r="Z700" s="20"/>
    </row>
    <row r="701" ht="13.5" customHeight="1" spans="1:26">
      <c r="A701" s="20"/>
      <c r="B701" s="20"/>
      <c r="C701" s="20"/>
      <c r="D701" s="20"/>
      <c r="E701" s="20"/>
      <c r="F701" s="20"/>
      <c r="G701" s="20"/>
      <c r="H701" s="20"/>
      <c r="I701" s="20"/>
      <c r="J701" s="20"/>
      <c r="K701" s="20"/>
      <c r="L701" s="20"/>
      <c r="M701" s="20"/>
      <c r="N701" s="20"/>
      <c r="O701" s="20"/>
      <c r="P701" s="20"/>
      <c r="Q701" s="20"/>
      <c r="R701" s="20"/>
      <c r="S701" s="20"/>
      <c r="T701" s="20"/>
      <c r="U701" s="20"/>
      <c r="V701" s="20"/>
      <c r="W701" s="20"/>
      <c r="X701" s="20"/>
      <c r="Y701" s="20"/>
      <c r="Z701" s="20"/>
    </row>
    <row r="702" ht="13.5" customHeight="1" spans="1:26">
      <c r="A702" s="20"/>
      <c r="B702" s="20"/>
      <c r="C702" s="20"/>
      <c r="D702" s="20"/>
      <c r="E702" s="20"/>
      <c r="F702" s="20"/>
      <c r="G702" s="20"/>
      <c r="H702" s="20"/>
      <c r="I702" s="20"/>
      <c r="J702" s="20"/>
      <c r="K702" s="20"/>
      <c r="L702" s="20"/>
      <c r="M702" s="20"/>
      <c r="N702" s="20"/>
      <c r="O702" s="20"/>
      <c r="P702" s="20"/>
      <c r="Q702" s="20"/>
      <c r="R702" s="20"/>
      <c r="S702" s="20"/>
      <c r="T702" s="20"/>
      <c r="U702" s="20"/>
      <c r="V702" s="20"/>
      <c r="W702" s="20"/>
      <c r="X702" s="20"/>
      <c r="Y702" s="20"/>
      <c r="Z702" s="20"/>
    </row>
    <row r="703" ht="13.5" customHeight="1" spans="1:26">
      <c r="A703" s="20"/>
      <c r="B703" s="20"/>
      <c r="C703" s="20"/>
      <c r="D703" s="20"/>
      <c r="E703" s="20"/>
      <c r="F703" s="20"/>
      <c r="G703" s="20"/>
      <c r="H703" s="20"/>
      <c r="I703" s="20"/>
      <c r="J703" s="20"/>
      <c r="K703" s="20"/>
      <c r="L703" s="20"/>
      <c r="M703" s="20"/>
      <c r="N703" s="20"/>
      <c r="O703" s="20"/>
      <c r="P703" s="20"/>
      <c r="Q703" s="20"/>
      <c r="R703" s="20"/>
      <c r="S703" s="20"/>
      <c r="T703" s="20"/>
      <c r="U703" s="20"/>
      <c r="V703" s="20"/>
      <c r="W703" s="20"/>
      <c r="X703" s="20"/>
      <c r="Y703" s="20"/>
      <c r="Z703" s="20"/>
    </row>
    <row r="704" ht="13.5" customHeight="1" spans="1:26">
      <c r="A704" s="20"/>
      <c r="B704" s="20"/>
      <c r="C704" s="20"/>
      <c r="D704" s="20"/>
      <c r="E704" s="20"/>
      <c r="F704" s="20"/>
      <c r="G704" s="20"/>
      <c r="H704" s="20"/>
      <c r="I704" s="20"/>
      <c r="J704" s="20"/>
      <c r="K704" s="20"/>
      <c r="L704" s="20"/>
      <c r="M704" s="20"/>
      <c r="N704" s="20"/>
      <c r="O704" s="20"/>
      <c r="P704" s="20"/>
      <c r="Q704" s="20"/>
      <c r="R704" s="20"/>
      <c r="S704" s="20"/>
      <c r="T704" s="20"/>
      <c r="U704" s="20"/>
      <c r="V704" s="20"/>
      <c r="W704" s="20"/>
      <c r="X704" s="20"/>
      <c r="Y704" s="20"/>
      <c r="Z704" s="20"/>
    </row>
    <row r="705" ht="13.5" customHeight="1" spans="1:26">
      <c r="A705" s="20"/>
      <c r="B705" s="20"/>
      <c r="C705" s="20"/>
      <c r="D705" s="20"/>
      <c r="E705" s="20"/>
      <c r="F705" s="20"/>
      <c r="G705" s="20"/>
      <c r="H705" s="20"/>
      <c r="I705" s="20"/>
      <c r="J705" s="20"/>
      <c r="K705" s="20"/>
      <c r="L705" s="20"/>
      <c r="M705" s="20"/>
      <c r="N705" s="20"/>
      <c r="O705" s="20"/>
      <c r="P705" s="20"/>
      <c r="Q705" s="20"/>
      <c r="R705" s="20"/>
      <c r="S705" s="20"/>
      <c r="T705" s="20"/>
      <c r="U705" s="20"/>
      <c r="V705" s="20"/>
      <c r="W705" s="20"/>
      <c r="X705" s="20"/>
      <c r="Y705" s="20"/>
      <c r="Z705" s="20"/>
    </row>
    <row r="706" ht="13.5" customHeight="1" spans="1:26">
      <c r="A706" s="20"/>
      <c r="B706" s="20"/>
      <c r="C706" s="20"/>
      <c r="D706" s="20"/>
      <c r="E706" s="20"/>
      <c r="F706" s="20"/>
      <c r="G706" s="20"/>
      <c r="H706" s="20"/>
      <c r="I706" s="20"/>
      <c r="J706" s="20"/>
      <c r="K706" s="20"/>
      <c r="L706" s="20"/>
      <c r="M706" s="20"/>
      <c r="N706" s="20"/>
      <c r="O706" s="20"/>
      <c r="P706" s="20"/>
      <c r="Q706" s="20"/>
      <c r="R706" s="20"/>
      <c r="S706" s="20"/>
      <c r="T706" s="20"/>
      <c r="U706" s="20"/>
      <c r="V706" s="20"/>
      <c r="W706" s="20"/>
      <c r="X706" s="20"/>
      <c r="Y706" s="20"/>
      <c r="Z706" s="20"/>
    </row>
    <row r="707" ht="13.5" customHeight="1" spans="1:26">
      <c r="A707" s="20"/>
      <c r="B707" s="20"/>
      <c r="C707" s="20"/>
      <c r="D707" s="20"/>
      <c r="E707" s="20"/>
      <c r="F707" s="20"/>
      <c r="G707" s="20"/>
      <c r="H707" s="20"/>
      <c r="I707" s="20"/>
      <c r="J707" s="20"/>
      <c r="K707" s="20"/>
      <c r="L707" s="20"/>
      <c r="M707" s="20"/>
      <c r="N707" s="20"/>
      <c r="O707" s="20"/>
      <c r="P707" s="20"/>
      <c r="Q707" s="20"/>
      <c r="R707" s="20"/>
      <c r="S707" s="20"/>
      <c r="T707" s="20"/>
      <c r="U707" s="20"/>
      <c r="V707" s="20"/>
      <c r="W707" s="20"/>
      <c r="X707" s="20"/>
      <c r="Y707" s="20"/>
      <c r="Z707" s="20"/>
    </row>
    <row r="708" ht="13.5" customHeight="1" spans="1:26">
      <c r="A708" s="20"/>
      <c r="B708" s="20"/>
      <c r="C708" s="20"/>
      <c r="D708" s="20"/>
      <c r="E708" s="20"/>
      <c r="F708" s="20"/>
      <c r="G708" s="20"/>
      <c r="H708" s="20"/>
      <c r="I708" s="20"/>
      <c r="J708" s="20"/>
      <c r="K708" s="20"/>
      <c r="L708" s="20"/>
      <c r="M708" s="20"/>
      <c r="N708" s="20"/>
      <c r="O708" s="20"/>
      <c r="P708" s="20"/>
      <c r="Q708" s="20"/>
      <c r="R708" s="20"/>
      <c r="S708" s="20"/>
      <c r="T708" s="20"/>
      <c r="U708" s="20"/>
      <c r="V708" s="20"/>
      <c r="W708" s="20"/>
      <c r="X708" s="20"/>
      <c r="Y708" s="20"/>
      <c r="Z708" s="20"/>
    </row>
    <row r="709" ht="13.5" customHeight="1" spans="1:26">
      <c r="A709" s="20"/>
      <c r="B709" s="20"/>
      <c r="C709" s="20"/>
      <c r="D709" s="20"/>
      <c r="E709" s="20"/>
      <c r="F709" s="20"/>
      <c r="G709" s="20"/>
      <c r="H709" s="20"/>
      <c r="I709" s="20"/>
      <c r="J709" s="20"/>
      <c r="K709" s="20"/>
      <c r="L709" s="20"/>
      <c r="M709" s="20"/>
      <c r="N709" s="20"/>
      <c r="O709" s="20"/>
      <c r="P709" s="20"/>
      <c r="Q709" s="20"/>
      <c r="R709" s="20"/>
      <c r="S709" s="20"/>
      <c r="T709" s="20"/>
      <c r="U709" s="20"/>
      <c r="V709" s="20"/>
      <c r="W709" s="20"/>
      <c r="X709" s="20"/>
      <c r="Y709" s="20"/>
      <c r="Z709" s="20"/>
    </row>
    <row r="710" ht="13.5" customHeight="1" spans="1:26">
      <c r="A710" s="20"/>
      <c r="B710" s="20"/>
      <c r="C710" s="20"/>
      <c r="D710" s="20"/>
      <c r="E710" s="20"/>
      <c r="F710" s="20"/>
      <c r="G710" s="20"/>
      <c r="H710" s="20"/>
      <c r="I710" s="20"/>
      <c r="J710" s="20"/>
      <c r="K710" s="20"/>
      <c r="L710" s="20"/>
      <c r="M710" s="20"/>
      <c r="N710" s="20"/>
      <c r="O710" s="20"/>
      <c r="P710" s="20"/>
      <c r="Q710" s="20"/>
      <c r="R710" s="20"/>
      <c r="S710" s="20"/>
      <c r="T710" s="20"/>
      <c r="U710" s="20"/>
      <c r="V710" s="20"/>
      <c r="W710" s="20"/>
      <c r="X710" s="20"/>
      <c r="Y710" s="20"/>
      <c r="Z710" s="20"/>
    </row>
    <row r="711" ht="13.5" customHeight="1" spans="1:26">
      <c r="A711" s="20"/>
      <c r="B711" s="20"/>
      <c r="C711" s="20"/>
      <c r="D711" s="20"/>
      <c r="E711" s="20"/>
      <c r="F711" s="20"/>
      <c r="G711" s="20"/>
      <c r="H711" s="20"/>
      <c r="I711" s="20"/>
      <c r="J711" s="20"/>
      <c r="K711" s="20"/>
      <c r="L711" s="20"/>
      <c r="M711" s="20"/>
      <c r="N711" s="20"/>
      <c r="O711" s="20"/>
      <c r="P711" s="20"/>
      <c r="Q711" s="20"/>
      <c r="R711" s="20"/>
      <c r="S711" s="20"/>
      <c r="T711" s="20"/>
      <c r="U711" s="20"/>
      <c r="V711" s="20"/>
      <c r="W711" s="20"/>
      <c r="X711" s="20"/>
      <c r="Y711" s="20"/>
      <c r="Z711" s="20"/>
    </row>
    <row r="712" ht="13.5" customHeight="1" spans="1:26">
      <c r="A712" s="20"/>
      <c r="B712" s="20"/>
      <c r="C712" s="20"/>
      <c r="D712" s="20"/>
      <c r="E712" s="20"/>
      <c r="F712" s="20"/>
      <c r="G712" s="20"/>
      <c r="H712" s="20"/>
      <c r="I712" s="20"/>
      <c r="J712" s="20"/>
      <c r="K712" s="20"/>
      <c r="L712" s="20"/>
      <c r="M712" s="20"/>
      <c r="N712" s="20"/>
      <c r="O712" s="20"/>
      <c r="P712" s="20"/>
      <c r="Q712" s="20"/>
      <c r="R712" s="20"/>
      <c r="S712" s="20"/>
      <c r="T712" s="20"/>
      <c r="U712" s="20"/>
      <c r="V712" s="20"/>
      <c r="W712" s="20"/>
      <c r="X712" s="20"/>
      <c r="Y712" s="20"/>
      <c r="Z712" s="20"/>
    </row>
    <row r="713" ht="13.5" customHeight="1" spans="1:26">
      <c r="A713" s="20"/>
      <c r="B713" s="20"/>
      <c r="C713" s="20"/>
      <c r="D713" s="20"/>
      <c r="E713" s="20"/>
      <c r="F713" s="20"/>
      <c r="G713" s="20"/>
      <c r="H713" s="20"/>
      <c r="I713" s="20"/>
      <c r="J713" s="20"/>
      <c r="K713" s="20"/>
      <c r="L713" s="20"/>
      <c r="M713" s="20"/>
      <c r="N713" s="20"/>
      <c r="O713" s="20"/>
      <c r="P713" s="20"/>
      <c r="Q713" s="20"/>
      <c r="R713" s="20"/>
      <c r="S713" s="20"/>
      <c r="T713" s="20"/>
      <c r="U713" s="20"/>
      <c r="V713" s="20"/>
      <c r="W713" s="20"/>
      <c r="X713" s="20"/>
      <c r="Y713" s="20"/>
      <c r="Z713" s="20"/>
    </row>
    <row r="714" ht="13.5" customHeight="1" spans="1:26">
      <c r="A714" s="20"/>
      <c r="B714" s="20"/>
      <c r="C714" s="20"/>
      <c r="D714" s="20"/>
      <c r="E714" s="20"/>
      <c r="F714" s="20"/>
      <c r="G714" s="20"/>
      <c r="H714" s="20"/>
      <c r="I714" s="20"/>
      <c r="J714" s="20"/>
      <c r="K714" s="20"/>
      <c r="L714" s="20"/>
      <c r="M714" s="20"/>
      <c r="N714" s="20"/>
      <c r="O714" s="20"/>
      <c r="P714" s="20"/>
      <c r="Q714" s="20"/>
      <c r="R714" s="20"/>
      <c r="S714" s="20"/>
      <c r="T714" s="20"/>
      <c r="U714" s="20"/>
      <c r="V714" s="20"/>
      <c r="W714" s="20"/>
      <c r="X714" s="20"/>
      <c r="Y714" s="20"/>
      <c r="Z714" s="20"/>
    </row>
    <row r="715" ht="13.5" customHeight="1" spans="1:26">
      <c r="A715" s="20"/>
      <c r="B715" s="20"/>
      <c r="C715" s="20"/>
      <c r="D715" s="20"/>
      <c r="E715" s="20"/>
      <c r="F715" s="20"/>
      <c r="G715" s="20"/>
      <c r="H715" s="20"/>
      <c r="I715" s="20"/>
      <c r="J715" s="20"/>
      <c r="K715" s="20"/>
      <c r="L715" s="20"/>
      <c r="M715" s="20"/>
      <c r="N715" s="20"/>
      <c r="O715" s="20"/>
      <c r="P715" s="20"/>
      <c r="Q715" s="20"/>
      <c r="R715" s="20"/>
      <c r="S715" s="20"/>
      <c r="T715" s="20"/>
      <c r="U715" s="20"/>
      <c r="V715" s="20"/>
      <c r="W715" s="20"/>
      <c r="X715" s="20"/>
      <c r="Y715" s="20"/>
      <c r="Z715" s="20"/>
    </row>
    <row r="716" ht="13.5" customHeight="1" spans="1:26">
      <c r="A716" s="20"/>
      <c r="B716" s="20"/>
      <c r="C716" s="20"/>
      <c r="D716" s="20"/>
      <c r="E716" s="20"/>
      <c r="F716" s="20"/>
      <c r="G716" s="20"/>
      <c r="H716" s="20"/>
      <c r="I716" s="20"/>
      <c r="J716" s="20"/>
      <c r="K716" s="20"/>
      <c r="L716" s="20"/>
      <c r="M716" s="20"/>
      <c r="N716" s="20"/>
      <c r="O716" s="20"/>
      <c r="P716" s="20"/>
      <c r="Q716" s="20"/>
      <c r="R716" s="20"/>
      <c r="S716" s="20"/>
      <c r="T716" s="20"/>
      <c r="U716" s="20"/>
      <c r="V716" s="20"/>
      <c r="W716" s="20"/>
      <c r="X716" s="20"/>
      <c r="Y716" s="20"/>
      <c r="Z716" s="20"/>
    </row>
    <row r="717" ht="13.5" customHeight="1" spans="1:26">
      <c r="A717" s="20"/>
      <c r="B717" s="20"/>
      <c r="C717" s="20"/>
      <c r="D717" s="20"/>
      <c r="E717" s="20"/>
      <c r="F717" s="20"/>
      <c r="G717" s="20"/>
      <c r="H717" s="20"/>
      <c r="I717" s="20"/>
      <c r="J717" s="20"/>
      <c r="K717" s="20"/>
      <c r="L717" s="20"/>
      <c r="M717" s="20"/>
      <c r="N717" s="20"/>
      <c r="O717" s="20"/>
      <c r="P717" s="20"/>
      <c r="Q717" s="20"/>
      <c r="R717" s="20"/>
      <c r="S717" s="20"/>
      <c r="T717" s="20"/>
      <c r="U717" s="20"/>
      <c r="V717" s="20"/>
      <c r="W717" s="20"/>
      <c r="X717" s="20"/>
      <c r="Y717" s="20"/>
      <c r="Z717" s="20"/>
    </row>
    <row r="718" ht="13.5" customHeight="1" spans="1:26">
      <c r="A718" s="20"/>
      <c r="B718" s="20"/>
      <c r="C718" s="20"/>
      <c r="D718" s="20"/>
      <c r="E718" s="20"/>
      <c r="F718" s="20"/>
      <c r="G718" s="20"/>
      <c r="H718" s="20"/>
      <c r="I718" s="20"/>
      <c r="J718" s="20"/>
      <c r="K718" s="20"/>
      <c r="L718" s="20"/>
      <c r="M718" s="20"/>
      <c r="N718" s="20"/>
      <c r="O718" s="20"/>
      <c r="P718" s="20"/>
      <c r="Q718" s="20"/>
      <c r="R718" s="20"/>
      <c r="S718" s="20"/>
      <c r="T718" s="20"/>
      <c r="U718" s="20"/>
      <c r="V718" s="20"/>
      <c r="W718" s="20"/>
      <c r="X718" s="20"/>
      <c r="Y718" s="20"/>
      <c r="Z718" s="20"/>
    </row>
    <row r="719" ht="13.5" customHeight="1" spans="1:26">
      <c r="A719" s="20"/>
      <c r="B719" s="20"/>
      <c r="C719" s="20"/>
      <c r="D719" s="20"/>
      <c r="E719" s="20"/>
      <c r="F719" s="20"/>
      <c r="G719" s="20"/>
      <c r="H719" s="20"/>
      <c r="I719" s="20"/>
      <c r="J719" s="20"/>
      <c r="K719" s="20"/>
      <c r="L719" s="20"/>
      <c r="M719" s="20"/>
      <c r="N719" s="20"/>
      <c r="O719" s="20"/>
      <c r="P719" s="20"/>
      <c r="Q719" s="20"/>
      <c r="R719" s="20"/>
      <c r="S719" s="20"/>
      <c r="T719" s="20"/>
      <c r="U719" s="20"/>
      <c r="V719" s="20"/>
      <c r="W719" s="20"/>
      <c r="X719" s="20"/>
      <c r="Y719" s="20"/>
      <c r="Z719" s="20"/>
    </row>
    <row r="720" ht="13.5" customHeight="1" spans="1:26">
      <c r="A720" s="20"/>
      <c r="B720" s="20"/>
      <c r="C720" s="20"/>
      <c r="D720" s="20"/>
      <c r="E720" s="20"/>
      <c r="F720" s="20"/>
      <c r="G720" s="20"/>
      <c r="H720" s="20"/>
      <c r="I720" s="20"/>
      <c r="J720" s="20"/>
      <c r="K720" s="20"/>
      <c r="L720" s="20"/>
      <c r="M720" s="20"/>
      <c r="N720" s="20"/>
      <c r="O720" s="20"/>
      <c r="P720" s="20"/>
      <c r="Q720" s="20"/>
      <c r="R720" s="20"/>
      <c r="S720" s="20"/>
      <c r="T720" s="20"/>
      <c r="U720" s="20"/>
      <c r="V720" s="20"/>
      <c r="W720" s="20"/>
      <c r="X720" s="20"/>
      <c r="Y720" s="20"/>
      <c r="Z720" s="20"/>
    </row>
    <row r="721" ht="13.5" customHeight="1" spans="1:26">
      <c r="A721" s="20"/>
      <c r="B721" s="20"/>
      <c r="C721" s="20"/>
      <c r="D721" s="20"/>
      <c r="E721" s="20"/>
      <c r="F721" s="20"/>
      <c r="G721" s="20"/>
      <c r="H721" s="20"/>
      <c r="I721" s="20"/>
      <c r="J721" s="20"/>
      <c r="K721" s="20"/>
      <c r="L721" s="20"/>
      <c r="M721" s="20"/>
      <c r="N721" s="20"/>
      <c r="O721" s="20"/>
      <c r="P721" s="20"/>
      <c r="Q721" s="20"/>
      <c r="R721" s="20"/>
      <c r="S721" s="20"/>
      <c r="T721" s="20"/>
      <c r="U721" s="20"/>
      <c r="V721" s="20"/>
      <c r="W721" s="20"/>
      <c r="X721" s="20"/>
      <c r="Y721" s="20"/>
      <c r="Z721" s="20"/>
    </row>
    <row r="722" ht="13.5" customHeight="1" spans="1:26">
      <c r="A722" s="20"/>
      <c r="B722" s="20"/>
      <c r="C722" s="20"/>
      <c r="D722" s="20"/>
      <c r="E722" s="20"/>
      <c r="F722" s="20"/>
      <c r="G722" s="20"/>
      <c r="H722" s="20"/>
      <c r="I722" s="20"/>
      <c r="J722" s="20"/>
      <c r="K722" s="20"/>
      <c r="L722" s="20"/>
      <c r="M722" s="20"/>
      <c r="N722" s="20"/>
      <c r="O722" s="20"/>
      <c r="P722" s="20"/>
      <c r="Q722" s="20"/>
      <c r="R722" s="20"/>
      <c r="S722" s="20"/>
      <c r="T722" s="20"/>
      <c r="U722" s="20"/>
      <c r="V722" s="20"/>
      <c r="W722" s="20"/>
      <c r="X722" s="20"/>
      <c r="Y722" s="20"/>
      <c r="Z722" s="20"/>
    </row>
    <row r="723" ht="13.5" customHeight="1" spans="1:26">
      <c r="A723" s="20"/>
      <c r="B723" s="20"/>
      <c r="C723" s="20"/>
      <c r="D723" s="20"/>
      <c r="E723" s="20"/>
      <c r="F723" s="20"/>
      <c r="G723" s="20"/>
      <c r="H723" s="20"/>
      <c r="I723" s="20"/>
      <c r="J723" s="20"/>
      <c r="K723" s="20"/>
      <c r="L723" s="20"/>
      <c r="M723" s="20"/>
      <c r="N723" s="20"/>
      <c r="O723" s="20"/>
      <c r="P723" s="20"/>
      <c r="Q723" s="20"/>
      <c r="R723" s="20"/>
      <c r="S723" s="20"/>
      <c r="T723" s="20"/>
      <c r="U723" s="20"/>
      <c r="V723" s="20"/>
      <c r="W723" s="20"/>
      <c r="X723" s="20"/>
      <c r="Y723" s="20"/>
      <c r="Z723" s="20"/>
    </row>
    <row r="724" ht="13.5" customHeight="1" spans="1:26">
      <c r="A724" s="20"/>
      <c r="B724" s="20"/>
      <c r="C724" s="20"/>
      <c r="D724" s="20"/>
      <c r="E724" s="20"/>
      <c r="F724" s="20"/>
      <c r="G724" s="20"/>
      <c r="H724" s="20"/>
      <c r="I724" s="20"/>
      <c r="J724" s="20"/>
      <c r="K724" s="20"/>
      <c r="L724" s="20"/>
      <c r="M724" s="20"/>
      <c r="N724" s="20"/>
      <c r="O724" s="20"/>
      <c r="P724" s="20"/>
      <c r="Q724" s="20"/>
      <c r="R724" s="20"/>
      <c r="S724" s="20"/>
      <c r="T724" s="20"/>
      <c r="U724" s="20"/>
      <c r="V724" s="20"/>
      <c r="W724" s="20"/>
      <c r="X724" s="20"/>
      <c r="Y724" s="20"/>
      <c r="Z724" s="20"/>
    </row>
    <row r="725" ht="13.5" customHeight="1" spans="1:26">
      <c r="A725" s="20"/>
      <c r="B725" s="20"/>
      <c r="C725" s="20"/>
      <c r="D725" s="20"/>
      <c r="E725" s="20"/>
      <c r="F725" s="20"/>
      <c r="G725" s="20"/>
      <c r="H725" s="20"/>
      <c r="I725" s="20"/>
      <c r="J725" s="20"/>
      <c r="K725" s="20"/>
      <c r="L725" s="20"/>
      <c r="M725" s="20"/>
      <c r="N725" s="20"/>
      <c r="O725" s="20"/>
      <c r="P725" s="20"/>
      <c r="Q725" s="20"/>
      <c r="R725" s="20"/>
      <c r="S725" s="20"/>
      <c r="T725" s="20"/>
      <c r="U725" s="20"/>
      <c r="V725" s="20"/>
      <c r="W725" s="20"/>
      <c r="X725" s="20"/>
      <c r="Y725" s="20"/>
      <c r="Z725" s="20"/>
    </row>
    <row r="726" ht="13.5" customHeight="1" spans="1:26">
      <c r="A726" s="20"/>
      <c r="B726" s="20"/>
      <c r="C726" s="20"/>
      <c r="D726" s="20"/>
      <c r="E726" s="20"/>
      <c r="F726" s="20"/>
      <c r="G726" s="20"/>
      <c r="H726" s="20"/>
      <c r="I726" s="20"/>
      <c r="J726" s="20"/>
      <c r="K726" s="20"/>
      <c r="L726" s="20"/>
      <c r="M726" s="20"/>
      <c r="N726" s="20"/>
      <c r="O726" s="20"/>
      <c r="P726" s="20"/>
      <c r="Q726" s="20"/>
      <c r="R726" s="20"/>
      <c r="S726" s="20"/>
      <c r="T726" s="20"/>
      <c r="U726" s="20"/>
      <c r="V726" s="20"/>
      <c r="W726" s="20"/>
      <c r="X726" s="20"/>
      <c r="Y726" s="20"/>
      <c r="Z726" s="20"/>
    </row>
    <row r="727" ht="13.5" customHeight="1" spans="1:26">
      <c r="A727" s="20"/>
      <c r="B727" s="20"/>
      <c r="C727" s="20"/>
      <c r="D727" s="20"/>
      <c r="E727" s="20"/>
      <c r="F727" s="20"/>
      <c r="G727" s="20"/>
      <c r="H727" s="20"/>
      <c r="I727" s="20"/>
      <c r="J727" s="20"/>
      <c r="K727" s="20"/>
      <c r="L727" s="20"/>
      <c r="M727" s="20"/>
      <c r="N727" s="20"/>
      <c r="O727" s="20"/>
      <c r="P727" s="20"/>
      <c r="Q727" s="20"/>
      <c r="R727" s="20"/>
      <c r="S727" s="20"/>
      <c r="T727" s="20"/>
      <c r="U727" s="20"/>
      <c r="V727" s="20"/>
      <c r="W727" s="20"/>
      <c r="X727" s="20"/>
      <c r="Y727" s="20"/>
      <c r="Z727" s="20"/>
    </row>
    <row r="728" ht="13.5" customHeight="1" spans="1:26">
      <c r="A728" s="20"/>
      <c r="B728" s="20"/>
      <c r="C728" s="20"/>
      <c r="D728" s="20"/>
      <c r="E728" s="20"/>
      <c r="F728" s="20"/>
      <c r="G728" s="20"/>
      <c r="H728" s="20"/>
      <c r="I728" s="20"/>
      <c r="J728" s="20"/>
      <c r="K728" s="20"/>
      <c r="L728" s="20"/>
      <c r="M728" s="20"/>
      <c r="N728" s="20"/>
      <c r="O728" s="20"/>
      <c r="P728" s="20"/>
      <c r="Q728" s="20"/>
      <c r="R728" s="20"/>
      <c r="S728" s="20"/>
      <c r="T728" s="20"/>
      <c r="U728" s="20"/>
      <c r="V728" s="20"/>
      <c r="W728" s="20"/>
      <c r="X728" s="20"/>
      <c r="Y728" s="20"/>
      <c r="Z728" s="20"/>
    </row>
    <row r="729" ht="13.5" customHeight="1" spans="1:26">
      <c r="A729" s="20"/>
      <c r="B729" s="20"/>
      <c r="C729" s="20"/>
      <c r="D729" s="20"/>
      <c r="E729" s="20"/>
      <c r="F729" s="20"/>
      <c r="G729" s="20"/>
      <c r="H729" s="20"/>
      <c r="I729" s="20"/>
      <c r="J729" s="20"/>
      <c r="K729" s="20"/>
      <c r="L729" s="20"/>
      <c r="M729" s="20"/>
      <c r="N729" s="20"/>
      <c r="O729" s="20"/>
      <c r="P729" s="20"/>
      <c r="Q729" s="20"/>
      <c r="R729" s="20"/>
      <c r="S729" s="20"/>
      <c r="T729" s="20"/>
      <c r="U729" s="20"/>
      <c r="V729" s="20"/>
      <c r="W729" s="20"/>
      <c r="X729" s="20"/>
      <c r="Y729" s="20"/>
      <c r="Z729" s="20"/>
    </row>
    <row r="730" ht="13.5" customHeight="1" spans="1:26">
      <c r="A730" s="20"/>
      <c r="B730" s="20"/>
      <c r="C730" s="20"/>
      <c r="D730" s="20"/>
      <c r="E730" s="20"/>
      <c r="F730" s="20"/>
      <c r="G730" s="20"/>
      <c r="H730" s="20"/>
      <c r="I730" s="20"/>
      <c r="J730" s="20"/>
      <c r="K730" s="20"/>
      <c r="L730" s="20"/>
      <c r="M730" s="20"/>
      <c r="N730" s="20"/>
      <c r="O730" s="20"/>
      <c r="P730" s="20"/>
      <c r="Q730" s="20"/>
      <c r="R730" s="20"/>
      <c r="S730" s="20"/>
      <c r="T730" s="20"/>
      <c r="U730" s="20"/>
      <c r="V730" s="20"/>
      <c r="W730" s="20"/>
      <c r="X730" s="20"/>
      <c r="Y730" s="20"/>
      <c r="Z730" s="20"/>
    </row>
    <row r="731" ht="13.5" customHeight="1" spans="1:26">
      <c r="A731" s="20"/>
      <c r="B731" s="20"/>
      <c r="C731" s="20"/>
      <c r="D731" s="20"/>
      <c r="E731" s="20"/>
      <c r="F731" s="20"/>
      <c r="G731" s="20"/>
      <c r="H731" s="20"/>
      <c r="I731" s="20"/>
      <c r="J731" s="20"/>
      <c r="K731" s="20"/>
      <c r="L731" s="20"/>
      <c r="M731" s="20"/>
      <c r="N731" s="20"/>
      <c r="O731" s="20"/>
      <c r="P731" s="20"/>
      <c r="Q731" s="20"/>
      <c r="R731" s="20"/>
      <c r="S731" s="20"/>
      <c r="T731" s="20"/>
      <c r="U731" s="20"/>
      <c r="V731" s="20"/>
      <c r="W731" s="20"/>
      <c r="X731" s="20"/>
      <c r="Y731" s="20"/>
      <c r="Z731" s="20"/>
    </row>
    <row r="732" ht="13.5" customHeight="1" spans="1:26">
      <c r="A732" s="20"/>
      <c r="B732" s="20"/>
      <c r="C732" s="20"/>
      <c r="D732" s="20"/>
      <c r="E732" s="20"/>
      <c r="F732" s="20"/>
      <c r="G732" s="20"/>
      <c r="H732" s="20"/>
      <c r="I732" s="20"/>
      <c r="J732" s="20"/>
      <c r="K732" s="20"/>
      <c r="L732" s="20"/>
      <c r="M732" s="20"/>
      <c r="N732" s="20"/>
      <c r="O732" s="20"/>
      <c r="P732" s="20"/>
      <c r="Q732" s="20"/>
      <c r="R732" s="20"/>
      <c r="S732" s="20"/>
      <c r="T732" s="20"/>
      <c r="U732" s="20"/>
      <c r="V732" s="20"/>
      <c r="W732" s="20"/>
      <c r="X732" s="20"/>
      <c r="Y732" s="20"/>
      <c r="Z732" s="20"/>
    </row>
    <row r="733" ht="13.5" customHeight="1" spans="1:26">
      <c r="A733" s="20"/>
      <c r="B733" s="20"/>
      <c r="C733" s="20"/>
      <c r="D733" s="20"/>
      <c r="E733" s="20"/>
      <c r="F733" s="20"/>
      <c r="G733" s="20"/>
      <c r="H733" s="20"/>
      <c r="I733" s="20"/>
      <c r="J733" s="20"/>
      <c r="K733" s="20"/>
      <c r="L733" s="20"/>
      <c r="M733" s="20"/>
      <c r="N733" s="20"/>
      <c r="O733" s="20"/>
      <c r="P733" s="20"/>
      <c r="Q733" s="20"/>
      <c r="R733" s="20"/>
      <c r="S733" s="20"/>
      <c r="T733" s="20"/>
      <c r="U733" s="20"/>
      <c r="V733" s="20"/>
      <c r="W733" s="20"/>
      <c r="X733" s="20"/>
      <c r="Y733" s="20"/>
      <c r="Z733" s="20"/>
    </row>
    <row r="734" ht="13.5" customHeight="1" spans="1:26">
      <c r="A734" s="20"/>
      <c r="B734" s="20"/>
      <c r="C734" s="20"/>
      <c r="D734" s="20"/>
      <c r="E734" s="20"/>
      <c r="F734" s="20"/>
      <c r="G734" s="20"/>
      <c r="H734" s="20"/>
      <c r="I734" s="20"/>
      <c r="J734" s="20"/>
      <c r="K734" s="20"/>
      <c r="L734" s="20"/>
      <c r="M734" s="20"/>
      <c r="N734" s="20"/>
      <c r="O734" s="20"/>
      <c r="P734" s="20"/>
      <c r="Q734" s="20"/>
      <c r="R734" s="20"/>
      <c r="S734" s="20"/>
      <c r="T734" s="20"/>
      <c r="U734" s="20"/>
      <c r="V734" s="20"/>
      <c r="W734" s="20"/>
      <c r="X734" s="20"/>
      <c r="Y734" s="20"/>
      <c r="Z734" s="20"/>
    </row>
    <row r="735" ht="13.5" customHeight="1" spans="1:26">
      <c r="A735" s="20"/>
      <c r="B735" s="20"/>
      <c r="C735" s="20"/>
      <c r="D735" s="20"/>
      <c r="E735" s="20"/>
      <c r="F735" s="20"/>
      <c r="G735" s="20"/>
      <c r="H735" s="20"/>
      <c r="I735" s="20"/>
      <c r="J735" s="20"/>
      <c r="K735" s="20"/>
      <c r="L735" s="20"/>
      <c r="M735" s="20"/>
      <c r="N735" s="20"/>
      <c r="O735" s="20"/>
      <c r="P735" s="20"/>
      <c r="Q735" s="20"/>
      <c r="R735" s="20"/>
      <c r="S735" s="20"/>
      <c r="T735" s="20"/>
      <c r="U735" s="20"/>
      <c r="V735" s="20"/>
      <c r="W735" s="20"/>
      <c r="X735" s="20"/>
      <c r="Y735" s="20"/>
      <c r="Z735" s="20"/>
    </row>
    <row r="736" ht="13.5" customHeight="1" spans="1:26">
      <c r="A736" s="20"/>
      <c r="B736" s="20"/>
      <c r="C736" s="20"/>
      <c r="D736" s="20"/>
      <c r="E736" s="20"/>
      <c r="F736" s="20"/>
      <c r="G736" s="20"/>
      <c r="H736" s="20"/>
      <c r="I736" s="20"/>
      <c r="J736" s="20"/>
      <c r="K736" s="20"/>
      <c r="L736" s="20"/>
      <c r="M736" s="20"/>
      <c r="N736" s="20"/>
      <c r="O736" s="20"/>
      <c r="P736" s="20"/>
      <c r="Q736" s="20"/>
      <c r="R736" s="20"/>
      <c r="S736" s="20"/>
      <c r="T736" s="20"/>
      <c r="U736" s="20"/>
      <c r="V736" s="20"/>
      <c r="W736" s="20"/>
      <c r="X736" s="20"/>
      <c r="Y736" s="20"/>
      <c r="Z736" s="20"/>
    </row>
    <row r="737" ht="13.5" customHeight="1" spans="1:26">
      <c r="A737" s="20"/>
      <c r="B737" s="20"/>
      <c r="C737" s="20"/>
      <c r="D737" s="20"/>
      <c r="E737" s="20"/>
      <c r="F737" s="20"/>
      <c r="G737" s="20"/>
      <c r="H737" s="20"/>
      <c r="I737" s="20"/>
      <c r="J737" s="20"/>
      <c r="K737" s="20"/>
      <c r="L737" s="20"/>
      <c r="M737" s="20"/>
      <c r="N737" s="20"/>
      <c r="O737" s="20"/>
      <c r="P737" s="20"/>
      <c r="Q737" s="20"/>
      <c r="R737" s="20"/>
      <c r="S737" s="20"/>
      <c r="T737" s="20"/>
      <c r="U737" s="20"/>
      <c r="V737" s="20"/>
      <c r="W737" s="20"/>
      <c r="X737" s="20"/>
      <c r="Y737" s="20"/>
      <c r="Z737" s="20"/>
    </row>
    <row r="738" ht="13.5" customHeight="1" spans="1:26">
      <c r="A738" s="20"/>
      <c r="B738" s="20"/>
      <c r="C738" s="20"/>
      <c r="D738" s="20"/>
      <c r="E738" s="20"/>
      <c r="F738" s="20"/>
      <c r="G738" s="20"/>
      <c r="H738" s="20"/>
      <c r="I738" s="20"/>
      <c r="J738" s="20"/>
      <c r="K738" s="20"/>
      <c r="L738" s="20"/>
      <c r="M738" s="20"/>
      <c r="N738" s="20"/>
      <c r="O738" s="20"/>
      <c r="P738" s="20"/>
      <c r="Q738" s="20"/>
      <c r="R738" s="20"/>
      <c r="S738" s="20"/>
      <c r="T738" s="20"/>
      <c r="U738" s="20"/>
      <c r="V738" s="20"/>
      <c r="W738" s="20"/>
      <c r="X738" s="20"/>
      <c r="Y738" s="20"/>
      <c r="Z738" s="20"/>
    </row>
    <row r="739" ht="13.5" customHeight="1" spans="1:26">
      <c r="A739" s="20"/>
      <c r="B739" s="20"/>
      <c r="C739" s="20"/>
      <c r="D739" s="20"/>
      <c r="E739" s="20"/>
      <c r="F739" s="20"/>
      <c r="G739" s="20"/>
      <c r="H739" s="20"/>
      <c r="I739" s="20"/>
      <c r="J739" s="20"/>
      <c r="K739" s="20"/>
      <c r="L739" s="20"/>
      <c r="M739" s="20"/>
      <c r="N739" s="20"/>
      <c r="O739" s="20"/>
      <c r="P739" s="20"/>
      <c r="Q739" s="20"/>
      <c r="R739" s="20"/>
      <c r="S739" s="20"/>
      <c r="T739" s="20"/>
      <c r="U739" s="20"/>
      <c r="V739" s="20"/>
      <c r="W739" s="20"/>
      <c r="X739" s="20"/>
      <c r="Y739" s="20"/>
      <c r="Z739" s="20"/>
    </row>
    <row r="740" ht="13.5" customHeight="1" spans="1:26">
      <c r="A740" s="20"/>
      <c r="B740" s="20"/>
      <c r="C740" s="20"/>
      <c r="D740" s="20"/>
      <c r="E740" s="20"/>
      <c r="F740" s="20"/>
      <c r="G740" s="20"/>
      <c r="H740" s="20"/>
      <c r="I740" s="20"/>
      <c r="J740" s="20"/>
      <c r="K740" s="20"/>
      <c r="L740" s="20"/>
      <c r="M740" s="20"/>
      <c r="N740" s="20"/>
      <c r="O740" s="20"/>
      <c r="P740" s="20"/>
      <c r="Q740" s="20"/>
      <c r="R740" s="20"/>
      <c r="S740" s="20"/>
      <c r="T740" s="20"/>
      <c r="U740" s="20"/>
      <c r="V740" s="20"/>
      <c r="W740" s="20"/>
      <c r="X740" s="20"/>
      <c r="Y740" s="20"/>
      <c r="Z740" s="20"/>
    </row>
    <row r="741" ht="13.5" customHeight="1" spans="1:26">
      <c r="A741" s="20"/>
      <c r="B741" s="20"/>
      <c r="C741" s="20"/>
      <c r="D741" s="20"/>
      <c r="E741" s="20"/>
      <c r="F741" s="20"/>
      <c r="G741" s="20"/>
      <c r="H741" s="20"/>
      <c r="I741" s="20"/>
      <c r="J741" s="20"/>
      <c r="K741" s="20"/>
      <c r="L741" s="20"/>
      <c r="M741" s="20"/>
      <c r="N741" s="20"/>
      <c r="O741" s="20"/>
      <c r="P741" s="20"/>
      <c r="Q741" s="20"/>
      <c r="R741" s="20"/>
      <c r="S741" s="20"/>
      <c r="T741" s="20"/>
      <c r="U741" s="20"/>
      <c r="V741" s="20"/>
      <c r="W741" s="20"/>
      <c r="X741" s="20"/>
      <c r="Y741" s="20"/>
      <c r="Z741" s="20"/>
    </row>
    <row r="742" ht="13.5" customHeight="1" spans="1:26">
      <c r="A742" s="20"/>
      <c r="B742" s="20"/>
      <c r="C742" s="20"/>
      <c r="D742" s="20"/>
      <c r="E742" s="20"/>
      <c r="F742" s="20"/>
      <c r="G742" s="20"/>
      <c r="H742" s="20"/>
      <c r="I742" s="20"/>
      <c r="J742" s="20"/>
      <c r="K742" s="20"/>
      <c r="L742" s="20"/>
      <c r="M742" s="20"/>
      <c r="N742" s="20"/>
      <c r="O742" s="20"/>
      <c r="P742" s="20"/>
      <c r="Q742" s="20"/>
      <c r="R742" s="20"/>
      <c r="S742" s="20"/>
      <c r="T742" s="20"/>
      <c r="U742" s="20"/>
      <c r="V742" s="20"/>
      <c r="W742" s="20"/>
      <c r="X742" s="20"/>
      <c r="Y742" s="20"/>
      <c r="Z742" s="20"/>
    </row>
    <row r="743" ht="13.5" customHeight="1" spans="1:26">
      <c r="A743" s="20"/>
      <c r="B743" s="20"/>
      <c r="C743" s="20"/>
      <c r="D743" s="20"/>
      <c r="E743" s="20"/>
      <c r="F743" s="20"/>
      <c r="G743" s="20"/>
      <c r="H743" s="20"/>
      <c r="I743" s="20"/>
      <c r="J743" s="20"/>
      <c r="K743" s="20"/>
      <c r="L743" s="20"/>
      <c r="M743" s="20"/>
      <c r="N743" s="20"/>
      <c r="O743" s="20"/>
      <c r="P743" s="20"/>
      <c r="Q743" s="20"/>
      <c r="R743" s="20"/>
      <c r="S743" s="20"/>
      <c r="T743" s="20"/>
      <c r="U743" s="20"/>
      <c r="V743" s="20"/>
      <c r="W743" s="20"/>
      <c r="X743" s="20"/>
      <c r="Y743" s="20"/>
      <c r="Z743" s="20"/>
    </row>
    <row r="744" ht="13.5" customHeight="1" spans="1:26">
      <c r="A744" s="20"/>
      <c r="B744" s="20"/>
      <c r="C744" s="20"/>
      <c r="D744" s="20"/>
      <c r="E744" s="20"/>
      <c r="F744" s="20"/>
      <c r="G744" s="20"/>
      <c r="H744" s="20"/>
      <c r="I744" s="20"/>
      <c r="J744" s="20"/>
      <c r="K744" s="20"/>
      <c r="L744" s="20"/>
      <c r="M744" s="20"/>
      <c r="N744" s="20"/>
      <c r="O744" s="20"/>
      <c r="P744" s="20"/>
      <c r="Q744" s="20"/>
      <c r="R744" s="20"/>
      <c r="S744" s="20"/>
      <c r="T744" s="20"/>
      <c r="U744" s="20"/>
      <c r="V744" s="20"/>
      <c r="W744" s="20"/>
      <c r="X744" s="20"/>
      <c r="Y744" s="20"/>
      <c r="Z744" s="20"/>
    </row>
    <row r="745" ht="13.5" customHeight="1" spans="1:26">
      <c r="A745" s="20"/>
      <c r="B745" s="20"/>
      <c r="C745" s="20"/>
      <c r="D745" s="20"/>
      <c r="E745" s="20"/>
      <c r="F745" s="20"/>
      <c r="G745" s="20"/>
      <c r="H745" s="20"/>
      <c r="I745" s="20"/>
      <c r="J745" s="20"/>
      <c r="K745" s="20"/>
      <c r="L745" s="20"/>
      <c r="M745" s="20"/>
      <c r="N745" s="20"/>
      <c r="O745" s="20"/>
      <c r="P745" s="20"/>
      <c r="Q745" s="20"/>
      <c r="R745" s="20"/>
      <c r="S745" s="20"/>
      <c r="T745" s="20"/>
      <c r="U745" s="20"/>
      <c r="V745" s="20"/>
      <c r="W745" s="20"/>
      <c r="X745" s="20"/>
      <c r="Y745" s="20"/>
      <c r="Z745" s="20"/>
    </row>
    <row r="746" ht="13.5" customHeight="1" spans="1:26">
      <c r="A746" s="20"/>
      <c r="B746" s="20"/>
      <c r="C746" s="20"/>
      <c r="D746" s="20"/>
      <c r="E746" s="20"/>
      <c r="F746" s="20"/>
      <c r="G746" s="20"/>
      <c r="H746" s="20"/>
      <c r="I746" s="20"/>
      <c r="J746" s="20"/>
      <c r="K746" s="20"/>
      <c r="L746" s="20"/>
      <c r="M746" s="20"/>
      <c r="N746" s="20"/>
      <c r="O746" s="20"/>
      <c r="P746" s="20"/>
      <c r="Q746" s="20"/>
      <c r="R746" s="20"/>
      <c r="S746" s="20"/>
      <c r="T746" s="20"/>
      <c r="U746" s="20"/>
      <c r="V746" s="20"/>
      <c r="W746" s="20"/>
      <c r="X746" s="20"/>
      <c r="Y746" s="20"/>
      <c r="Z746" s="20"/>
    </row>
    <row r="747" ht="13.5" customHeight="1" spans="1:26">
      <c r="A747" s="20"/>
      <c r="B747" s="20"/>
      <c r="C747" s="20"/>
      <c r="D747" s="20"/>
      <c r="E747" s="20"/>
      <c r="F747" s="20"/>
      <c r="G747" s="20"/>
      <c r="H747" s="20"/>
      <c r="I747" s="20"/>
      <c r="J747" s="20"/>
      <c r="K747" s="20"/>
      <c r="L747" s="20"/>
      <c r="M747" s="20"/>
      <c r="N747" s="20"/>
      <c r="O747" s="20"/>
      <c r="P747" s="20"/>
      <c r="Q747" s="20"/>
      <c r="R747" s="20"/>
      <c r="S747" s="20"/>
      <c r="T747" s="20"/>
      <c r="U747" s="20"/>
      <c r="V747" s="20"/>
      <c r="W747" s="20"/>
      <c r="X747" s="20"/>
      <c r="Y747" s="20"/>
      <c r="Z747" s="20"/>
    </row>
    <row r="748" ht="13.5" customHeight="1" spans="1:26">
      <c r="A748" s="20"/>
      <c r="B748" s="20"/>
      <c r="C748" s="20"/>
      <c r="D748" s="20"/>
      <c r="E748" s="20"/>
      <c r="F748" s="20"/>
      <c r="G748" s="20"/>
      <c r="H748" s="20"/>
      <c r="I748" s="20"/>
      <c r="J748" s="20"/>
      <c r="K748" s="20"/>
      <c r="L748" s="20"/>
      <c r="M748" s="20"/>
      <c r="N748" s="20"/>
      <c r="O748" s="20"/>
      <c r="P748" s="20"/>
      <c r="Q748" s="20"/>
      <c r="R748" s="20"/>
      <c r="S748" s="20"/>
      <c r="T748" s="20"/>
      <c r="U748" s="20"/>
      <c r="V748" s="20"/>
      <c r="W748" s="20"/>
      <c r="X748" s="20"/>
      <c r="Y748" s="20"/>
      <c r="Z748" s="20"/>
    </row>
    <row r="749" ht="13.5" customHeight="1" spans="1:26">
      <c r="A749" s="20"/>
      <c r="B749" s="20"/>
      <c r="C749" s="20"/>
      <c r="D749" s="20"/>
      <c r="E749" s="20"/>
      <c r="F749" s="20"/>
      <c r="G749" s="20"/>
      <c r="H749" s="20"/>
      <c r="I749" s="20"/>
      <c r="J749" s="20"/>
      <c r="K749" s="20"/>
      <c r="L749" s="20"/>
      <c r="M749" s="20"/>
      <c r="N749" s="20"/>
      <c r="O749" s="20"/>
      <c r="P749" s="20"/>
      <c r="Q749" s="20"/>
      <c r="R749" s="20"/>
      <c r="S749" s="20"/>
      <c r="T749" s="20"/>
      <c r="U749" s="20"/>
      <c r="V749" s="20"/>
      <c r="W749" s="20"/>
      <c r="X749" s="20"/>
      <c r="Y749" s="20"/>
      <c r="Z749" s="20"/>
    </row>
    <row r="750" ht="13.5" customHeight="1" spans="1:26">
      <c r="A750" s="20"/>
      <c r="B750" s="20"/>
      <c r="C750" s="20"/>
      <c r="D750" s="20"/>
      <c r="E750" s="20"/>
      <c r="F750" s="20"/>
      <c r="G750" s="20"/>
      <c r="H750" s="20"/>
      <c r="I750" s="20"/>
      <c r="J750" s="20"/>
      <c r="K750" s="20"/>
      <c r="L750" s="20"/>
      <c r="M750" s="20"/>
      <c r="N750" s="20"/>
      <c r="O750" s="20"/>
      <c r="P750" s="20"/>
      <c r="Q750" s="20"/>
      <c r="R750" s="20"/>
      <c r="S750" s="20"/>
      <c r="T750" s="20"/>
      <c r="U750" s="20"/>
      <c r="V750" s="20"/>
      <c r="W750" s="20"/>
      <c r="X750" s="20"/>
      <c r="Y750" s="20"/>
      <c r="Z750" s="20"/>
    </row>
    <row r="751" ht="13.5" customHeight="1" spans="1:26">
      <c r="A751" s="20"/>
      <c r="B751" s="20"/>
      <c r="C751" s="20"/>
      <c r="D751" s="20"/>
      <c r="E751" s="20"/>
      <c r="F751" s="20"/>
      <c r="G751" s="20"/>
      <c r="H751" s="20"/>
      <c r="I751" s="20"/>
      <c r="J751" s="20"/>
      <c r="K751" s="20"/>
      <c r="L751" s="20"/>
      <c r="M751" s="20"/>
      <c r="N751" s="20"/>
      <c r="O751" s="20"/>
      <c r="P751" s="20"/>
      <c r="Q751" s="20"/>
      <c r="R751" s="20"/>
      <c r="S751" s="20"/>
      <c r="T751" s="20"/>
      <c r="U751" s="20"/>
      <c r="V751" s="20"/>
      <c r="W751" s="20"/>
      <c r="X751" s="20"/>
      <c r="Y751" s="20"/>
      <c r="Z751" s="20"/>
    </row>
    <row r="752" ht="13.5" customHeight="1" spans="1:26">
      <c r="A752" s="20"/>
      <c r="B752" s="20"/>
      <c r="C752" s="20"/>
      <c r="D752" s="20"/>
      <c r="E752" s="20"/>
      <c r="F752" s="20"/>
      <c r="G752" s="20"/>
      <c r="H752" s="20"/>
      <c r="I752" s="20"/>
      <c r="J752" s="20"/>
      <c r="K752" s="20"/>
      <c r="L752" s="20"/>
      <c r="M752" s="20"/>
      <c r="N752" s="20"/>
      <c r="O752" s="20"/>
      <c r="P752" s="20"/>
      <c r="Q752" s="20"/>
      <c r="R752" s="20"/>
      <c r="S752" s="20"/>
      <c r="T752" s="20"/>
      <c r="U752" s="20"/>
      <c r="V752" s="20"/>
      <c r="W752" s="20"/>
      <c r="X752" s="20"/>
      <c r="Y752" s="20"/>
      <c r="Z752" s="20"/>
    </row>
    <row r="753" ht="13.5" customHeight="1" spans="1:26">
      <c r="A753" s="20"/>
      <c r="B753" s="20"/>
      <c r="C753" s="20"/>
      <c r="D753" s="20"/>
      <c r="E753" s="20"/>
      <c r="F753" s="20"/>
      <c r="G753" s="20"/>
      <c r="H753" s="20"/>
      <c r="I753" s="20"/>
      <c r="J753" s="20"/>
      <c r="K753" s="20"/>
      <c r="L753" s="20"/>
      <c r="M753" s="20"/>
      <c r="N753" s="20"/>
      <c r="O753" s="20"/>
      <c r="P753" s="20"/>
      <c r="Q753" s="20"/>
      <c r="R753" s="20"/>
      <c r="S753" s="20"/>
      <c r="T753" s="20"/>
      <c r="U753" s="20"/>
      <c r="V753" s="20"/>
      <c r="W753" s="20"/>
      <c r="X753" s="20"/>
      <c r="Y753" s="20"/>
      <c r="Z753" s="20"/>
    </row>
    <row r="754" ht="13.5" customHeight="1" spans="1:26">
      <c r="A754" s="20"/>
      <c r="B754" s="20"/>
      <c r="C754" s="20"/>
      <c r="D754" s="20"/>
      <c r="E754" s="20"/>
      <c r="F754" s="20"/>
      <c r="G754" s="20"/>
      <c r="H754" s="20"/>
      <c r="I754" s="20"/>
      <c r="J754" s="20"/>
      <c r="K754" s="20"/>
      <c r="L754" s="20"/>
      <c r="M754" s="20"/>
      <c r="N754" s="20"/>
      <c r="O754" s="20"/>
      <c r="P754" s="20"/>
      <c r="Q754" s="20"/>
      <c r="R754" s="20"/>
      <c r="S754" s="20"/>
      <c r="T754" s="20"/>
      <c r="U754" s="20"/>
      <c r="V754" s="20"/>
      <c r="W754" s="20"/>
      <c r="X754" s="20"/>
      <c r="Y754" s="20"/>
      <c r="Z754" s="20"/>
    </row>
    <row r="755" ht="13.5" customHeight="1" spans="1:26">
      <c r="A755" s="20"/>
      <c r="B755" s="20"/>
      <c r="C755" s="20"/>
      <c r="D755" s="20"/>
      <c r="E755" s="20"/>
      <c r="F755" s="20"/>
      <c r="G755" s="20"/>
      <c r="H755" s="20"/>
      <c r="I755" s="20"/>
      <c r="J755" s="20"/>
      <c r="K755" s="20"/>
      <c r="L755" s="20"/>
      <c r="M755" s="20"/>
      <c r="N755" s="20"/>
      <c r="O755" s="20"/>
      <c r="P755" s="20"/>
      <c r="Q755" s="20"/>
      <c r="R755" s="20"/>
      <c r="S755" s="20"/>
      <c r="T755" s="20"/>
      <c r="U755" s="20"/>
      <c r="V755" s="20"/>
      <c r="W755" s="20"/>
      <c r="X755" s="20"/>
      <c r="Y755" s="20"/>
      <c r="Z755" s="20"/>
    </row>
    <row r="756" ht="13.5" customHeight="1" spans="1:26">
      <c r="A756" s="20"/>
      <c r="B756" s="20"/>
      <c r="C756" s="20"/>
      <c r="D756" s="20"/>
      <c r="E756" s="20"/>
      <c r="F756" s="20"/>
      <c r="G756" s="20"/>
      <c r="H756" s="20"/>
      <c r="I756" s="20"/>
      <c r="J756" s="20"/>
      <c r="K756" s="20"/>
      <c r="L756" s="20"/>
      <c r="M756" s="20"/>
      <c r="N756" s="20"/>
      <c r="O756" s="20"/>
      <c r="P756" s="20"/>
      <c r="Q756" s="20"/>
      <c r="R756" s="20"/>
      <c r="S756" s="20"/>
      <c r="T756" s="20"/>
      <c r="U756" s="20"/>
      <c r="V756" s="20"/>
      <c r="W756" s="20"/>
      <c r="X756" s="20"/>
      <c r="Y756" s="20"/>
      <c r="Z756" s="20"/>
    </row>
    <row r="757" ht="13.5" customHeight="1" spans="1:26">
      <c r="A757" s="20"/>
      <c r="B757" s="20"/>
      <c r="C757" s="20"/>
      <c r="D757" s="20"/>
      <c r="E757" s="20"/>
      <c r="F757" s="20"/>
      <c r="G757" s="20"/>
      <c r="H757" s="20"/>
      <c r="I757" s="20"/>
      <c r="J757" s="20"/>
      <c r="K757" s="20"/>
      <c r="L757" s="20"/>
      <c r="M757" s="20"/>
      <c r="N757" s="20"/>
      <c r="O757" s="20"/>
      <c r="P757" s="20"/>
      <c r="Q757" s="20"/>
      <c r="R757" s="20"/>
      <c r="S757" s="20"/>
      <c r="T757" s="20"/>
      <c r="U757" s="20"/>
      <c r="V757" s="20"/>
      <c r="W757" s="20"/>
      <c r="X757" s="20"/>
      <c r="Y757" s="20"/>
      <c r="Z757" s="20"/>
    </row>
    <row r="758" ht="13.5" customHeight="1" spans="1:26">
      <c r="A758" s="20"/>
      <c r="B758" s="20"/>
      <c r="C758" s="20"/>
      <c r="D758" s="20"/>
      <c r="E758" s="20"/>
      <c r="F758" s="20"/>
      <c r="G758" s="20"/>
      <c r="H758" s="20"/>
      <c r="I758" s="20"/>
      <c r="J758" s="20"/>
      <c r="K758" s="20"/>
      <c r="L758" s="20"/>
      <c r="M758" s="20"/>
      <c r="N758" s="20"/>
      <c r="O758" s="20"/>
      <c r="P758" s="20"/>
      <c r="Q758" s="20"/>
      <c r="R758" s="20"/>
      <c r="S758" s="20"/>
      <c r="T758" s="20"/>
      <c r="U758" s="20"/>
      <c r="V758" s="20"/>
      <c r="W758" s="20"/>
      <c r="X758" s="20"/>
      <c r="Y758" s="20"/>
      <c r="Z758" s="20"/>
    </row>
    <row r="759" ht="13.5" customHeight="1" spans="1:26">
      <c r="A759" s="20"/>
      <c r="B759" s="20"/>
      <c r="C759" s="20"/>
      <c r="D759" s="20"/>
      <c r="E759" s="20"/>
      <c r="F759" s="20"/>
      <c r="G759" s="20"/>
      <c r="H759" s="20"/>
      <c r="I759" s="20"/>
      <c r="J759" s="20"/>
      <c r="K759" s="20"/>
      <c r="L759" s="20"/>
      <c r="M759" s="20"/>
      <c r="N759" s="20"/>
      <c r="O759" s="20"/>
      <c r="P759" s="20"/>
      <c r="Q759" s="20"/>
      <c r="R759" s="20"/>
      <c r="S759" s="20"/>
      <c r="T759" s="20"/>
      <c r="U759" s="20"/>
      <c r="V759" s="20"/>
      <c r="W759" s="20"/>
      <c r="X759" s="20"/>
      <c r="Y759" s="20"/>
      <c r="Z759" s="20"/>
    </row>
    <row r="760" ht="13.5" customHeight="1" spans="1:26">
      <c r="A760" s="20"/>
      <c r="B760" s="20"/>
      <c r="C760" s="20"/>
      <c r="D760" s="20"/>
      <c r="E760" s="20"/>
      <c r="F760" s="20"/>
      <c r="G760" s="20"/>
      <c r="H760" s="20"/>
      <c r="I760" s="20"/>
      <c r="J760" s="20"/>
      <c r="K760" s="20"/>
      <c r="L760" s="20"/>
      <c r="M760" s="20"/>
      <c r="N760" s="20"/>
      <c r="O760" s="20"/>
      <c r="P760" s="20"/>
      <c r="Q760" s="20"/>
      <c r="R760" s="20"/>
      <c r="S760" s="20"/>
      <c r="T760" s="20"/>
      <c r="U760" s="20"/>
      <c r="V760" s="20"/>
      <c r="W760" s="20"/>
      <c r="X760" s="20"/>
      <c r="Y760" s="20"/>
      <c r="Z760" s="20"/>
    </row>
    <row r="761" ht="13.5" customHeight="1" spans="1:26">
      <c r="A761" s="20"/>
      <c r="B761" s="20"/>
      <c r="C761" s="20"/>
      <c r="D761" s="20"/>
      <c r="E761" s="20"/>
      <c r="F761" s="20"/>
      <c r="G761" s="20"/>
      <c r="H761" s="20"/>
      <c r="I761" s="20"/>
      <c r="J761" s="20"/>
      <c r="K761" s="20"/>
      <c r="L761" s="20"/>
      <c r="M761" s="20"/>
      <c r="N761" s="20"/>
      <c r="O761" s="20"/>
      <c r="P761" s="20"/>
      <c r="Q761" s="20"/>
      <c r="R761" s="20"/>
      <c r="S761" s="20"/>
      <c r="T761" s="20"/>
      <c r="U761" s="20"/>
      <c r="V761" s="20"/>
      <c r="W761" s="20"/>
      <c r="X761" s="20"/>
      <c r="Y761" s="20"/>
      <c r="Z761" s="20"/>
    </row>
    <row r="762" ht="13.5" customHeight="1" spans="1:26">
      <c r="A762" s="20"/>
      <c r="B762" s="20"/>
      <c r="C762" s="20"/>
      <c r="D762" s="20"/>
      <c r="E762" s="20"/>
      <c r="F762" s="20"/>
      <c r="G762" s="20"/>
      <c r="H762" s="20"/>
      <c r="I762" s="20"/>
      <c r="J762" s="20"/>
      <c r="K762" s="20"/>
      <c r="L762" s="20"/>
      <c r="M762" s="20"/>
      <c r="N762" s="20"/>
      <c r="O762" s="20"/>
      <c r="P762" s="20"/>
      <c r="Q762" s="20"/>
      <c r="R762" s="20"/>
      <c r="S762" s="20"/>
      <c r="T762" s="20"/>
      <c r="U762" s="20"/>
      <c r="V762" s="20"/>
      <c r="W762" s="20"/>
      <c r="X762" s="20"/>
      <c r="Y762" s="20"/>
      <c r="Z762" s="20"/>
    </row>
    <row r="763" ht="13.5" customHeight="1" spans="1:26">
      <c r="A763" s="20"/>
      <c r="B763" s="20"/>
      <c r="C763" s="20"/>
      <c r="D763" s="20"/>
      <c r="E763" s="20"/>
      <c r="F763" s="20"/>
      <c r="G763" s="20"/>
      <c r="H763" s="20"/>
      <c r="I763" s="20"/>
      <c r="J763" s="20"/>
      <c r="K763" s="20"/>
      <c r="L763" s="20"/>
      <c r="M763" s="20"/>
      <c r="N763" s="20"/>
      <c r="O763" s="20"/>
      <c r="P763" s="20"/>
      <c r="Q763" s="20"/>
      <c r="R763" s="20"/>
      <c r="S763" s="20"/>
      <c r="T763" s="20"/>
      <c r="U763" s="20"/>
      <c r="V763" s="20"/>
      <c r="W763" s="20"/>
      <c r="X763" s="20"/>
      <c r="Y763" s="20"/>
      <c r="Z763" s="20"/>
    </row>
    <row r="764" ht="13.5" customHeight="1" spans="1:26">
      <c r="A764" s="20"/>
      <c r="B764" s="20"/>
      <c r="C764" s="20"/>
      <c r="D764" s="20"/>
      <c r="E764" s="20"/>
      <c r="F764" s="20"/>
      <c r="G764" s="20"/>
      <c r="H764" s="20"/>
      <c r="I764" s="20"/>
      <c r="J764" s="20"/>
      <c r="K764" s="20"/>
      <c r="L764" s="20"/>
      <c r="M764" s="20"/>
      <c r="N764" s="20"/>
      <c r="O764" s="20"/>
      <c r="P764" s="20"/>
      <c r="Q764" s="20"/>
      <c r="R764" s="20"/>
      <c r="S764" s="20"/>
      <c r="T764" s="20"/>
      <c r="U764" s="20"/>
      <c r="V764" s="20"/>
      <c r="W764" s="20"/>
      <c r="X764" s="20"/>
      <c r="Y764" s="20"/>
      <c r="Z764" s="20"/>
    </row>
    <row r="765" ht="13.5" customHeight="1" spans="1:26">
      <c r="A765" s="20"/>
      <c r="B765" s="20"/>
      <c r="C765" s="20"/>
      <c r="D765" s="20"/>
      <c r="E765" s="20"/>
      <c r="F765" s="20"/>
      <c r="G765" s="20"/>
      <c r="H765" s="20"/>
      <c r="I765" s="20"/>
      <c r="J765" s="20"/>
      <c r="K765" s="20"/>
      <c r="L765" s="20"/>
      <c r="M765" s="20"/>
      <c r="N765" s="20"/>
      <c r="O765" s="20"/>
      <c r="P765" s="20"/>
      <c r="Q765" s="20"/>
      <c r="R765" s="20"/>
      <c r="S765" s="20"/>
      <c r="T765" s="20"/>
      <c r="U765" s="20"/>
      <c r="V765" s="20"/>
      <c r="W765" s="20"/>
      <c r="X765" s="20"/>
      <c r="Y765" s="20"/>
      <c r="Z765" s="20"/>
    </row>
    <row r="766" ht="13.5" customHeight="1" spans="1:26">
      <c r="A766" s="20"/>
      <c r="B766" s="20"/>
      <c r="C766" s="20"/>
      <c r="D766" s="20"/>
      <c r="E766" s="20"/>
      <c r="F766" s="20"/>
      <c r="G766" s="20"/>
      <c r="H766" s="20"/>
      <c r="I766" s="20"/>
      <c r="J766" s="20"/>
      <c r="K766" s="20"/>
      <c r="L766" s="20"/>
      <c r="M766" s="20"/>
      <c r="N766" s="20"/>
      <c r="O766" s="20"/>
      <c r="P766" s="20"/>
      <c r="Q766" s="20"/>
      <c r="R766" s="20"/>
      <c r="S766" s="20"/>
      <c r="T766" s="20"/>
      <c r="U766" s="20"/>
      <c r="V766" s="20"/>
      <c r="W766" s="20"/>
      <c r="X766" s="20"/>
      <c r="Y766" s="20"/>
      <c r="Z766" s="20"/>
    </row>
    <row r="767" ht="13.5" customHeight="1" spans="1:26">
      <c r="A767" s="20"/>
      <c r="B767" s="20"/>
      <c r="C767" s="20"/>
      <c r="D767" s="20"/>
      <c r="E767" s="20"/>
      <c r="F767" s="20"/>
      <c r="G767" s="20"/>
      <c r="H767" s="20"/>
      <c r="I767" s="20"/>
      <c r="J767" s="20"/>
      <c r="K767" s="20"/>
      <c r="L767" s="20"/>
      <c r="M767" s="20"/>
      <c r="N767" s="20"/>
      <c r="O767" s="20"/>
      <c r="P767" s="20"/>
      <c r="Q767" s="20"/>
      <c r="R767" s="20"/>
      <c r="S767" s="20"/>
      <c r="T767" s="20"/>
      <c r="U767" s="20"/>
      <c r="V767" s="20"/>
      <c r="W767" s="20"/>
      <c r="X767" s="20"/>
      <c r="Y767" s="20"/>
      <c r="Z767" s="20"/>
    </row>
    <row r="768" ht="13.5" customHeight="1" spans="1:26">
      <c r="A768" s="20"/>
      <c r="B768" s="20"/>
      <c r="C768" s="20"/>
      <c r="D768" s="20"/>
      <c r="E768" s="20"/>
      <c r="F768" s="20"/>
      <c r="G768" s="20"/>
      <c r="H768" s="20"/>
      <c r="I768" s="20"/>
      <c r="J768" s="20"/>
      <c r="K768" s="20"/>
      <c r="L768" s="20"/>
      <c r="M768" s="20"/>
      <c r="N768" s="20"/>
      <c r="O768" s="20"/>
      <c r="P768" s="20"/>
      <c r="Q768" s="20"/>
      <c r="R768" s="20"/>
      <c r="S768" s="20"/>
      <c r="T768" s="20"/>
      <c r="U768" s="20"/>
      <c r="V768" s="20"/>
      <c r="W768" s="20"/>
      <c r="X768" s="20"/>
      <c r="Y768" s="20"/>
      <c r="Z768" s="20"/>
    </row>
    <row r="769" ht="13.5" customHeight="1" spans="1:26">
      <c r="A769" s="20"/>
      <c r="B769" s="20"/>
      <c r="C769" s="20"/>
      <c r="D769" s="20"/>
      <c r="E769" s="20"/>
      <c r="F769" s="20"/>
      <c r="G769" s="20"/>
      <c r="H769" s="20"/>
      <c r="I769" s="20"/>
      <c r="J769" s="20"/>
      <c r="K769" s="20"/>
      <c r="L769" s="20"/>
      <c r="M769" s="20"/>
      <c r="N769" s="20"/>
      <c r="O769" s="20"/>
      <c r="P769" s="20"/>
      <c r="Q769" s="20"/>
      <c r="R769" s="20"/>
      <c r="S769" s="20"/>
      <c r="T769" s="20"/>
      <c r="U769" s="20"/>
      <c r="V769" s="20"/>
      <c r="W769" s="20"/>
      <c r="X769" s="20"/>
      <c r="Y769" s="20"/>
      <c r="Z769" s="20"/>
    </row>
    <row r="770" ht="13.5" customHeight="1" spans="1:26">
      <c r="A770" s="20"/>
      <c r="B770" s="20"/>
      <c r="C770" s="20"/>
      <c r="D770" s="20"/>
      <c r="E770" s="20"/>
      <c r="F770" s="20"/>
      <c r="G770" s="20"/>
      <c r="H770" s="20"/>
      <c r="I770" s="20"/>
      <c r="J770" s="20"/>
      <c r="K770" s="20"/>
      <c r="L770" s="20"/>
      <c r="M770" s="20"/>
      <c r="N770" s="20"/>
      <c r="O770" s="20"/>
      <c r="P770" s="20"/>
      <c r="Q770" s="20"/>
      <c r="R770" s="20"/>
      <c r="S770" s="20"/>
      <c r="T770" s="20"/>
      <c r="U770" s="20"/>
      <c r="V770" s="20"/>
      <c r="W770" s="20"/>
      <c r="X770" s="20"/>
      <c r="Y770" s="20"/>
      <c r="Z770" s="20"/>
    </row>
    <row r="771" ht="13.5" customHeight="1" spans="1:26">
      <c r="A771" s="20"/>
      <c r="B771" s="20"/>
      <c r="C771" s="20"/>
      <c r="D771" s="20"/>
      <c r="E771" s="20"/>
      <c r="F771" s="20"/>
      <c r="G771" s="20"/>
      <c r="H771" s="20"/>
      <c r="I771" s="20"/>
      <c r="J771" s="20"/>
      <c r="K771" s="20"/>
      <c r="L771" s="20"/>
      <c r="M771" s="20"/>
      <c r="N771" s="20"/>
      <c r="O771" s="20"/>
      <c r="P771" s="20"/>
      <c r="Q771" s="20"/>
      <c r="R771" s="20"/>
      <c r="S771" s="20"/>
      <c r="T771" s="20"/>
      <c r="U771" s="20"/>
      <c r="V771" s="20"/>
      <c r="W771" s="20"/>
      <c r="X771" s="20"/>
      <c r="Y771" s="20"/>
      <c r="Z771" s="20"/>
    </row>
    <row r="772" ht="13.5" customHeight="1" spans="1:26">
      <c r="A772" s="20"/>
      <c r="B772" s="20"/>
      <c r="C772" s="20"/>
      <c r="D772" s="20"/>
      <c r="E772" s="20"/>
      <c r="F772" s="20"/>
      <c r="G772" s="20"/>
      <c r="H772" s="20"/>
      <c r="I772" s="20"/>
      <c r="J772" s="20"/>
      <c r="K772" s="20"/>
      <c r="L772" s="20"/>
      <c r="M772" s="20"/>
      <c r="N772" s="20"/>
      <c r="O772" s="20"/>
      <c r="P772" s="20"/>
      <c r="Q772" s="20"/>
      <c r="R772" s="20"/>
      <c r="S772" s="20"/>
      <c r="T772" s="20"/>
      <c r="U772" s="20"/>
      <c r="V772" s="20"/>
      <c r="W772" s="20"/>
      <c r="X772" s="20"/>
      <c r="Y772" s="20"/>
      <c r="Z772" s="20"/>
    </row>
    <row r="773" ht="13.5" customHeight="1" spans="1:26">
      <c r="A773" s="20"/>
      <c r="B773" s="20"/>
      <c r="C773" s="20"/>
      <c r="D773" s="20"/>
      <c r="E773" s="20"/>
      <c r="F773" s="20"/>
      <c r="G773" s="20"/>
      <c r="H773" s="20"/>
      <c r="I773" s="20"/>
      <c r="J773" s="20"/>
      <c r="K773" s="20"/>
      <c r="L773" s="20"/>
      <c r="M773" s="20"/>
      <c r="N773" s="20"/>
      <c r="O773" s="20"/>
      <c r="P773" s="20"/>
      <c r="Q773" s="20"/>
      <c r="R773" s="20"/>
      <c r="S773" s="20"/>
      <c r="T773" s="20"/>
      <c r="U773" s="20"/>
      <c r="V773" s="20"/>
      <c r="W773" s="20"/>
      <c r="X773" s="20"/>
      <c r="Y773" s="20"/>
      <c r="Z773" s="20"/>
    </row>
    <row r="774" ht="13.5" customHeight="1" spans="1:26">
      <c r="A774" s="20"/>
      <c r="B774" s="20"/>
      <c r="C774" s="20"/>
      <c r="D774" s="20"/>
      <c r="E774" s="20"/>
      <c r="F774" s="20"/>
      <c r="G774" s="20"/>
      <c r="H774" s="20"/>
      <c r="I774" s="20"/>
      <c r="J774" s="20"/>
      <c r="K774" s="20"/>
      <c r="L774" s="20"/>
      <c r="M774" s="20"/>
      <c r="N774" s="20"/>
      <c r="O774" s="20"/>
      <c r="P774" s="20"/>
      <c r="Q774" s="20"/>
      <c r="R774" s="20"/>
      <c r="S774" s="20"/>
      <c r="T774" s="20"/>
      <c r="U774" s="20"/>
      <c r="V774" s="20"/>
      <c r="W774" s="20"/>
      <c r="X774" s="20"/>
      <c r="Y774" s="20"/>
      <c r="Z774" s="20"/>
    </row>
    <row r="775" ht="13.5" customHeight="1" spans="1:26">
      <c r="A775" s="20"/>
      <c r="B775" s="20"/>
      <c r="C775" s="20"/>
      <c r="D775" s="20"/>
      <c r="E775" s="20"/>
      <c r="F775" s="20"/>
      <c r="G775" s="20"/>
      <c r="H775" s="20"/>
      <c r="I775" s="20"/>
      <c r="J775" s="20"/>
      <c r="K775" s="20"/>
      <c r="L775" s="20"/>
      <c r="M775" s="20"/>
      <c r="N775" s="20"/>
      <c r="O775" s="20"/>
      <c r="P775" s="20"/>
      <c r="Q775" s="20"/>
      <c r="R775" s="20"/>
      <c r="S775" s="20"/>
      <c r="T775" s="20"/>
      <c r="U775" s="20"/>
      <c r="V775" s="20"/>
      <c r="W775" s="20"/>
      <c r="X775" s="20"/>
      <c r="Y775" s="20"/>
      <c r="Z775" s="20"/>
    </row>
    <row r="776" ht="13.5" customHeight="1" spans="1:26">
      <c r="A776" s="20"/>
      <c r="B776" s="20"/>
      <c r="C776" s="20"/>
      <c r="D776" s="20"/>
      <c r="E776" s="20"/>
      <c r="F776" s="20"/>
      <c r="G776" s="20"/>
      <c r="H776" s="20"/>
      <c r="I776" s="20"/>
      <c r="J776" s="20"/>
      <c r="K776" s="20"/>
      <c r="L776" s="20"/>
      <c r="M776" s="20"/>
      <c r="N776" s="20"/>
      <c r="O776" s="20"/>
      <c r="P776" s="20"/>
      <c r="Q776" s="20"/>
      <c r="R776" s="20"/>
      <c r="S776" s="20"/>
      <c r="T776" s="20"/>
      <c r="U776" s="20"/>
      <c r="V776" s="20"/>
      <c r="W776" s="20"/>
      <c r="X776" s="20"/>
      <c r="Y776" s="20"/>
      <c r="Z776" s="20"/>
    </row>
    <row r="777" ht="13.5" customHeight="1" spans="1:26">
      <c r="A777" s="20"/>
      <c r="B777" s="20"/>
      <c r="C777" s="20"/>
      <c r="D777" s="20"/>
      <c r="E777" s="20"/>
      <c r="F777" s="20"/>
      <c r="G777" s="20"/>
      <c r="H777" s="20"/>
      <c r="I777" s="20"/>
      <c r="J777" s="20"/>
      <c r="K777" s="20"/>
      <c r="L777" s="20"/>
      <c r="M777" s="20"/>
      <c r="N777" s="20"/>
      <c r="O777" s="20"/>
      <c r="P777" s="20"/>
      <c r="Q777" s="20"/>
      <c r="R777" s="20"/>
      <c r="S777" s="20"/>
      <c r="T777" s="20"/>
      <c r="U777" s="20"/>
      <c r="V777" s="20"/>
      <c r="W777" s="20"/>
      <c r="X777" s="20"/>
      <c r="Y777" s="20"/>
      <c r="Z777" s="20"/>
    </row>
    <row r="778" ht="13.5" customHeight="1" spans="1:26">
      <c r="A778" s="20"/>
      <c r="B778" s="20"/>
      <c r="C778" s="20"/>
      <c r="D778" s="20"/>
      <c r="E778" s="20"/>
      <c r="F778" s="20"/>
      <c r="G778" s="20"/>
      <c r="H778" s="20"/>
      <c r="I778" s="20"/>
      <c r="J778" s="20"/>
      <c r="K778" s="20"/>
      <c r="L778" s="20"/>
      <c r="M778" s="20"/>
      <c r="N778" s="20"/>
      <c r="O778" s="20"/>
      <c r="P778" s="20"/>
      <c r="Q778" s="20"/>
      <c r="R778" s="20"/>
      <c r="S778" s="20"/>
      <c r="T778" s="20"/>
      <c r="U778" s="20"/>
      <c r="V778" s="20"/>
      <c r="W778" s="20"/>
      <c r="X778" s="20"/>
      <c r="Y778" s="20"/>
      <c r="Z778" s="20"/>
    </row>
    <row r="779" ht="13.5" customHeight="1" spans="1:26">
      <c r="A779" s="20"/>
      <c r="B779" s="20"/>
      <c r="C779" s="20"/>
      <c r="D779" s="20"/>
      <c r="E779" s="20"/>
      <c r="F779" s="20"/>
      <c r="G779" s="20"/>
      <c r="H779" s="20"/>
      <c r="I779" s="20"/>
      <c r="J779" s="20"/>
      <c r="K779" s="20"/>
      <c r="L779" s="20"/>
      <c r="M779" s="20"/>
      <c r="N779" s="20"/>
      <c r="O779" s="20"/>
      <c r="P779" s="20"/>
      <c r="Q779" s="20"/>
      <c r="R779" s="20"/>
      <c r="S779" s="20"/>
      <c r="T779" s="20"/>
      <c r="U779" s="20"/>
      <c r="V779" s="20"/>
      <c r="W779" s="20"/>
      <c r="X779" s="20"/>
      <c r="Y779" s="20"/>
      <c r="Z779" s="20"/>
    </row>
    <row r="780" ht="13.5" customHeight="1" spans="1:26">
      <c r="A780" s="20"/>
      <c r="B780" s="20"/>
      <c r="C780" s="20"/>
      <c r="D780" s="20"/>
      <c r="E780" s="20"/>
      <c r="F780" s="20"/>
      <c r="G780" s="20"/>
      <c r="H780" s="20"/>
      <c r="I780" s="20"/>
      <c r="J780" s="20"/>
      <c r="K780" s="20"/>
      <c r="L780" s="20"/>
      <c r="M780" s="20"/>
      <c r="N780" s="20"/>
      <c r="O780" s="20"/>
      <c r="P780" s="20"/>
      <c r="Q780" s="20"/>
      <c r="R780" s="20"/>
      <c r="S780" s="20"/>
      <c r="T780" s="20"/>
      <c r="U780" s="20"/>
      <c r="V780" s="20"/>
      <c r="W780" s="20"/>
      <c r="X780" s="20"/>
      <c r="Y780" s="20"/>
      <c r="Z780" s="20"/>
    </row>
    <row r="781" ht="13.5" customHeight="1" spans="1:26">
      <c r="A781" s="20"/>
      <c r="B781" s="20"/>
      <c r="C781" s="20"/>
      <c r="D781" s="20"/>
      <c r="E781" s="20"/>
      <c r="F781" s="20"/>
      <c r="G781" s="20"/>
      <c r="H781" s="20"/>
      <c r="I781" s="20"/>
      <c r="J781" s="20"/>
      <c r="K781" s="20"/>
      <c r="L781" s="20"/>
      <c r="M781" s="20"/>
      <c r="N781" s="20"/>
      <c r="O781" s="20"/>
      <c r="P781" s="20"/>
      <c r="Q781" s="20"/>
      <c r="R781" s="20"/>
      <c r="S781" s="20"/>
      <c r="T781" s="20"/>
      <c r="U781" s="20"/>
      <c r="V781" s="20"/>
      <c r="W781" s="20"/>
      <c r="X781" s="20"/>
      <c r="Y781" s="20"/>
      <c r="Z781" s="20"/>
    </row>
    <row r="782" ht="13.5" customHeight="1" spans="1:26">
      <c r="A782" s="20"/>
      <c r="B782" s="20"/>
      <c r="C782" s="20"/>
      <c r="D782" s="20"/>
      <c r="E782" s="20"/>
      <c r="F782" s="20"/>
      <c r="G782" s="20"/>
      <c r="H782" s="20"/>
      <c r="I782" s="20"/>
      <c r="J782" s="20"/>
      <c r="K782" s="20"/>
      <c r="L782" s="20"/>
      <c r="M782" s="20"/>
      <c r="N782" s="20"/>
      <c r="O782" s="20"/>
      <c r="P782" s="20"/>
      <c r="Q782" s="20"/>
      <c r="R782" s="20"/>
      <c r="S782" s="20"/>
      <c r="T782" s="20"/>
      <c r="U782" s="20"/>
      <c r="V782" s="20"/>
      <c r="W782" s="20"/>
      <c r="X782" s="20"/>
      <c r="Y782" s="20"/>
      <c r="Z782" s="20"/>
    </row>
    <row r="783" ht="13.5" customHeight="1" spans="1:26">
      <c r="A783" s="20"/>
      <c r="B783" s="20"/>
      <c r="C783" s="20"/>
      <c r="D783" s="20"/>
      <c r="E783" s="20"/>
      <c r="F783" s="20"/>
      <c r="G783" s="20"/>
      <c r="H783" s="20"/>
      <c r="I783" s="20"/>
      <c r="J783" s="20"/>
      <c r="K783" s="20"/>
      <c r="L783" s="20"/>
      <c r="M783" s="20"/>
      <c r="N783" s="20"/>
      <c r="O783" s="20"/>
      <c r="P783" s="20"/>
      <c r="Q783" s="20"/>
      <c r="R783" s="20"/>
      <c r="S783" s="20"/>
      <c r="T783" s="20"/>
      <c r="U783" s="20"/>
      <c r="V783" s="20"/>
      <c r="W783" s="20"/>
      <c r="X783" s="20"/>
      <c r="Y783" s="20"/>
      <c r="Z783" s="20"/>
    </row>
    <row r="784" ht="13.5" customHeight="1" spans="1:26">
      <c r="A784" s="20"/>
      <c r="B784" s="20"/>
      <c r="C784" s="20"/>
      <c r="D784" s="20"/>
      <c r="E784" s="20"/>
      <c r="F784" s="20"/>
      <c r="G784" s="20"/>
      <c r="H784" s="20"/>
      <c r="I784" s="20"/>
      <c r="J784" s="20"/>
      <c r="K784" s="20"/>
      <c r="L784" s="20"/>
      <c r="M784" s="20"/>
      <c r="N784" s="20"/>
      <c r="O784" s="20"/>
      <c r="P784" s="20"/>
      <c r="Q784" s="20"/>
      <c r="R784" s="20"/>
      <c r="S784" s="20"/>
      <c r="T784" s="20"/>
      <c r="U784" s="20"/>
      <c r="V784" s="20"/>
      <c r="W784" s="20"/>
      <c r="X784" s="20"/>
      <c r="Y784" s="20"/>
      <c r="Z784" s="20"/>
    </row>
    <row r="785" ht="13.5" customHeight="1" spans="1:26">
      <c r="A785" s="20"/>
      <c r="B785" s="20"/>
      <c r="C785" s="20"/>
      <c r="D785" s="20"/>
      <c r="E785" s="20"/>
      <c r="F785" s="20"/>
      <c r="G785" s="20"/>
      <c r="H785" s="20"/>
      <c r="I785" s="20"/>
      <c r="J785" s="20"/>
      <c r="K785" s="20"/>
      <c r="L785" s="20"/>
      <c r="M785" s="20"/>
      <c r="N785" s="20"/>
      <c r="O785" s="20"/>
      <c r="P785" s="20"/>
      <c r="Q785" s="20"/>
      <c r="R785" s="20"/>
      <c r="S785" s="20"/>
      <c r="T785" s="20"/>
      <c r="U785" s="20"/>
      <c r="V785" s="20"/>
      <c r="W785" s="20"/>
      <c r="X785" s="20"/>
      <c r="Y785" s="20"/>
      <c r="Z785" s="20"/>
    </row>
    <row r="786" ht="13.5" customHeight="1" spans="1:26">
      <c r="A786" s="20"/>
      <c r="B786" s="20"/>
      <c r="C786" s="20"/>
      <c r="D786" s="20"/>
      <c r="E786" s="20"/>
      <c r="F786" s="20"/>
      <c r="G786" s="20"/>
      <c r="H786" s="20"/>
      <c r="I786" s="20"/>
      <c r="J786" s="20"/>
      <c r="K786" s="20"/>
      <c r="L786" s="20"/>
      <c r="M786" s="20"/>
      <c r="N786" s="20"/>
      <c r="O786" s="20"/>
      <c r="P786" s="20"/>
      <c r="Q786" s="20"/>
      <c r="R786" s="20"/>
      <c r="S786" s="20"/>
      <c r="T786" s="20"/>
      <c r="U786" s="20"/>
      <c r="V786" s="20"/>
      <c r="W786" s="20"/>
      <c r="X786" s="20"/>
      <c r="Y786" s="20"/>
      <c r="Z786" s="20"/>
    </row>
    <row r="787" ht="13.5" customHeight="1" spans="1:26">
      <c r="A787" s="20"/>
      <c r="B787" s="20"/>
      <c r="C787" s="20"/>
      <c r="D787" s="20"/>
      <c r="E787" s="20"/>
      <c r="F787" s="20"/>
      <c r="G787" s="20"/>
      <c r="H787" s="20"/>
      <c r="I787" s="20"/>
      <c r="J787" s="20"/>
      <c r="K787" s="20"/>
      <c r="L787" s="20"/>
      <c r="M787" s="20"/>
      <c r="N787" s="20"/>
      <c r="O787" s="20"/>
      <c r="P787" s="20"/>
      <c r="Q787" s="20"/>
      <c r="R787" s="20"/>
      <c r="S787" s="20"/>
      <c r="T787" s="20"/>
      <c r="U787" s="20"/>
      <c r="V787" s="20"/>
      <c r="W787" s="20"/>
      <c r="X787" s="20"/>
      <c r="Y787" s="20"/>
      <c r="Z787" s="20"/>
    </row>
    <row r="788" ht="13.5" customHeight="1" spans="1:26">
      <c r="A788" s="20"/>
      <c r="B788" s="20"/>
      <c r="C788" s="20"/>
      <c r="D788" s="20"/>
      <c r="E788" s="20"/>
      <c r="F788" s="20"/>
      <c r="G788" s="20"/>
      <c r="H788" s="20"/>
      <c r="I788" s="20"/>
      <c r="J788" s="20"/>
      <c r="K788" s="20"/>
      <c r="L788" s="20"/>
      <c r="M788" s="20"/>
      <c r="N788" s="20"/>
      <c r="O788" s="20"/>
      <c r="P788" s="20"/>
      <c r="Q788" s="20"/>
      <c r="R788" s="20"/>
      <c r="S788" s="20"/>
      <c r="T788" s="20"/>
      <c r="U788" s="20"/>
      <c r="V788" s="20"/>
      <c r="W788" s="20"/>
      <c r="X788" s="20"/>
      <c r="Y788" s="20"/>
      <c r="Z788" s="20"/>
    </row>
    <row r="789" ht="13.5" customHeight="1" spans="1:26">
      <c r="A789" s="20"/>
      <c r="B789" s="20"/>
      <c r="C789" s="20"/>
      <c r="D789" s="20"/>
      <c r="E789" s="20"/>
      <c r="F789" s="20"/>
      <c r="G789" s="20"/>
      <c r="H789" s="20"/>
      <c r="I789" s="20"/>
      <c r="J789" s="20"/>
      <c r="K789" s="20"/>
      <c r="L789" s="20"/>
      <c r="M789" s="20"/>
      <c r="N789" s="20"/>
      <c r="O789" s="20"/>
      <c r="P789" s="20"/>
      <c r="Q789" s="20"/>
      <c r="R789" s="20"/>
      <c r="S789" s="20"/>
      <c r="T789" s="20"/>
      <c r="U789" s="20"/>
      <c r="V789" s="20"/>
      <c r="W789" s="20"/>
      <c r="X789" s="20"/>
      <c r="Y789" s="20"/>
      <c r="Z789" s="20"/>
    </row>
    <row r="790" ht="13.5" customHeight="1" spans="1:26">
      <c r="A790" s="20"/>
      <c r="B790" s="20"/>
      <c r="C790" s="20"/>
      <c r="D790" s="20"/>
      <c r="E790" s="20"/>
      <c r="F790" s="20"/>
      <c r="G790" s="20"/>
      <c r="H790" s="20"/>
      <c r="I790" s="20"/>
      <c r="J790" s="20"/>
      <c r="K790" s="20"/>
      <c r="L790" s="20"/>
      <c r="M790" s="20"/>
      <c r="N790" s="20"/>
      <c r="O790" s="20"/>
      <c r="P790" s="20"/>
      <c r="Q790" s="20"/>
      <c r="R790" s="20"/>
      <c r="S790" s="20"/>
      <c r="T790" s="20"/>
      <c r="U790" s="20"/>
      <c r="V790" s="20"/>
      <c r="W790" s="20"/>
      <c r="X790" s="20"/>
      <c r="Y790" s="20"/>
      <c r="Z790" s="20"/>
    </row>
    <row r="791" ht="13.5" customHeight="1" spans="1:26">
      <c r="A791" s="20"/>
      <c r="B791" s="20"/>
      <c r="C791" s="20"/>
      <c r="D791" s="20"/>
      <c r="E791" s="20"/>
      <c r="F791" s="20"/>
      <c r="G791" s="20"/>
      <c r="H791" s="20"/>
      <c r="I791" s="20"/>
      <c r="J791" s="20"/>
      <c r="K791" s="20"/>
      <c r="L791" s="20"/>
      <c r="M791" s="20"/>
      <c r="N791" s="20"/>
      <c r="O791" s="20"/>
      <c r="P791" s="20"/>
      <c r="Q791" s="20"/>
      <c r="R791" s="20"/>
      <c r="S791" s="20"/>
      <c r="T791" s="20"/>
      <c r="U791" s="20"/>
      <c r="V791" s="20"/>
      <c r="W791" s="20"/>
      <c r="X791" s="20"/>
      <c r="Y791" s="20"/>
      <c r="Z791" s="20"/>
    </row>
    <row r="792" ht="13.5" customHeight="1" spans="1:26">
      <c r="A792" s="20"/>
      <c r="B792" s="20"/>
      <c r="C792" s="20"/>
      <c r="D792" s="20"/>
      <c r="E792" s="20"/>
      <c r="F792" s="20"/>
      <c r="G792" s="20"/>
      <c r="H792" s="20"/>
      <c r="I792" s="20"/>
      <c r="J792" s="20"/>
      <c r="K792" s="20"/>
      <c r="L792" s="20"/>
      <c r="M792" s="20"/>
      <c r="N792" s="20"/>
      <c r="O792" s="20"/>
      <c r="P792" s="20"/>
      <c r="Q792" s="20"/>
      <c r="R792" s="20"/>
      <c r="S792" s="20"/>
      <c r="T792" s="20"/>
      <c r="U792" s="20"/>
      <c r="V792" s="20"/>
      <c r="W792" s="20"/>
      <c r="X792" s="20"/>
      <c r="Y792" s="20"/>
      <c r="Z792" s="20"/>
    </row>
    <row r="793" ht="13.5" customHeight="1" spans="1:26">
      <c r="A793" s="20"/>
      <c r="B793" s="20"/>
      <c r="C793" s="20"/>
      <c r="D793" s="20"/>
      <c r="E793" s="20"/>
      <c r="F793" s="20"/>
      <c r="G793" s="20"/>
      <c r="H793" s="20"/>
      <c r="I793" s="20"/>
      <c r="J793" s="20"/>
      <c r="K793" s="20"/>
      <c r="L793" s="20"/>
      <c r="M793" s="20"/>
      <c r="N793" s="20"/>
      <c r="O793" s="20"/>
      <c r="P793" s="20"/>
      <c r="Q793" s="20"/>
      <c r="R793" s="20"/>
      <c r="S793" s="20"/>
      <c r="T793" s="20"/>
      <c r="U793" s="20"/>
      <c r="V793" s="20"/>
      <c r="W793" s="20"/>
      <c r="X793" s="20"/>
      <c r="Y793" s="20"/>
      <c r="Z793" s="20"/>
    </row>
    <row r="794" ht="13.5" customHeight="1" spans="1:26">
      <c r="A794" s="20"/>
      <c r="B794" s="20"/>
      <c r="C794" s="20"/>
      <c r="D794" s="20"/>
      <c r="E794" s="20"/>
      <c r="F794" s="20"/>
      <c r="G794" s="20"/>
      <c r="H794" s="20"/>
      <c r="I794" s="20"/>
      <c r="J794" s="20"/>
      <c r="K794" s="20"/>
      <c r="L794" s="20"/>
      <c r="M794" s="20"/>
      <c r="N794" s="20"/>
      <c r="O794" s="20"/>
      <c r="P794" s="20"/>
      <c r="Q794" s="20"/>
      <c r="R794" s="20"/>
      <c r="S794" s="20"/>
      <c r="T794" s="20"/>
      <c r="U794" s="20"/>
      <c r="V794" s="20"/>
      <c r="W794" s="20"/>
      <c r="X794" s="20"/>
      <c r="Y794" s="20"/>
      <c r="Z794" s="20"/>
    </row>
    <row r="795" ht="13.5" customHeight="1" spans="1:26">
      <c r="A795" s="20"/>
      <c r="B795" s="20"/>
      <c r="C795" s="20"/>
      <c r="D795" s="20"/>
      <c r="E795" s="20"/>
      <c r="F795" s="20"/>
      <c r="G795" s="20"/>
      <c r="H795" s="20"/>
      <c r="I795" s="20"/>
      <c r="J795" s="20"/>
      <c r="K795" s="20"/>
      <c r="L795" s="20"/>
      <c r="M795" s="20"/>
      <c r="N795" s="20"/>
      <c r="O795" s="20"/>
      <c r="P795" s="20"/>
      <c r="Q795" s="20"/>
      <c r="R795" s="20"/>
      <c r="S795" s="20"/>
      <c r="T795" s="20"/>
      <c r="U795" s="20"/>
      <c r="V795" s="20"/>
      <c r="W795" s="20"/>
      <c r="X795" s="20"/>
      <c r="Y795" s="20"/>
      <c r="Z795" s="20"/>
    </row>
    <row r="796" ht="13.5" customHeight="1" spans="1:26">
      <c r="A796" s="20"/>
      <c r="B796" s="20"/>
      <c r="C796" s="20"/>
      <c r="D796" s="20"/>
      <c r="E796" s="20"/>
      <c r="F796" s="20"/>
      <c r="G796" s="20"/>
      <c r="H796" s="20"/>
      <c r="I796" s="20"/>
      <c r="J796" s="20"/>
      <c r="K796" s="20"/>
      <c r="L796" s="20"/>
      <c r="M796" s="20"/>
      <c r="N796" s="20"/>
      <c r="O796" s="20"/>
      <c r="P796" s="20"/>
      <c r="Q796" s="20"/>
      <c r="R796" s="20"/>
      <c r="S796" s="20"/>
      <c r="T796" s="20"/>
      <c r="U796" s="20"/>
      <c r="V796" s="20"/>
      <c r="W796" s="20"/>
      <c r="X796" s="20"/>
      <c r="Y796" s="20"/>
      <c r="Z796" s="20"/>
    </row>
    <row r="797" ht="13.5" customHeight="1" spans="1:26">
      <c r="A797" s="20"/>
      <c r="B797" s="20"/>
      <c r="C797" s="20"/>
      <c r="D797" s="20"/>
      <c r="E797" s="20"/>
      <c r="F797" s="20"/>
      <c r="G797" s="20"/>
      <c r="H797" s="20"/>
      <c r="I797" s="20"/>
      <c r="J797" s="20"/>
      <c r="K797" s="20"/>
      <c r="L797" s="20"/>
      <c r="M797" s="20"/>
      <c r="N797" s="20"/>
      <c r="O797" s="20"/>
      <c r="P797" s="20"/>
      <c r="Q797" s="20"/>
      <c r="R797" s="20"/>
      <c r="S797" s="20"/>
      <c r="T797" s="20"/>
      <c r="U797" s="20"/>
      <c r="V797" s="20"/>
      <c r="W797" s="20"/>
      <c r="X797" s="20"/>
      <c r="Y797" s="20"/>
      <c r="Z797" s="20"/>
    </row>
    <row r="798" ht="13.5" customHeight="1" spans="1:26">
      <c r="A798" s="20"/>
      <c r="B798" s="20"/>
      <c r="C798" s="20"/>
      <c r="D798" s="20"/>
      <c r="E798" s="20"/>
      <c r="F798" s="20"/>
      <c r="G798" s="20"/>
      <c r="H798" s="20"/>
      <c r="I798" s="20"/>
      <c r="J798" s="20"/>
      <c r="K798" s="20"/>
      <c r="L798" s="20"/>
      <c r="M798" s="20"/>
      <c r="N798" s="20"/>
      <c r="O798" s="20"/>
      <c r="P798" s="20"/>
      <c r="Q798" s="20"/>
      <c r="R798" s="20"/>
      <c r="S798" s="20"/>
      <c r="T798" s="20"/>
      <c r="U798" s="20"/>
      <c r="V798" s="20"/>
      <c r="W798" s="20"/>
      <c r="X798" s="20"/>
      <c r="Y798" s="20"/>
      <c r="Z798" s="20"/>
    </row>
    <row r="799" ht="13.5" customHeight="1" spans="1:26">
      <c r="A799" s="20"/>
      <c r="B799" s="20"/>
      <c r="C799" s="20"/>
      <c r="D799" s="20"/>
      <c r="E799" s="20"/>
      <c r="F799" s="20"/>
      <c r="G799" s="20"/>
      <c r="H799" s="20"/>
      <c r="I799" s="20"/>
      <c r="J799" s="20"/>
      <c r="K799" s="20"/>
      <c r="L799" s="20"/>
      <c r="M799" s="20"/>
      <c r="N799" s="20"/>
      <c r="O799" s="20"/>
      <c r="P799" s="20"/>
      <c r="Q799" s="20"/>
      <c r="R799" s="20"/>
      <c r="S799" s="20"/>
      <c r="T799" s="20"/>
      <c r="U799" s="20"/>
      <c r="V799" s="20"/>
      <c r="W799" s="20"/>
      <c r="X799" s="20"/>
      <c r="Y799" s="20"/>
      <c r="Z799" s="20"/>
    </row>
    <row r="800" ht="13.5" customHeight="1" spans="1:26">
      <c r="A800" s="20"/>
      <c r="B800" s="20"/>
      <c r="C800" s="20"/>
      <c r="D800" s="20"/>
      <c r="E800" s="20"/>
      <c r="F800" s="20"/>
      <c r="G800" s="20"/>
      <c r="H800" s="20"/>
      <c r="I800" s="20"/>
      <c r="J800" s="20"/>
      <c r="K800" s="20"/>
      <c r="L800" s="20"/>
      <c r="M800" s="20"/>
      <c r="N800" s="20"/>
      <c r="O800" s="20"/>
      <c r="P800" s="20"/>
      <c r="Q800" s="20"/>
      <c r="R800" s="20"/>
      <c r="S800" s="20"/>
      <c r="T800" s="20"/>
      <c r="U800" s="20"/>
      <c r="V800" s="20"/>
      <c r="W800" s="20"/>
      <c r="X800" s="20"/>
      <c r="Y800" s="20"/>
      <c r="Z800" s="20"/>
    </row>
    <row r="801" ht="13.5" customHeight="1" spans="1:26">
      <c r="A801" s="20"/>
      <c r="B801" s="20"/>
      <c r="C801" s="20"/>
      <c r="D801" s="20"/>
      <c r="E801" s="20"/>
      <c r="F801" s="20"/>
      <c r="G801" s="20"/>
      <c r="H801" s="20"/>
      <c r="I801" s="20"/>
      <c r="J801" s="20"/>
      <c r="K801" s="20"/>
      <c r="L801" s="20"/>
      <c r="M801" s="20"/>
      <c r="N801" s="20"/>
      <c r="O801" s="20"/>
      <c r="P801" s="20"/>
      <c r="Q801" s="20"/>
      <c r="R801" s="20"/>
      <c r="S801" s="20"/>
      <c r="T801" s="20"/>
      <c r="U801" s="20"/>
      <c r="V801" s="20"/>
      <c r="W801" s="20"/>
      <c r="X801" s="20"/>
      <c r="Y801" s="20"/>
      <c r="Z801" s="20"/>
    </row>
    <row r="802" ht="13.5" customHeight="1" spans="1:26">
      <c r="A802" s="20"/>
      <c r="B802" s="20"/>
      <c r="C802" s="20"/>
      <c r="D802" s="20"/>
      <c r="E802" s="20"/>
      <c r="F802" s="20"/>
      <c r="G802" s="20"/>
      <c r="H802" s="20"/>
      <c r="I802" s="20"/>
      <c r="J802" s="20"/>
      <c r="K802" s="20"/>
      <c r="L802" s="20"/>
      <c r="M802" s="20"/>
      <c r="N802" s="20"/>
      <c r="O802" s="20"/>
      <c r="P802" s="20"/>
      <c r="Q802" s="20"/>
      <c r="R802" s="20"/>
      <c r="S802" s="20"/>
      <c r="T802" s="20"/>
      <c r="U802" s="20"/>
      <c r="V802" s="20"/>
      <c r="W802" s="20"/>
      <c r="X802" s="20"/>
      <c r="Y802" s="20"/>
      <c r="Z802" s="20"/>
    </row>
    <row r="803" ht="13.5" customHeight="1" spans="1:26">
      <c r="A803" s="20"/>
      <c r="B803" s="20"/>
      <c r="C803" s="20"/>
      <c r="D803" s="20"/>
      <c r="E803" s="20"/>
      <c r="F803" s="20"/>
      <c r="G803" s="20"/>
      <c r="H803" s="20"/>
      <c r="I803" s="20"/>
      <c r="J803" s="20"/>
      <c r="K803" s="20"/>
      <c r="L803" s="20"/>
      <c r="M803" s="20"/>
      <c r="N803" s="20"/>
      <c r="O803" s="20"/>
      <c r="P803" s="20"/>
      <c r="Q803" s="20"/>
      <c r="R803" s="20"/>
      <c r="S803" s="20"/>
      <c r="T803" s="20"/>
      <c r="U803" s="20"/>
      <c r="V803" s="20"/>
      <c r="W803" s="20"/>
      <c r="X803" s="20"/>
      <c r="Y803" s="20"/>
      <c r="Z803" s="20"/>
    </row>
    <row r="804" ht="13.5" customHeight="1" spans="1:26">
      <c r="A804" s="20"/>
      <c r="B804" s="20"/>
      <c r="C804" s="20"/>
      <c r="D804" s="20"/>
      <c r="E804" s="20"/>
      <c r="F804" s="20"/>
      <c r="G804" s="20"/>
      <c r="H804" s="20"/>
      <c r="I804" s="20"/>
      <c r="J804" s="20"/>
      <c r="K804" s="20"/>
      <c r="L804" s="20"/>
      <c r="M804" s="20"/>
      <c r="N804" s="20"/>
      <c r="O804" s="20"/>
      <c r="P804" s="20"/>
      <c r="Q804" s="20"/>
      <c r="R804" s="20"/>
      <c r="S804" s="20"/>
      <c r="T804" s="20"/>
      <c r="U804" s="20"/>
      <c r="V804" s="20"/>
      <c r="W804" s="20"/>
      <c r="X804" s="20"/>
      <c r="Y804" s="20"/>
      <c r="Z804" s="20"/>
    </row>
    <row r="805" ht="13.5" customHeight="1" spans="1:26">
      <c r="A805" s="20"/>
      <c r="B805" s="20"/>
      <c r="C805" s="20"/>
      <c r="D805" s="20"/>
      <c r="E805" s="20"/>
      <c r="F805" s="20"/>
      <c r="G805" s="20"/>
      <c r="H805" s="20"/>
      <c r="I805" s="20"/>
      <c r="J805" s="20"/>
      <c r="K805" s="20"/>
      <c r="L805" s="20"/>
      <c r="M805" s="20"/>
      <c r="N805" s="20"/>
      <c r="O805" s="20"/>
      <c r="P805" s="20"/>
      <c r="Q805" s="20"/>
      <c r="R805" s="20"/>
      <c r="S805" s="20"/>
      <c r="T805" s="20"/>
      <c r="U805" s="20"/>
      <c r="V805" s="20"/>
      <c r="W805" s="20"/>
      <c r="X805" s="20"/>
      <c r="Y805" s="20"/>
      <c r="Z805" s="20"/>
    </row>
    <row r="806" ht="13.5" customHeight="1" spans="1:26">
      <c r="A806" s="20"/>
      <c r="B806" s="20"/>
      <c r="C806" s="20"/>
      <c r="D806" s="20"/>
      <c r="E806" s="20"/>
      <c r="F806" s="20"/>
      <c r="G806" s="20"/>
      <c r="H806" s="20"/>
      <c r="I806" s="20"/>
      <c r="J806" s="20"/>
      <c r="K806" s="20"/>
      <c r="L806" s="20"/>
      <c r="M806" s="20"/>
      <c r="N806" s="20"/>
      <c r="O806" s="20"/>
      <c r="P806" s="20"/>
      <c r="Q806" s="20"/>
      <c r="R806" s="20"/>
      <c r="S806" s="20"/>
      <c r="T806" s="20"/>
      <c r="U806" s="20"/>
      <c r="V806" s="20"/>
      <c r="W806" s="20"/>
      <c r="X806" s="20"/>
      <c r="Y806" s="20"/>
      <c r="Z806" s="20"/>
    </row>
    <row r="807" ht="13.5" customHeight="1" spans="1:26">
      <c r="A807" s="20"/>
      <c r="B807" s="20"/>
      <c r="C807" s="20"/>
      <c r="D807" s="20"/>
      <c r="E807" s="20"/>
      <c r="F807" s="20"/>
      <c r="G807" s="20"/>
      <c r="H807" s="20"/>
      <c r="I807" s="20"/>
      <c r="J807" s="20"/>
      <c r="K807" s="20"/>
      <c r="L807" s="20"/>
      <c r="M807" s="20"/>
      <c r="N807" s="20"/>
      <c r="O807" s="20"/>
      <c r="P807" s="20"/>
      <c r="Q807" s="20"/>
      <c r="R807" s="20"/>
      <c r="S807" s="20"/>
      <c r="T807" s="20"/>
      <c r="U807" s="20"/>
      <c r="V807" s="20"/>
      <c r="W807" s="20"/>
      <c r="X807" s="20"/>
      <c r="Y807" s="20"/>
      <c r="Z807" s="20"/>
    </row>
    <row r="808" ht="13.5" customHeight="1" spans="1:26">
      <c r="A808" s="20"/>
      <c r="B808" s="20"/>
      <c r="C808" s="20"/>
      <c r="D808" s="20"/>
      <c r="E808" s="20"/>
      <c r="F808" s="20"/>
      <c r="G808" s="20"/>
      <c r="H808" s="20"/>
      <c r="I808" s="20"/>
      <c r="J808" s="20"/>
      <c r="K808" s="20"/>
      <c r="L808" s="20"/>
      <c r="M808" s="20"/>
      <c r="N808" s="20"/>
      <c r="O808" s="20"/>
      <c r="P808" s="20"/>
      <c r="Q808" s="20"/>
      <c r="R808" s="20"/>
      <c r="S808" s="20"/>
      <c r="T808" s="20"/>
      <c r="U808" s="20"/>
      <c r="V808" s="20"/>
      <c r="W808" s="20"/>
      <c r="X808" s="20"/>
      <c r="Y808" s="20"/>
      <c r="Z808" s="20"/>
    </row>
    <row r="809" ht="13.5" customHeight="1" spans="1:26">
      <c r="A809" s="20"/>
      <c r="B809" s="20"/>
      <c r="C809" s="20"/>
      <c r="D809" s="20"/>
      <c r="E809" s="20"/>
      <c r="F809" s="20"/>
      <c r="G809" s="20"/>
      <c r="H809" s="20"/>
      <c r="I809" s="20"/>
      <c r="J809" s="20"/>
      <c r="K809" s="20"/>
      <c r="L809" s="20"/>
      <c r="M809" s="20"/>
      <c r="N809" s="20"/>
      <c r="O809" s="20"/>
      <c r="P809" s="20"/>
      <c r="Q809" s="20"/>
      <c r="R809" s="20"/>
      <c r="S809" s="20"/>
      <c r="T809" s="20"/>
      <c r="U809" s="20"/>
      <c r="V809" s="20"/>
      <c r="W809" s="20"/>
      <c r="X809" s="20"/>
      <c r="Y809" s="20"/>
      <c r="Z809" s="20"/>
    </row>
    <row r="810" ht="13.5" customHeight="1" spans="1:26">
      <c r="A810" s="20"/>
      <c r="B810" s="20"/>
      <c r="C810" s="20"/>
      <c r="D810" s="20"/>
      <c r="E810" s="20"/>
      <c r="F810" s="20"/>
      <c r="G810" s="20"/>
      <c r="H810" s="20"/>
      <c r="I810" s="20"/>
      <c r="J810" s="20"/>
      <c r="K810" s="20"/>
      <c r="L810" s="20"/>
      <c r="M810" s="20"/>
      <c r="N810" s="20"/>
      <c r="O810" s="20"/>
      <c r="P810" s="20"/>
      <c r="Q810" s="20"/>
      <c r="R810" s="20"/>
      <c r="S810" s="20"/>
      <c r="T810" s="20"/>
      <c r="U810" s="20"/>
      <c r="V810" s="20"/>
      <c r="W810" s="20"/>
      <c r="X810" s="20"/>
      <c r="Y810" s="20"/>
      <c r="Z810" s="20"/>
    </row>
    <row r="811" ht="13.5" customHeight="1" spans="1:26">
      <c r="A811" s="20"/>
      <c r="B811" s="20"/>
      <c r="C811" s="20"/>
      <c r="D811" s="20"/>
      <c r="E811" s="20"/>
      <c r="F811" s="20"/>
      <c r="G811" s="20"/>
      <c r="H811" s="20"/>
      <c r="I811" s="20"/>
      <c r="J811" s="20"/>
      <c r="K811" s="20"/>
      <c r="L811" s="20"/>
      <c r="M811" s="20"/>
      <c r="N811" s="20"/>
      <c r="O811" s="20"/>
      <c r="P811" s="20"/>
      <c r="Q811" s="20"/>
      <c r="R811" s="20"/>
      <c r="S811" s="20"/>
      <c r="T811" s="20"/>
      <c r="U811" s="20"/>
      <c r="V811" s="20"/>
      <c r="W811" s="20"/>
      <c r="X811" s="20"/>
      <c r="Y811" s="20"/>
      <c r="Z811" s="20"/>
    </row>
    <row r="812" ht="13.5" customHeight="1" spans="1:26">
      <c r="A812" s="20"/>
      <c r="B812" s="20"/>
      <c r="C812" s="20"/>
      <c r="D812" s="20"/>
      <c r="E812" s="20"/>
      <c r="F812" s="20"/>
      <c r="G812" s="20"/>
      <c r="H812" s="20"/>
      <c r="I812" s="20"/>
      <c r="J812" s="20"/>
      <c r="K812" s="20"/>
      <c r="L812" s="20"/>
      <c r="M812" s="20"/>
      <c r="N812" s="20"/>
      <c r="O812" s="20"/>
      <c r="P812" s="20"/>
      <c r="Q812" s="20"/>
      <c r="R812" s="20"/>
      <c r="S812" s="20"/>
      <c r="T812" s="20"/>
      <c r="U812" s="20"/>
      <c r="V812" s="20"/>
      <c r="W812" s="20"/>
      <c r="X812" s="20"/>
      <c r="Y812" s="20"/>
      <c r="Z812" s="20"/>
    </row>
    <row r="813" ht="13.5" customHeight="1" spans="1:26">
      <c r="A813" s="20"/>
      <c r="B813" s="20"/>
      <c r="C813" s="20"/>
      <c r="D813" s="20"/>
      <c r="E813" s="20"/>
      <c r="F813" s="20"/>
      <c r="G813" s="20"/>
      <c r="H813" s="20"/>
      <c r="I813" s="20"/>
      <c r="J813" s="20"/>
      <c r="K813" s="20"/>
      <c r="L813" s="20"/>
      <c r="M813" s="20"/>
      <c r="N813" s="20"/>
      <c r="O813" s="20"/>
      <c r="P813" s="20"/>
      <c r="Q813" s="20"/>
      <c r="R813" s="20"/>
      <c r="S813" s="20"/>
      <c r="T813" s="20"/>
      <c r="U813" s="20"/>
      <c r="V813" s="20"/>
      <c r="W813" s="20"/>
      <c r="X813" s="20"/>
      <c r="Y813" s="20"/>
      <c r="Z813" s="20"/>
    </row>
    <row r="814" ht="13.5" customHeight="1" spans="1:26">
      <c r="A814" s="20"/>
      <c r="B814" s="20"/>
      <c r="C814" s="20"/>
      <c r="D814" s="20"/>
      <c r="E814" s="20"/>
      <c r="F814" s="20"/>
      <c r="G814" s="20"/>
      <c r="H814" s="20"/>
      <c r="I814" s="20"/>
      <c r="J814" s="20"/>
      <c r="K814" s="20"/>
      <c r="L814" s="20"/>
      <c r="M814" s="20"/>
      <c r="N814" s="20"/>
      <c r="O814" s="20"/>
      <c r="P814" s="20"/>
      <c r="Q814" s="20"/>
      <c r="R814" s="20"/>
      <c r="S814" s="20"/>
      <c r="T814" s="20"/>
      <c r="U814" s="20"/>
      <c r="V814" s="20"/>
      <c r="W814" s="20"/>
      <c r="X814" s="20"/>
      <c r="Y814" s="20"/>
      <c r="Z814" s="20"/>
    </row>
    <row r="815" ht="13.5" customHeight="1" spans="1:26">
      <c r="A815" s="20"/>
      <c r="B815" s="20"/>
      <c r="C815" s="20"/>
      <c r="D815" s="20"/>
      <c r="E815" s="20"/>
      <c r="F815" s="20"/>
      <c r="G815" s="20"/>
      <c r="H815" s="20"/>
      <c r="I815" s="20"/>
      <c r="J815" s="20"/>
      <c r="K815" s="20"/>
      <c r="L815" s="20"/>
      <c r="M815" s="20"/>
      <c r="N815" s="20"/>
      <c r="O815" s="20"/>
      <c r="P815" s="20"/>
      <c r="Q815" s="20"/>
      <c r="R815" s="20"/>
      <c r="S815" s="20"/>
      <c r="T815" s="20"/>
      <c r="U815" s="20"/>
      <c r="V815" s="20"/>
      <c r="W815" s="20"/>
      <c r="X815" s="20"/>
      <c r="Y815" s="20"/>
      <c r="Z815" s="20"/>
    </row>
    <row r="816" ht="13.5" customHeight="1" spans="1:26">
      <c r="A816" s="20"/>
      <c r="B816" s="20"/>
      <c r="C816" s="20"/>
      <c r="D816" s="20"/>
      <c r="E816" s="20"/>
      <c r="F816" s="20"/>
      <c r="G816" s="20"/>
      <c r="H816" s="20"/>
      <c r="I816" s="20"/>
      <c r="J816" s="20"/>
      <c r="K816" s="20"/>
      <c r="L816" s="20"/>
      <c r="M816" s="20"/>
      <c r="N816" s="20"/>
      <c r="O816" s="20"/>
      <c r="P816" s="20"/>
      <c r="Q816" s="20"/>
      <c r="R816" s="20"/>
      <c r="S816" s="20"/>
      <c r="T816" s="20"/>
      <c r="U816" s="20"/>
      <c r="V816" s="20"/>
      <c r="W816" s="20"/>
      <c r="X816" s="20"/>
      <c r="Y816" s="20"/>
      <c r="Z816" s="20"/>
    </row>
    <row r="817" ht="13.5" customHeight="1" spans="1:26">
      <c r="A817" s="20"/>
      <c r="B817" s="20"/>
      <c r="C817" s="20"/>
      <c r="D817" s="20"/>
      <c r="E817" s="20"/>
      <c r="F817" s="20"/>
      <c r="G817" s="20"/>
      <c r="H817" s="20"/>
      <c r="I817" s="20"/>
      <c r="J817" s="20"/>
      <c r="K817" s="20"/>
      <c r="L817" s="20"/>
      <c r="M817" s="20"/>
      <c r="N817" s="20"/>
      <c r="O817" s="20"/>
      <c r="P817" s="20"/>
      <c r="Q817" s="20"/>
      <c r="R817" s="20"/>
      <c r="S817" s="20"/>
      <c r="T817" s="20"/>
      <c r="U817" s="20"/>
      <c r="V817" s="20"/>
      <c r="W817" s="20"/>
      <c r="X817" s="20"/>
      <c r="Y817" s="20"/>
      <c r="Z817" s="20"/>
    </row>
    <row r="818" ht="13.5" customHeight="1" spans="1:26">
      <c r="A818" s="20"/>
      <c r="B818" s="20"/>
      <c r="C818" s="20"/>
      <c r="D818" s="20"/>
      <c r="E818" s="20"/>
      <c r="F818" s="20"/>
      <c r="G818" s="20"/>
      <c r="H818" s="20"/>
      <c r="I818" s="20"/>
      <c r="J818" s="20"/>
      <c r="K818" s="20"/>
      <c r="L818" s="20"/>
      <c r="M818" s="20"/>
      <c r="N818" s="20"/>
      <c r="O818" s="20"/>
      <c r="P818" s="20"/>
      <c r="Q818" s="20"/>
      <c r="R818" s="20"/>
      <c r="S818" s="20"/>
      <c r="T818" s="20"/>
      <c r="U818" s="20"/>
      <c r="V818" s="20"/>
      <c r="W818" s="20"/>
      <c r="X818" s="20"/>
      <c r="Y818" s="20"/>
      <c r="Z818" s="20"/>
    </row>
    <row r="819" ht="13.5" customHeight="1" spans="1:26">
      <c r="A819" s="20"/>
      <c r="B819" s="20"/>
      <c r="C819" s="20"/>
      <c r="D819" s="20"/>
      <c r="E819" s="20"/>
      <c r="F819" s="20"/>
      <c r="G819" s="20"/>
      <c r="H819" s="20"/>
      <c r="I819" s="20"/>
      <c r="J819" s="20"/>
      <c r="K819" s="20"/>
      <c r="L819" s="20"/>
      <c r="M819" s="20"/>
      <c r="N819" s="20"/>
      <c r="O819" s="20"/>
      <c r="P819" s="20"/>
      <c r="Q819" s="20"/>
      <c r="R819" s="20"/>
      <c r="S819" s="20"/>
      <c r="T819" s="20"/>
      <c r="U819" s="20"/>
      <c r="V819" s="20"/>
      <c r="W819" s="20"/>
      <c r="X819" s="20"/>
      <c r="Y819" s="20"/>
      <c r="Z819" s="20"/>
    </row>
    <row r="820" ht="13.5" customHeight="1" spans="1:26">
      <c r="A820" s="20"/>
      <c r="B820" s="20"/>
      <c r="C820" s="20"/>
      <c r="D820" s="20"/>
      <c r="E820" s="20"/>
      <c r="F820" s="20"/>
      <c r="G820" s="20"/>
      <c r="H820" s="20"/>
      <c r="I820" s="20"/>
      <c r="J820" s="20"/>
      <c r="K820" s="20"/>
      <c r="L820" s="20"/>
      <c r="M820" s="20"/>
      <c r="N820" s="20"/>
      <c r="O820" s="20"/>
      <c r="P820" s="20"/>
      <c r="Q820" s="20"/>
      <c r="R820" s="20"/>
      <c r="S820" s="20"/>
      <c r="T820" s="20"/>
      <c r="U820" s="20"/>
      <c r="V820" s="20"/>
      <c r="W820" s="20"/>
      <c r="X820" s="20"/>
      <c r="Y820" s="20"/>
      <c r="Z820" s="20"/>
    </row>
    <row r="821" ht="13.5" customHeight="1" spans="1:26">
      <c r="A821" s="20"/>
      <c r="B821" s="20"/>
      <c r="C821" s="20"/>
      <c r="D821" s="20"/>
      <c r="E821" s="20"/>
      <c r="F821" s="20"/>
      <c r="G821" s="20"/>
      <c r="H821" s="20"/>
      <c r="I821" s="20"/>
      <c r="J821" s="20"/>
      <c r="K821" s="20"/>
      <c r="L821" s="20"/>
      <c r="M821" s="20"/>
      <c r="N821" s="20"/>
      <c r="O821" s="20"/>
      <c r="P821" s="20"/>
      <c r="Q821" s="20"/>
      <c r="R821" s="20"/>
      <c r="S821" s="20"/>
      <c r="T821" s="20"/>
      <c r="U821" s="20"/>
      <c r="V821" s="20"/>
      <c r="W821" s="20"/>
      <c r="X821" s="20"/>
      <c r="Y821" s="20"/>
      <c r="Z821" s="20"/>
    </row>
    <row r="822" ht="13.5" customHeight="1" spans="1:26">
      <c r="A822" s="20"/>
      <c r="B822" s="20"/>
      <c r="C822" s="20"/>
      <c r="D822" s="20"/>
      <c r="E822" s="20"/>
      <c r="F822" s="20"/>
      <c r="G822" s="20"/>
      <c r="H822" s="20"/>
      <c r="I822" s="20"/>
      <c r="J822" s="20"/>
      <c r="K822" s="20"/>
      <c r="L822" s="20"/>
      <c r="M822" s="20"/>
      <c r="N822" s="20"/>
      <c r="O822" s="20"/>
      <c r="P822" s="20"/>
      <c r="Q822" s="20"/>
      <c r="R822" s="20"/>
      <c r="S822" s="20"/>
      <c r="T822" s="20"/>
      <c r="U822" s="20"/>
      <c r="V822" s="20"/>
      <c r="W822" s="20"/>
      <c r="X822" s="20"/>
      <c r="Y822" s="20"/>
      <c r="Z822" s="20"/>
    </row>
    <row r="823" ht="13.5" customHeight="1" spans="1:26">
      <c r="A823" s="20"/>
      <c r="B823" s="20"/>
      <c r="C823" s="20"/>
      <c r="D823" s="20"/>
      <c r="E823" s="20"/>
      <c r="F823" s="20"/>
      <c r="G823" s="20"/>
      <c r="H823" s="20"/>
      <c r="I823" s="20"/>
      <c r="J823" s="20"/>
      <c r="K823" s="20"/>
      <c r="L823" s="20"/>
      <c r="M823" s="20"/>
      <c r="N823" s="20"/>
      <c r="O823" s="20"/>
      <c r="P823" s="20"/>
      <c r="Q823" s="20"/>
      <c r="R823" s="20"/>
      <c r="S823" s="20"/>
      <c r="T823" s="20"/>
      <c r="U823" s="20"/>
      <c r="V823" s="20"/>
      <c r="W823" s="20"/>
      <c r="X823" s="20"/>
      <c r="Y823" s="20"/>
      <c r="Z823" s="20"/>
    </row>
    <row r="824" ht="13.5" customHeight="1" spans="1:26">
      <c r="A824" s="20"/>
      <c r="B824" s="20"/>
      <c r="C824" s="20"/>
      <c r="D824" s="20"/>
      <c r="E824" s="20"/>
      <c r="F824" s="20"/>
      <c r="G824" s="20"/>
      <c r="H824" s="20"/>
      <c r="I824" s="20"/>
      <c r="J824" s="20"/>
      <c r="K824" s="20"/>
      <c r="L824" s="20"/>
      <c r="M824" s="20"/>
      <c r="N824" s="20"/>
      <c r="O824" s="20"/>
      <c r="P824" s="20"/>
      <c r="Q824" s="20"/>
      <c r="R824" s="20"/>
      <c r="S824" s="20"/>
      <c r="T824" s="20"/>
      <c r="U824" s="20"/>
      <c r="V824" s="20"/>
      <c r="W824" s="20"/>
      <c r="X824" s="20"/>
      <c r="Y824" s="20"/>
      <c r="Z824" s="20"/>
    </row>
    <row r="825" ht="13.5" customHeight="1" spans="1:26">
      <c r="A825" s="20"/>
      <c r="B825" s="20"/>
      <c r="C825" s="20"/>
      <c r="D825" s="20"/>
      <c r="E825" s="20"/>
      <c r="F825" s="20"/>
      <c r="G825" s="20"/>
      <c r="H825" s="20"/>
      <c r="I825" s="20"/>
      <c r="J825" s="20"/>
      <c r="K825" s="20"/>
      <c r="L825" s="20"/>
      <c r="M825" s="20"/>
      <c r="N825" s="20"/>
      <c r="O825" s="20"/>
      <c r="P825" s="20"/>
      <c r="Q825" s="20"/>
      <c r="R825" s="20"/>
      <c r="S825" s="20"/>
      <c r="T825" s="20"/>
      <c r="U825" s="20"/>
      <c r="V825" s="20"/>
      <c r="W825" s="20"/>
      <c r="X825" s="20"/>
      <c r="Y825" s="20"/>
      <c r="Z825" s="20"/>
    </row>
    <row r="826" ht="13.5" customHeight="1" spans="1:26">
      <c r="A826" s="20"/>
      <c r="B826" s="20"/>
      <c r="C826" s="20"/>
      <c r="D826" s="20"/>
      <c r="E826" s="20"/>
      <c r="F826" s="20"/>
      <c r="G826" s="20"/>
      <c r="H826" s="20"/>
      <c r="I826" s="20"/>
      <c r="J826" s="20"/>
      <c r="K826" s="20"/>
      <c r="L826" s="20"/>
      <c r="M826" s="20"/>
      <c r="N826" s="20"/>
      <c r="O826" s="20"/>
      <c r="P826" s="20"/>
      <c r="Q826" s="20"/>
      <c r="R826" s="20"/>
      <c r="S826" s="20"/>
      <c r="T826" s="20"/>
      <c r="U826" s="20"/>
      <c r="V826" s="20"/>
      <c r="W826" s="20"/>
      <c r="X826" s="20"/>
      <c r="Y826" s="20"/>
      <c r="Z826" s="20"/>
    </row>
    <row r="827" ht="13.5" customHeight="1" spans="1:26">
      <c r="A827" s="20"/>
      <c r="B827" s="20"/>
      <c r="C827" s="20"/>
      <c r="D827" s="20"/>
      <c r="E827" s="20"/>
      <c r="F827" s="20"/>
      <c r="G827" s="20"/>
      <c r="H827" s="20"/>
      <c r="I827" s="20"/>
      <c r="J827" s="20"/>
      <c r="K827" s="20"/>
      <c r="L827" s="20"/>
      <c r="M827" s="20"/>
      <c r="N827" s="20"/>
      <c r="O827" s="20"/>
      <c r="P827" s="20"/>
      <c r="Q827" s="20"/>
      <c r="R827" s="20"/>
      <c r="S827" s="20"/>
      <c r="T827" s="20"/>
      <c r="U827" s="20"/>
      <c r="V827" s="20"/>
      <c r="W827" s="20"/>
      <c r="X827" s="20"/>
      <c r="Y827" s="20"/>
      <c r="Z827" s="20"/>
    </row>
    <row r="828" ht="13.5" customHeight="1" spans="1:26">
      <c r="A828" s="20"/>
      <c r="B828" s="20"/>
      <c r="C828" s="20"/>
      <c r="D828" s="20"/>
      <c r="E828" s="20"/>
      <c r="F828" s="20"/>
      <c r="G828" s="20"/>
      <c r="H828" s="20"/>
      <c r="I828" s="20"/>
      <c r="J828" s="20"/>
      <c r="K828" s="20"/>
      <c r="L828" s="20"/>
      <c r="M828" s="20"/>
      <c r="N828" s="20"/>
      <c r="O828" s="20"/>
      <c r="P828" s="20"/>
      <c r="Q828" s="20"/>
      <c r="R828" s="20"/>
      <c r="S828" s="20"/>
      <c r="T828" s="20"/>
      <c r="U828" s="20"/>
      <c r="V828" s="20"/>
      <c r="W828" s="20"/>
      <c r="X828" s="20"/>
      <c r="Y828" s="20"/>
      <c r="Z828" s="20"/>
    </row>
    <row r="829" ht="13.5" customHeight="1" spans="1:26">
      <c r="A829" s="20"/>
      <c r="B829" s="20"/>
      <c r="C829" s="20"/>
      <c r="D829" s="20"/>
      <c r="E829" s="20"/>
      <c r="F829" s="20"/>
      <c r="G829" s="20"/>
      <c r="H829" s="20"/>
      <c r="I829" s="20"/>
      <c r="J829" s="20"/>
      <c r="K829" s="20"/>
      <c r="L829" s="20"/>
      <c r="M829" s="20"/>
      <c r="N829" s="20"/>
      <c r="O829" s="20"/>
      <c r="P829" s="20"/>
      <c r="Q829" s="20"/>
      <c r="R829" s="20"/>
      <c r="S829" s="20"/>
      <c r="T829" s="20"/>
      <c r="U829" s="20"/>
      <c r="V829" s="20"/>
      <c r="W829" s="20"/>
      <c r="X829" s="20"/>
      <c r="Y829" s="20"/>
      <c r="Z829" s="20"/>
    </row>
    <row r="830" ht="13.5" customHeight="1" spans="1:26">
      <c r="A830" s="20"/>
      <c r="B830" s="20"/>
      <c r="C830" s="20"/>
      <c r="D830" s="20"/>
      <c r="E830" s="20"/>
      <c r="F830" s="20"/>
      <c r="G830" s="20"/>
      <c r="H830" s="20"/>
      <c r="I830" s="20"/>
      <c r="J830" s="20"/>
      <c r="K830" s="20"/>
      <c r="L830" s="20"/>
      <c r="M830" s="20"/>
      <c r="N830" s="20"/>
      <c r="O830" s="20"/>
      <c r="P830" s="20"/>
      <c r="Q830" s="20"/>
      <c r="R830" s="20"/>
      <c r="S830" s="20"/>
      <c r="T830" s="20"/>
      <c r="U830" s="20"/>
      <c r="V830" s="20"/>
      <c r="W830" s="20"/>
      <c r="X830" s="20"/>
      <c r="Y830" s="20"/>
      <c r="Z830" s="20"/>
    </row>
    <row r="831" ht="13.5" customHeight="1" spans="1:26">
      <c r="A831" s="20"/>
      <c r="B831" s="20"/>
      <c r="C831" s="20"/>
      <c r="D831" s="20"/>
      <c r="E831" s="20"/>
      <c r="F831" s="20"/>
      <c r="G831" s="20"/>
      <c r="H831" s="20"/>
      <c r="I831" s="20"/>
      <c r="J831" s="20"/>
      <c r="K831" s="20"/>
      <c r="L831" s="20"/>
      <c r="M831" s="20"/>
      <c r="N831" s="20"/>
      <c r="O831" s="20"/>
      <c r="P831" s="20"/>
      <c r="Q831" s="20"/>
      <c r="R831" s="20"/>
      <c r="S831" s="20"/>
      <c r="T831" s="20"/>
      <c r="U831" s="20"/>
      <c r="V831" s="20"/>
      <c r="W831" s="20"/>
      <c r="X831" s="20"/>
      <c r="Y831" s="20"/>
      <c r="Z831" s="20"/>
    </row>
    <row r="832" ht="13.5" customHeight="1" spans="1:26">
      <c r="A832" s="20"/>
      <c r="B832" s="20"/>
      <c r="C832" s="20"/>
      <c r="D832" s="20"/>
      <c r="E832" s="20"/>
      <c r="F832" s="20"/>
      <c r="G832" s="20"/>
      <c r="H832" s="20"/>
      <c r="I832" s="20"/>
      <c r="J832" s="20"/>
      <c r="K832" s="20"/>
      <c r="L832" s="20"/>
      <c r="M832" s="20"/>
      <c r="N832" s="20"/>
      <c r="O832" s="20"/>
      <c r="P832" s="20"/>
      <c r="Q832" s="20"/>
      <c r="R832" s="20"/>
      <c r="S832" s="20"/>
      <c r="T832" s="20"/>
      <c r="U832" s="20"/>
      <c r="V832" s="20"/>
      <c r="W832" s="20"/>
      <c r="X832" s="20"/>
      <c r="Y832" s="20"/>
      <c r="Z832" s="20"/>
    </row>
    <row r="833" ht="13.5" customHeight="1" spans="1:26">
      <c r="A833" s="20"/>
      <c r="B833" s="20"/>
      <c r="C833" s="20"/>
      <c r="D833" s="20"/>
      <c r="E833" s="20"/>
      <c r="F833" s="20"/>
      <c r="G833" s="20"/>
      <c r="H833" s="20"/>
      <c r="I833" s="20"/>
      <c r="J833" s="20"/>
      <c r="K833" s="20"/>
      <c r="L833" s="20"/>
      <c r="M833" s="20"/>
      <c r="N833" s="20"/>
      <c r="O833" s="20"/>
      <c r="P833" s="20"/>
      <c r="Q833" s="20"/>
      <c r="R833" s="20"/>
      <c r="S833" s="20"/>
      <c r="T833" s="20"/>
      <c r="U833" s="20"/>
      <c r="V833" s="20"/>
      <c r="W833" s="20"/>
      <c r="X833" s="20"/>
      <c r="Y833" s="20"/>
      <c r="Z833" s="20"/>
    </row>
    <row r="834" ht="13.5" customHeight="1" spans="1:26">
      <c r="A834" s="20"/>
      <c r="B834" s="20"/>
      <c r="C834" s="20"/>
      <c r="D834" s="20"/>
      <c r="E834" s="20"/>
      <c r="F834" s="20"/>
      <c r="G834" s="20"/>
      <c r="H834" s="20"/>
      <c r="I834" s="20"/>
      <c r="J834" s="20"/>
      <c r="K834" s="20"/>
      <c r="L834" s="20"/>
      <c r="M834" s="20"/>
      <c r="N834" s="20"/>
      <c r="O834" s="20"/>
      <c r="P834" s="20"/>
      <c r="Q834" s="20"/>
      <c r="R834" s="20"/>
      <c r="S834" s="20"/>
      <c r="T834" s="20"/>
      <c r="U834" s="20"/>
      <c r="V834" s="20"/>
      <c r="W834" s="20"/>
      <c r="X834" s="20"/>
      <c r="Y834" s="20"/>
      <c r="Z834" s="20"/>
    </row>
    <row r="835" ht="13.5" customHeight="1" spans="1:26">
      <c r="A835" s="20"/>
      <c r="B835" s="20"/>
      <c r="C835" s="20"/>
      <c r="D835" s="20"/>
      <c r="E835" s="20"/>
      <c r="F835" s="20"/>
      <c r="G835" s="20"/>
      <c r="H835" s="20"/>
      <c r="I835" s="20"/>
      <c r="J835" s="20"/>
      <c r="K835" s="20"/>
      <c r="L835" s="20"/>
      <c r="M835" s="20"/>
      <c r="N835" s="20"/>
      <c r="O835" s="20"/>
      <c r="P835" s="20"/>
      <c r="Q835" s="20"/>
      <c r="R835" s="20"/>
      <c r="S835" s="20"/>
      <c r="T835" s="20"/>
      <c r="U835" s="20"/>
      <c r="V835" s="20"/>
      <c r="W835" s="20"/>
      <c r="X835" s="20"/>
      <c r="Y835" s="20"/>
      <c r="Z835" s="20"/>
    </row>
    <row r="836" ht="13.5" customHeight="1" spans="1:26">
      <c r="A836" s="20"/>
      <c r="B836" s="20"/>
      <c r="C836" s="20"/>
      <c r="D836" s="20"/>
      <c r="E836" s="20"/>
      <c r="F836" s="20"/>
      <c r="G836" s="20"/>
      <c r="H836" s="20"/>
      <c r="I836" s="20"/>
      <c r="J836" s="20"/>
      <c r="K836" s="20"/>
      <c r="L836" s="20"/>
      <c r="M836" s="20"/>
      <c r="N836" s="20"/>
      <c r="O836" s="20"/>
      <c r="P836" s="20"/>
      <c r="Q836" s="20"/>
      <c r="R836" s="20"/>
      <c r="S836" s="20"/>
      <c r="T836" s="20"/>
      <c r="U836" s="20"/>
      <c r="V836" s="20"/>
      <c r="W836" s="20"/>
      <c r="X836" s="20"/>
      <c r="Y836" s="20"/>
      <c r="Z836" s="20"/>
    </row>
    <row r="837" ht="13.5" customHeight="1" spans="1:26">
      <c r="A837" s="20"/>
      <c r="B837" s="20"/>
      <c r="C837" s="20"/>
      <c r="D837" s="20"/>
      <c r="E837" s="20"/>
      <c r="F837" s="20"/>
      <c r="G837" s="20"/>
      <c r="H837" s="20"/>
      <c r="I837" s="20"/>
      <c r="J837" s="20"/>
      <c r="K837" s="20"/>
      <c r="L837" s="20"/>
      <c r="M837" s="20"/>
      <c r="N837" s="20"/>
      <c r="O837" s="20"/>
      <c r="P837" s="20"/>
      <c r="Q837" s="20"/>
      <c r="R837" s="20"/>
      <c r="S837" s="20"/>
      <c r="T837" s="20"/>
      <c r="U837" s="20"/>
      <c r="V837" s="20"/>
      <c r="W837" s="20"/>
      <c r="X837" s="20"/>
      <c r="Y837" s="20"/>
      <c r="Z837" s="20"/>
    </row>
    <row r="838" ht="13.5" customHeight="1" spans="1:26">
      <c r="A838" s="20"/>
      <c r="B838" s="20"/>
      <c r="C838" s="20"/>
      <c r="D838" s="20"/>
      <c r="E838" s="20"/>
      <c r="F838" s="20"/>
      <c r="G838" s="20"/>
      <c r="H838" s="20"/>
      <c r="I838" s="20"/>
      <c r="J838" s="20"/>
      <c r="K838" s="20"/>
      <c r="L838" s="20"/>
      <c r="M838" s="20"/>
      <c r="N838" s="20"/>
      <c r="O838" s="20"/>
      <c r="P838" s="20"/>
      <c r="Q838" s="20"/>
      <c r="R838" s="20"/>
      <c r="S838" s="20"/>
      <c r="T838" s="20"/>
      <c r="U838" s="20"/>
      <c r="V838" s="20"/>
      <c r="W838" s="20"/>
      <c r="X838" s="20"/>
      <c r="Y838" s="20"/>
      <c r="Z838" s="20"/>
    </row>
    <row r="839" ht="13.5" customHeight="1" spans="1:26">
      <c r="A839" s="20"/>
      <c r="B839" s="20"/>
      <c r="C839" s="20"/>
      <c r="D839" s="20"/>
      <c r="E839" s="20"/>
      <c r="F839" s="20"/>
      <c r="G839" s="20"/>
      <c r="H839" s="20"/>
      <c r="I839" s="20"/>
      <c r="J839" s="20"/>
      <c r="K839" s="20"/>
      <c r="L839" s="20"/>
      <c r="M839" s="20"/>
      <c r="N839" s="20"/>
      <c r="O839" s="20"/>
      <c r="P839" s="20"/>
      <c r="Q839" s="20"/>
      <c r="R839" s="20"/>
      <c r="S839" s="20"/>
      <c r="T839" s="20"/>
      <c r="U839" s="20"/>
      <c r="V839" s="20"/>
      <c r="W839" s="20"/>
      <c r="X839" s="20"/>
      <c r="Y839" s="20"/>
      <c r="Z839" s="20"/>
    </row>
    <row r="840" ht="13.5" customHeight="1" spans="1:26">
      <c r="A840" s="20"/>
      <c r="B840" s="20"/>
      <c r="C840" s="20"/>
      <c r="D840" s="20"/>
      <c r="E840" s="20"/>
      <c r="F840" s="20"/>
      <c r="G840" s="20"/>
      <c r="H840" s="20"/>
      <c r="I840" s="20"/>
      <c r="J840" s="20"/>
      <c r="K840" s="20"/>
      <c r="L840" s="20"/>
      <c r="M840" s="20"/>
      <c r="N840" s="20"/>
      <c r="O840" s="20"/>
      <c r="P840" s="20"/>
      <c r="Q840" s="20"/>
      <c r="R840" s="20"/>
      <c r="S840" s="20"/>
      <c r="T840" s="20"/>
      <c r="U840" s="20"/>
      <c r="V840" s="20"/>
      <c r="W840" s="20"/>
      <c r="X840" s="20"/>
      <c r="Y840" s="20"/>
      <c r="Z840" s="20"/>
    </row>
    <row r="841" ht="13.5" customHeight="1" spans="1:26">
      <c r="A841" s="20"/>
      <c r="B841" s="20"/>
      <c r="C841" s="20"/>
      <c r="D841" s="20"/>
      <c r="E841" s="20"/>
      <c r="F841" s="20"/>
      <c r="G841" s="20"/>
      <c r="H841" s="20"/>
      <c r="I841" s="20"/>
      <c r="J841" s="20"/>
      <c r="K841" s="20"/>
      <c r="L841" s="20"/>
      <c r="M841" s="20"/>
      <c r="N841" s="20"/>
      <c r="O841" s="20"/>
      <c r="P841" s="20"/>
      <c r="Q841" s="20"/>
      <c r="R841" s="20"/>
      <c r="S841" s="20"/>
      <c r="T841" s="20"/>
      <c r="U841" s="20"/>
      <c r="V841" s="20"/>
      <c r="W841" s="20"/>
      <c r="X841" s="20"/>
      <c r="Y841" s="20"/>
      <c r="Z841" s="20"/>
    </row>
    <row r="842" ht="13.5" customHeight="1" spans="1:26">
      <c r="A842" s="20"/>
      <c r="B842" s="20"/>
      <c r="C842" s="20"/>
      <c r="D842" s="20"/>
      <c r="E842" s="20"/>
      <c r="F842" s="20"/>
      <c r="G842" s="20"/>
      <c r="H842" s="20"/>
      <c r="I842" s="20"/>
      <c r="J842" s="20"/>
      <c r="K842" s="20"/>
      <c r="L842" s="20"/>
      <c r="M842" s="20"/>
      <c r="N842" s="20"/>
      <c r="O842" s="20"/>
      <c r="P842" s="20"/>
      <c r="Q842" s="20"/>
      <c r="R842" s="20"/>
      <c r="S842" s="20"/>
      <c r="T842" s="20"/>
      <c r="U842" s="20"/>
      <c r="V842" s="20"/>
      <c r="W842" s="20"/>
      <c r="X842" s="20"/>
      <c r="Y842" s="20"/>
      <c r="Z842" s="20"/>
    </row>
    <row r="843" ht="13.5" customHeight="1" spans="1:26">
      <c r="A843" s="20"/>
      <c r="B843" s="20"/>
      <c r="C843" s="20"/>
      <c r="D843" s="20"/>
      <c r="E843" s="20"/>
      <c r="F843" s="20"/>
      <c r="G843" s="20"/>
      <c r="H843" s="20"/>
      <c r="I843" s="20"/>
      <c r="J843" s="20"/>
      <c r="K843" s="20"/>
      <c r="L843" s="20"/>
      <c r="M843" s="20"/>
      <c r="N843" s="20"/>
      <c r="O843" s="20"/>
      <c r="P843" s="20"/>
      <c r="Q843" s="20"/>
      <c r="R843" s="20"/>
      <c r="S843" s="20"/>
      <c r="T843" s="20"/>
      <c r="U843" s="20"/>
      <c r="V843" s="20"/>
      <c r="W843" s="20"/>
      <c r="X843" s="20"/>
      <c r="Y843" s="20"/>
      <c r="Z843" s="20"/>
    </row>
    <row r="844" ht="13.5" customHeight="1" spans="1:26">
      <c r="A844" s="20"/>
      <c r="B844" s="20"/>
      <c r="C844" s="20"/>
      <c r="D844" s="20"/>
      <c r="E844" s="20"/>
      <c r="F844" s="20"/>
      <c r="G844" s="20"/>
      <c r="H844" s="20"/>
      <c r="I844" s="20"/>
      <c r="J844" s="20"/>
      <c r="K844" s="20"/>
      <c r="L844" s="20"/>
      <c r="M844" s="20"/>
      <c r="N844" s="20"/>
      <c r="O844" s="20"/>
      <c r="P844" s="20"/>
      <c r="Q844" s="20"/>
      <c r="R844" s="20"/>
      <c r="S844" s="20"/>
      <c r="T844" s="20"/>
      <c r="U844" s="20"/>
      <c r="V844" s="20"/>
      <c r="W844" s="20"/>
      <c r="X844" s="20"/>
      <c r="Y844" s="20"/>
      <c r="Z844" s="20"/>
    </row>
    <row r="845" ht="13.5" customHeight="1" spans="1:26">
      <c r="A845" s="20"/>
      <c r="B845" s="20"/>
      <c r="C845" s="20"/>
      <c r="D845" s="20"/>
      <c r="E845" s="20"/>
      <c r="F845" s="20"/>
      <c r="G845" s="20"/>
      <c r="H845" s="20"/>
      <c r="I845" s="20"/>
      <c r="J845" s="20"/>
      <c r="K845" s="20"/>
      <c r="L845" s="20"/>
      <c r="M845" s="20"/>
      <c r="N845" s="20"/>
      <c r="O845" s="20"/>
      <c r="P845" s="20"/>
      <c r="Q845" s="20"/>
      <c r="R845" s="20"/>
      <c r="S845" s="20"/>
      <c r="T845" s="20"/>
      <c r="U845" s="20"/>
      <c r="V845" s="20"/>
      <c r="W845" s="20"/>
      <c r="X845" s="20"/>
      <c r="Y845" s="20"/>
      <c r="Z845" s="20"/>
    </row>
    <row r="846" ht="13.5" customHeight="1" spans="1:26">
      <c r="A846" s="20"/>
      <c r="B846" s="20"/>
      <c r="C846" s="20"/>
      <c r="D846" s="20"/>
      <c r="E846" s="20"/>
      <c r="F846" s="20"/>
      <c r="G846" s="20"/>
      <c r="H846" s="20"/>
      <c r="I846" s="20"/>
      <c r="J846" s="20"/>
      <c r="K846" s="20"/>
      <c r="L846" s="20"/>
      <c r="M846" s="20"/>
      <c r="N846" s="20"/>
      <c r="O846" s="20"/>
      <c r="P846" s="20"/>
      <c r="Q846" s="20"/>
      <c r="R846" s="20"/>
      <c r="S846" s="20"/>
      <c r="T846" s="20"/>
      <c r="U846" s="20"/>
      <c r="V846" s="20"/>
      <c r="W846" s="20"/>
      <c r="X846" s="20"/>
      <c r="Y846" s="20"/>
      <c r="Z846" s="20"/>
    </row>
    <row r="847" ht="13.5" customHeight="1" spans="1:26">
      <c r="A847" s="20"/>
      <c r="B847" s="20"/>
      <c r="C847" s="20"/>
      <c r="D847" s="20"/>
      <c r="E847" s="20"/>
      <c r="F847" s="20"/>
      <c r="G847" s="20"/>
      <c r="H847" s="20"/>
      <c r="I847" s="20"/>
      <c r="J847" s="20"/>
      <c r="K847" s="20"/>
      <c r="L847" s="20"/>
      <c r="M847" s="20"/>
      <c r="N847" s="20"/>
      <c r="O847" s="20"/>
      <c r="P847" s="20"/>
      <c r="Q847" s="20"/>
      <c r="R847" s="20"/>
      <c r="S847" s="20"/>
      <c r="T847" s="20"/>
      <c r="U847" s="20"/>
      <c r="V847" s="20"/>
      <c r="W847" s="20"/>
      <c r="X847" s="20"/>
      <c r="Y847" s="20"/>
      <c r="Z847" s="20"/>
    </row>
    <row r="848" ht="13.5" customHeight="1" spans="1:26">
      <c r="A848" s="20"/>
      <c r="B848" s="20"/>
      <c r="C848" s="20"/>
      <c r="D848" s="20"/>
      <c r="E848" s="20"/>
      <c r="F848" s="20"/>
      <c r="G848" s="20"/>
      <c r="H848" s="20"/>
      <c r="I848" s="20"/>
      <c r="J848" s="20"/>
      <c r="K848" s="20"/>
      <c r="L848" s="20"/>
      <c r="M848" s="20"/>
      <c r="N848" s="20"/>
      <c r="O848" s="20"/>
      <c r="P848" s="20"/>
      <c r="Q848" s="20"/>
      <c r="R848" s="20"/>
      <c r="S848" s="20"/>
      <c r="T848" s="20"/>
      <c r="U848" s="20"/>
      <c r="V848" s="20"/>
      <c r="W848" s="20"/>
      <c r="X848" s="20"/>
      <c r="Y848" s="20"/>
      <c r="Z848" s="20"/>
    </row>
    <row r="849" ht="13.5" customHeight="1" spans="1:26">
      <c r="A849" s="20"/>
      <c r="B849" s="20"/>
      <c r="C849" s="20"/>
      <c r="D849" s="20"/>
      <c r="E849" s="20"/>
      <c r="F849" s="20"/>
      <c r="G849" s="20"/>
      <c r="H849" s="20"/>
      <c r="I849" s="20"/>
      <c r="J849" s="20"/>
      <c r="K849" s="20"/>
      <c r="L849" s="20"/>
      <c r="M849" s="20"/>
      <c r="N849" s="20"/>
      <c r="O849" s="20"/>
      <c r="P849" s="20"/>
      <c r="Q849" s="20"/>
      <c r="R849" s="20"/>
      <c r="S849" s="20"/>
      <c r="T849" s="20"/>
      <c r="U849" s="20"/>
      <c r="V849" s="20"/>
      <c r="W849" s="20"/>
      <c r="X849" s="20"/>
      <c r="Y849" s="20"/>
      <c r="Z849" s="20"/>
    </row>
    <row r="850" ht="13.5" customHeight="1" spans="1:26">
      <c r="A850" s="20"/>
      <c r="B850" s="20"/>
      <c r="C850" s="20"/>
      <c r="D850" s="20"/>
      <c r="E850" s="20"/>
      <c r="F850" s="20"/>
      <c r="G850" s="20"/>
      <c r="H850" s="20"/>
      <c r="I850" s="20"/>
      <c r="J850" s="20"/>
      <c r="K850" s="20"/>
      <c r="L850" s="20"/>
      <c r="M850" s="20"/>
      <c r="N850" s="20"/>
      <c r="O850" s="20"/>
      <c r="P850" s="20"/>
      <c r="Q850" s="20"/>
      <c r="R850" s="20"/>
      <c r="S850" s="20"/>
      <c r="T850" s="20"/>
      <c r="U850" s="20"/>
      <c r="V850" s="20"/>
      <c r="W850" s="20"/>
      <c r="X850" s="20"/>
      <c r="Y850" s="20"/>
      <c r="Z850" s="20"/>
    </row>
    <row r="851" ht="13.5" customHeight="1" spans="1:26">
      <c r="A851" s="20"/>
      <c r="B851" s="20"/>
      <c r="C851" s="20"/>
      <c r="D851" s="20"/>
      <c r="E851" s="20"/>
      <c r="F851" s="20"/>
      <c r="G851" s="20"/>
      <c r="H851" s="20"/>
      <c r="I851" s="20"/>
      <c r="J851" s="20"/>
      <c r="K851" s="20"/>
      <c r="L851" s="20"/>
      <c r="M851" s="20"/>
      <c r="N851" s="20"/>
      <c r="O851" s="20"/>
      <c r="P851" s="20"/>
      <c r="Q851" s="20"/>
      <c r="R851" s="20"/>
      <c r="S851" s="20"/>
      <c r="T851" s="20"/>
      <c r="U851" s="20"/>
      <c r="V851" s="20"/>
      <c r="W851" s="20"/>
      <c r="X851" s="20"/>
      <c r="Y851" s="20"/>
      <c r="Z851" s="20"/>
    </row>
    <row r="852" ht="13.5" customHeight="1" spans="1:26">
      <c r="A852" s="20"/>
      <c r="B852" s="20"/>
      <c r="C852" s="20"/>
      <c r="D852" s="20"/>
      <c r="E852" s="20"/>
      <c r="F852" s="20"/>
      <c r="G852" s="20"/>
      <c r="H852" s="20"/>
      <c r="I852" s="20"/>
      <c r="J852" s="20"/>
      <c r="K852" s="20"/>
      <c r="L852" s="20"/>
      <c r="M852" s="20"/>
      <c r="N852" s="20"/>
      <c r="O852" s="20"/>
      <c r="P852" s="20"/>
      <c r="Q852" s="20"/>
      <c r="R852" s="20"/>
      <c r="S852" s="20"/>
      <c r="T852" s="20"/>
      <c r="U852" s="20"/>
      <c r="V852" s="20"/>
      <c r="W852" s="20"/>
      <c r="X852" s="20"/>
      <c r="Y852" s="20"/>
      <c r="Z852" s="20"/>
    </row>
    <row r="853" ht="13.5" customHeight="1" spans="1:26">
      <c r="A853" s="20"/>
      <c r="B853" s="20"/>
      <c r="C853" s="20"/>
      <c r="D853" s="20"/>
      <c r="E853" s="20"/>
      <c r="F853" s="20"/>
      <c r="G853" s="20"/>
      <c r="H853" s="20"/>
      <c r="I853" s="20"/>
      <c r="J853" s="20"/>
      <c r="K853" s="20"/>
      <c r="L853" s="20"/>
      <c r="M853" s="20"/>
      <c r="N853" s="20"/>
      <c r="O853" s="20"/>
      <c r="P853" s="20"/>
      <c r="Q853" s="20"/>
      <c r="R853" s="20"/>
      <c r="S853" s="20"/>
      <c r="T853" s="20"/>
      <c r="U853" s="20"/>
      <c r="V853" s="20"/>
      <c r="W853" s="20"/>
      <c r="X853" s="20"/>
      <c r="Y853" s="20"/>
      <c r="Z853" s="20"/>
    </row>
    <row r="854" ht="13.5" customHeight="1" spans="1:26">
      <c r="A854" s="20"/>
      <c r="B854" s="20"/>
      <c r="C854" s="20"/>
      <c r="D854" s="20"/>
      <c r="E854" s="20"/>
      <c r="F854" s="20"/>
      <c r="G854" s="20"/>
      <c r="H854" s="20"/>
      <c r="I854" s="20"/>
      <c r="J854" s="20"/>
      <c r="K854" s="20"/>
      <c r="L854" s="20"/>
      <c r="M854" s="20"/>
      <c r="N854" s="20"/>
      <c r="O854" s="20"/>
      <c r="P854" s="20"/>
      <c r="Q854" s="20"/>
      <c r="R854" s="20"/>
      <c r="S854" s="20"/>
      <c r="T854" s="20"/>
      <c r="U854" s="20"/>
      <c r="V854" s="20"/>
      <c r="W854" s="20"/>
      <c r="X854" s="20"/>
      <c r="Y854" s="20"/>
      <c r="Z854" s="20"/>
    </row>
    <row r="855" ht="13.5" customHeight="1" spans="1:26">
      <c r="A855" s="20"/>
      <c r="B855" s="20"/>
      <c r="C855" s="20"/>
      <c r="D855" s="20"/>
      <c r="E855" s="20"/>
      <c r="F855" s="20"/>
      <c r="G855" s="20"/>
      <c r="H855" s="20"/>
      <c r="I855" s="20"/>
      <c r="J855" s="20"/>
      <c r="K855" s="20"/>
      <c r="L855" s="20"/>
      <c r="M855" s="20"/>
      <c r="N855" s="20"/>
      <c r="O855" s="20"/>
      <c r="P855" s="20"/>
      <c r="Q855" s="20"/>
      <c r="R855" s="20"/>
      <c r="S855" s="20"/>
      <c r="T855" s="20"/>
      <c r="U855" s="20"/>
      <c r="V855" s="20"/>
      <c r="W855" s="20"/>
      <c r="X855" s="20"/>
      <c r="Y855" s="20"/>
      <c r="Z855" s="20"/>
    </row>
    <row r="856" ht="13.5" customHeight="1" spans="1:26">
      <c r="A856" s="20"/>
      <c r="B856" s="20"/>
      <c r="C856" s="20"/>
      <c r="D856" s="20"/>
      <c r="E856" s="20"/>
      <c r="F856" s="20"/>
      <c r="G856" s="20"/>
      <c r="H856" s="20"/>
      <c r="I856" s="20"/>
      <c r="J856" s="20"/>
      <c r="K856" s="20"/>
      <c r="L856" s="20"/>
      <c r="M856" s="20"/>
      <c r="N856" s="20"/>
      <c r="O856" s="20"/>
      <c r="P856" s="20"/>
      <c r="Q856" s="20"/>
      <c r="R856" s="20"/>
      <c r="S856" s="20"/>
      <c r="T856" s="20"/>
      <c r="U856" s="20"/>
      <c r="V856" s="20"/>
      <c r="W856" s="20"/>
      <c r="X856" s="20"/>
      <c r="Y856" s="20"/>
      <c r="Z856" s="20"/>
    </row>
    <row r="857" ht="13.5" customHeight="1" spans="1:26">
      <c r="A857" s="20"/>
      <c r="B857" s="20"/>
      <c r="C857" s="20"/>
      <c r="D857" s="20"/>
      <c r="E857" s="20"/>
      <c r="F857" s="20"/>
      <c r="G857" s="20"/>
      <c r="H857" s="20"/>
      <c r="I857" s="20"/>
      <c r="J857" s="20"/>
      <c r="K857" s="20"/>
      <c r="L857" s="20"/>
      <c r="M857" s="20"/>
      <c r="N857" s="20"/>
      <c r="O857" s="20"/>
      <c r="P857" s="20"/>
      <c r="Q857" s="20"/>
      <c r="R857" s="20"/>
      <c r="S857" s="20"/>
      <c r="T857" s="20"/>
      <c r="U857" s="20"/>
      <c r="V857" s="20"/>
      <c r="W857" s="20"/>
      <c r="X857" s="20"/>
      <c r="Y857" s="20"/>
      <c r="Z857" s="20"/>
    </row>
    <row r="858" ht="13.5" customHeight="1" spans="1:26">
      <c r="A858" s="20"/>
      <c r="B858" s="20"/>
      <c r="C858" s="20"/>
      <c r="D858" s="20"/>
      <c r="E858" s="20"/>
      <c r="F858" s="20"/>
      <c r="G858" s="20"/>
      <c r="H858" s="20"/>
      <c r="I858" s="20"/>
      <c r="J858" s="20"/>
      <c r="K858" s="20"/>
      <c r="L858" s="20"/>
      <c r="M858" s="20"/>
      <c r="N858" s="20"/>
      <c r="O858" s="20"/>
      <c r="P858" s="20"/>
      <c r="Q858" s="20"/>
      <c r="R858" s="20"/>
      <c r="S858" s="20"/>
      <c r="T858" s="20"/>
      <c r="U858" s="20"/>
      <c r="V858" s="20"/>
      <c r="W858" s="20"/>
      <c r="X858" s="20"/>
      <c r="Y858" s="20"/>
      <c r="Z858" s="20"/>
    </row>
    <row r="859" ht="13.5" customHeight="1" spans="1:26">
      <c r="A859" s="20"/>
      <c r="B859" s="20"/>
      <c r="C859" s="20"/>
      <c r="D859" s="20"/>
      <c r="E859" s="20"/>
      <c r="F859" s="20"/>
      <c r="G859" s="20"/>
      <c r="H859" s="20"/>
      <c r="I859" s="20"/>
      <c r="J859" s="20"/>
      <c r="K859" s="20"/>
      <c r="L859" s="20"/>
      <c r="M859" s="20"/>
      <c r="N859" s="20"/>
      <c r="O859" s="20"/>
      <c r="P859" s="20"/>
      <c r="Q859" s="20"/>
      <c r="R859" s="20"/>
      <c r="S859" s="20"/>
      <c r="T859" s="20"/>
      <c r="U859" s="20"/>
      <c r="V859" s="20"/>
      <c r="W859" s="20"/>
      <c r="X859" s="20"/>
      <c r="Y859" s="20"/>
      <c r="Z859" s="20"/>
    </row>
    <row r="860" ht="13.5" customHeight="1" spans="1:26">
      <c r="A860" s="20"/>
      <c r="B860" s="20"/>
      <c r="C860" s="20"/>
      <c r="D860" s="20"/>
      <c r="E860" s="20"/>
      <c r="F860" s="20"/>
      <c r="G860" s="20"/>
      <c r="H860" s="20"/>
      <c r="I860" s="20"/>
      <c r="J860" s="20"/>
      <c r="K860" s="20"/>
      <c r="L860" s="20"/>
      <c r="M860" s="20"/>
      <c r="N860" s="20"/>
      <c r="O860" s="20"/>
      <c r="P860" s="20"/>
      <c r="Q860" s="20"/>
      <c r="R860" s="20"/>
      <c r="S860" s="20"/>
      <c r="T860" s="20"/>
      <c r="U860" s="20"/>
      <c r="V860" s="20"/>
      <c r="W860" s="20"/>
      <c r="X860" s="20"/>
      <c r="Y860" s="20"/>
      <c r="Z860" s="20"/>
    </row>
    <row r="861" ht="13.5" customHeight="1" spans="1:26">
      <c r="A861" s="20"/>
      <c r="B861" s="20"/>
      <c r="C861" s="20"/>
      <c r="D861" s="20"/>
      <c r="E861" s="20"/>
      <c r="F861" s="20"/>
      <c r="G861" s="20"/>
      <c r="H861" s="20"/>
      <c r="I861" s="20"/>
      <c r="J861" s="20"/>
      <c r="K861" s="20"/>
      <c r="L861" s="20"/>
      <c r="M861" s="20"/>
      <c r="N861" s="20"/>
      <c r="O861" s="20"/>
      <c r="P861" s="20"/>
      <c r="Q861" s="20"/>
      <c r="R861" s="20"/>
      <c r="S861" s="20"/>
      <c r="T861" s="20"/>
      <c r="U861" s="20"/>
      <c r="V861" s="20"/>
      <c r="W861" s="20"/>
      <c r="X861" s="20"/>
      <c r="Y861" s="20"/>
      <c r="Z861" s="20"/>
    </row>
    <row r="862" ht="13.5" customHeight="1" spans="1:26">
      <c r="A862" s="20"/>
      <c r="B862" s="20"/>
      <c r="C862" s="20"/>
      <c r="D862" s="20"/>
      <c r="E862" s="20"/>
      <c r="F862" s="20"/>
      <c r="G862" s="20"/>
      <c r="H862" s="20"/>
      <c r="I862" s="20"/>
      <c r="J862" s="20"/>
      <c r="K862" s="20"/>
      <c r="L862" s="20"/>
      <c r="M862" s="20"/>
      <c r="N862" s="20"/>
      <c r="O862" s="20"/>
      <c r="P862" s="20"/>
      <c r="Q862" s="20"/>
      <c r="R862" s="20"/>
      <c r="S862" s="20"/>
      <c r="T862" s="20"/>
      <c r="U862" s="20"/>
      <c r="V862" s="20"/>
      <c r="W862" s="20"/>
      <c r="X862" s="20"/>
      <c r="Y862" s="20"/>
      <c r="Z862" s="20"/>
    </row>
    <row r="863" ht="13.5" customHeight="1" spans="1:26">
      <c r="A863" s="20"/>
      <c r="B863" s="20"/>
      <c r="C863" s="20"/>
      <c r="D863" s="20"/>
      <c r="E863" s="20"/>
      <c r="F863" s="20"/>
      <c r="G863" s="20"/>
      <c r="H863" s="20"/>
      <c r="I863" s="20"/>
      <c r="J863" s="20"/>
      <c r="K863" s="20"/>
      <c r="L863" s="20"/>
      <c r="M863" s="20"/>
      <c r="N863" s="20"/>
      <c r="O863" s="20"/>
      <c r="P863" s="20"/>
      <c r="Q863" s="20"/>
      <c r="R863" s="20"/>
      <c r="S863" s="20"/>
      <c r="T863" s="20"/>
      <c r="U863" s="20"/>
      <c r="V863" s="20"/>
      <c r="W863" s="20"/>
      <c r="X863" s="20"/>
      <c r="Y863" s="20"/>
      <c r="Z863" s="20"/>
    </row>
    <row r="864" ht="13.5" customHeight="1" spans="1:26">
      <c r="A864" s="20"/>
      <c r="B864" s="20"/>
      <c r="C864" s="20"/>
      <c r="D864" s="20"/>
      <c r="E864" s="20"/>
      <c r="F864" s="20"/>
      <c r="G864" s="20"/>
      <c r="H864" s="20"/>
      <c r="I864" s="20"/>
      <c r="J864" s="20"/>
      <c r="K864" s="20"/>
      <c r="L864" s="20"/>
      <c r="M864" s="20"/>
      <c r="N864" s="20"/>
      <c r="O864" s="20"/>
      <c r="P864" s="20"/>
      <c r="Q864" s="20"/>
      <c r="R864" s="20"/>
      <c r="S864" s="20"/>
      <c r="T864" s="20"/>
      <c r="U864" s="20"/>
      <c r="V864" s="20"/>
      <c r="W864" s="20"/>
      <c r="X864" s="20"/>
      <c r="Y864" s="20"/>
      <c r="Z864" s="20"/>
    </row>
    <row r="865" ht="13.5" customHeight="1" spans="1:26">
      <c r="A865" s="20"/>
      <c r="B865" s="20"/>
      <c r="C865" s="20"/>
      <c r="D865" s="20"/>
      <c r="E865" s="20"/>
      <c r="F865" s="20"/>
      <c r="G865" s="20"/>
      <c r="H865" s="20"/>
      <c r="I865" s="20"/>
      <c r="J865" s="20"/>
      <c r="K865" s="20"/>
      <c r="L865" s="20"/>
      <c r="M865" s="20"/>
      <c r="N865" s="20"/>
      <c r="O865" s="20"/>
      <c r="P865" s="20"/>
      <c r="Q865" s="20"/>
      <c r="R865" s="20"/>
      <c r="S865" s="20"/>
      <c r="T865" s="20"/>
      <c r="U865" s="20"/>
      <c r="V865" s="20"/>
      <c r="W865" s="20"/>
      <c r="X865" s="20"/>
      <c r="Y865" s="20"/>
      <c r="Z865" s="20"/>
    </row>
    <row r="866" ht="13.5" customHeight="1" spans="1:26">
      <c r="A866" s="20"/>
      <c r="B866" s="20"/>
      <c r="C866" s="20"/>
      <c r="D866" s="20"/>
      <c r="E866" s="20"/>
      <c r="F866" s="20"/>
      <c r="G866" s="20"/>
      <c r="H866" s="20"/>
      <c r="I866" s="20"/>
      <c r="J866" s="20"/>
      <c r="K866" s="20"/>
      <c r="L866" s="20"/>
      <c r="M866" s="20"/>
      <c r="N866" s="20"/>
      <c r="O866" s="20"/>
      <c r="P866" s="20"/>
      <c r="Q866" s="20"/>
      <c r="R866" s="20"/>
      <c r="S866" s="20"/>
      <c r="T866" s="20"/>
      <c r="U866" s="20"/>
      <c r="V866" s="20"/>
      <c r="W866" s="20"/>
      <c r="X866" s="20"/>
      <c r="Y866" s="20"/>
      <c r="Z866" s="20"/>
    </row>
    <row r="867" ht="13.5" customHeight="1" spans="1:26">
      <c r="A867" s="20"/>
      <c r="B867" s="20"/>
      <c r="C867" s="20"/>
      <c r="D867" s="20"/>
      <c r="E867" s="20"/>
      <c r="F867" s="20"/>
      <c r="G867" s="20"/>
      <c r="H867" s="20"/>
      <c r="I867" s="20"/>
      <c r="J867" s="20"/>
      <c r="K867" s="20"/>
      <c r="L867" s="20"/>
      <c r="M867" s="20"/>
      <c r="N867" s="20"/>
      <c r="O867" s="20"/>
      <c r="P867" s="20"/>
      <c r="Q867" s="20"/>
      <c r="R867" s="20"/>
      <c r="S867" s="20"/>
      <c r="T867" s="20"/>
      <c r="U867" s="20"/>
      <c r="V867" s="20"/>
      <c r="W867" s="20"/>
      <c r="X867" s="20"/>
      <c r="Y867" s="20"/>
      <c r="Z867" s="20"/>
    </row>
    <row r="868" ht="13.5" customHeight="1" spans="1:26">
      <c r="A868" s="20"/>
      <c r="B868" s="20"/>
      <c r="C868" s="20"/>
      <c r="D868" s="20"/>
      <c r="E868" s="20"/>
      <c r="F868" s="20"/>
      <c r="G868" s="20"/>
      <c r="H868" s="20"/>
      <c r="I868" s="20"/>
      <c r="J868" s="20"/>
      <c r="K868" s="20"/>
      <c r="L868" s="20"/>
      <c r="M868" s="20"/>
      <c r="N868" s="20"/>
      <c r="O868" s="20"/>
      <c r="P868" s="20"/>
      <c r="Q868" s="20"/>
      <c r="R868" s="20"/>
      <c r="S868" s="20"/>
      <c r="T868" s="20"/>
      <c r="U868" s="20"/>
      <c r="V868" s="20"/>
      <c r="W868" s="20"/>
      <c r="X868" s="20"/>
      <c r="Y868" s="20"/>
      <c r="Z868" s="20"/>
    </row>
    <row r="869" ht="13.5" customHeight="1" spans="1:26">
      <c r="A869" s="20"/>
      <c r="B869" s="20"/>
      <c r="C869" s="20"/>
      <c r="D869" s="20"/>
      <c r="E869" s="20"/>
      <c r="F869" s="20"/>
      <c r="G869" s="20"/>
      <c r="H869" s="20"/>
      <c r="I869" s="20"/>
      <c r="J869" s="20"/>
      <c r="K869" s="20"/>
      <c r="L869" s="20"/>
      <c r="M869" s="20"/>
      <c r="N869" s="20"/>
      <c r="O869" s="20"/>
      <c r="P869" s="20"/>
      <c r="Q869" s="20"/>
      <c r="R869" s="20"/>
      <c r="S869" s="20"/>
      <c r="T869" s="20"/>
      <c r="U869" s="20"/>
      <c r="V869" s="20"/>
      <c r="W869" s="20"/>
      <c r="X869" s="20"/>
      <c r="Y869" s="20"/>
      <c r="Z869" s="20"/>
    </row>
    <row r="870" ht="13.5" customHeight="1" spans="1:26">
      <c r="A870" s="20"/>
      <c r="B870" s="20"/>
      <c r="C870" s="20"/>
      <c r="D870" s="20"/>
      <c r="E870" s="20"/>
      <c r="F870" s="20"/>
      <c r="G870" s="20"/>
      <c r="H870" s="20"/>
      <c r="I870" s="20"/>
      <c r="J870" s="20"/>
      <c r="K870" s="20"/>
      <c r="L870" s="20"/>
      <c r="M870" s="20"/>
      <c r="N870" s="20"/>
      <c r="O870" s="20"/>
      <c r="P870" s="20"/>
      <c r="Q870" s="20"/>
      <c r="R870" s="20"/>
      <c r="S870" s="20"/>
      <c r="T870" s="20"/>
      <c r="U870" s="20"/>
      <c r="V870" s="20"/>
      <c r="W870" s="20"/>
      <c r="X870" s="20"/>
      <c r="Y870" s="20"/>
      <c r="Z870" s="20"/>
    </row>
    <row r="871" ht="13.5" customHeight="1" spans="1:26">
      <c r="A871" s="20"/>
      <c r="B871" s="20"/>
      <c r="C871" s="20"/>
      <c r="D871" s="20"/>
      <c r="E871" s="20"/>
      <c r="F871" s="20"/>
      <c r="G871" s="20"/>
      <c r="H871" s="20"/>
      <c r="I871" s="20"/>
      <c r="J871" s="20"/>
      <c r="K871" s="20"/>
      <c r="L871" s="20"/>
      <c r="M871" s="20"/>
      <c r="N871" s="20"/>
      <c r="O871" s="20"/>
      <c r="P871" s="20"/>
      <c r="Q871" s="20"/>
      <c r="R871" s="20"/>
      <c r="S871" s="20"/>
      <c r="T871" s="20"/>
      <c r="U871" s="20"/>
      <c r="V871" s="20"/>
      <c r="W871" s="20"/>
      <c r="X871" s="20"/>
      <c r="Y871" s="20"/>
      <c r="Z871" s="20"/>
    </row>
    <row r="872" ht="13.5" customHeight="1" spans="1:26">
      <c r="A872" s="20"/>
      <c r="B872" s="20"/>
      <c r="C872" s="20"/>
      <c r="D872" s="20"/>
      <c r="E872" s="20"/>
      <c r="F872" s="20"/>
      <c r="G872" s="20"/>
      <c r="H872" s="20"/>
      <c r="I872" s="20"/>
      <c r="J872" s="20"/>
      <c r="K872" s="20"/>
      <c r="L872" s="20"/>
      <c r="M872" s="20"/>
      <c r="N872" s="20"/>
      <c r="O872" s="20"/>
      <c r="P872" s="20"/>
      <c r="Q872" s="20"/>
      <c r="R872" s="20"/>
      <c r="S872" s="20"/>
      <c r="T872" s="20"/>
      <c r="U872" s="20"/>
      <c r="V872" s="20"/>
      <c r="W872" s="20"/>
      <c r="X872" s="20"/>
      <c r="Y872" s="20"/>
      <c r="Z872" s="20"/>
    </row>
    <row r="873" ht="13.5" customHeight="1" spans="1:26">
      <c r="A873" s="20"/>
      <c r="B873" s="20"/>
      <c r="C873" s="20"/>
      <c r="D873" s="20"/>
      <c r="E873" s="20"/>
      <c r="F873" s="20"/>
      <c r="G873" s="20"/>
      <c r="H873" s="20"/>
      <c r="I873" s="20"/>
      <c r="J873" s="20"/>
      <c r="K873" s="20"/>
      <c r="L873" s="20"/>
      <c r="M873" s="20"/>
      <c r="N873" s="20"/>
      <c r="O873" s="20"/>
      <c r="P873" s="20"/>
      <c r="Q873" s="20"/>
      <c r="R873" s="20"/>
      <c r="S873" s="20"/>
      <c r="T873" s="20"/>
      <c r="U873" s="20"/>
      <c r="V873" s="20"/>
      <c r="W873" s="20"/>
      <c r="X873" s="20"/>
      <c r="Y873" s="20"/>
      <c r="Z873" s="20"/>
    </row>
    <row r="874" ht="13.5" customHeight="1" spans="1:26">
      <c r="A874" s="20"/>
      <c r="B874" s="20"/>
      <c r="C874" s="20"/>
      <c r="D874" s="20"/>
      <c r="E874" s="20"/>
      <c r="F874" s="20"/>
      <c r="G874" s="20"/>
      <c r="H874" s="20"/>
      <c r="I874" s="20"/>
      <c r="J874" s="20"/>
      <c r="K874" s="20"/>
      <c r="L874" s="20"/>
      <c r="M874" s="20"/>
      <c r="N874" s="20"/>
      <c r="O874" s="20"/>
      <c r="P874" s="20"/>
      <c r="Q874" s="20"/>
      <c r="R874" s="20"/>
      <c r="S874" s="20"/>
      <c r="T874" s="20"/>
      <c r="U874" s="20"/>
      <c r="V874" s="20"/>
      <c r="W874" s="20"/>
      <c r="X874" s="20"/>
      <c r="Y874" s="20"/>
      <c r="Z874" s="20"/>
    </row>
    <row r="875" ht="13.5" customHeight="1" spans="1:26">
      <c r="A875" s="20"/>
      <c r="B875" s="20"/>
      <c r="C875" s="20"/>
      <c r="D875" s="20"/>
      <c r="E875" s="20"/>
      <c r="F875" s="20"/>
      <c r="G875" s="20"/>
      <c r="H875" s="20"/>
      <c r="I875" s="20"/>
      <c r="J875" s="20"/>
      <c r="K875" s="20"/>
      <c r="L875" s="20"/>
      <c r="M875" s="20"/>
      <c r="N875" s="20"/>
      <c r="O875" s="20"/>
      <c r="P875" s="20"/>
      <c r="Q875" s="20"/>
      <c r="R875" s="20"/>
      <c r="S875" s="20"/>
      <c r="T875" s="20"/>
      <c r="U875" s="20"/>
      <c r="V875" s="20"/>
      <c r="W875" s="20"/>
      <c r="X875" s="20"/>
      <c r="Y875" s="20"/>
      <c r="Z875" s="20"/>
    </row>
    <row r="876" ht="13.5" customHeight="1" spans="1:26">
      <c r="A876" s="20"/>
      <c r="B876" s="20"/>
      <c r="C876" s="20"/>
      <c r="D876" s="20"/>
      <c r="E876" s="20"/>
      <c r="F876" s="20"/>
      <c r="G876" s="20"/>
      <c r="H876" s="20"/>
      <c r="I876" s="20"/>
      <c r="J876" s="20"/>
      <c r="K876" s="20"/>
      <c r="L876" s="20"/>
      <c r="M876" s="20"/>
      <c r="N876" s="20"/>
      <c r="O876" s="20"/>
      <c r="P876" s="20"/>
      <c r="Q876" s="20"/>
      <c r="R876" s="20"/>
      <c r="S876" s="20"/>
      <c r="T876" s="20"/>
      <c r="U876" s="20"/>
      <c r="V876" s="20"/>
      <c r="W876" s="20"/>
      <c r="X876" s="20"/>
      <c r="Y876" s="20"/>
      <c r="Z876" s="20"/>
    </row>
    <row r="877" ht="13.5" customHeight="1" spans="1:26">
      <c r="A877" s="20"/>
      <c r="B877" s="20"/>
      <c r="C877" s="20"/>
      <c r="D877" s="20"/>
      <c r="E877" s="20"/>
      <c r="F877" s="20"/>
      <c r="G877" s="20"/>
      <c r="H877" s="20"/>
      <c r="I877" s="20"/>
      <c r="J877" s="20"/>
      <c r="K877" s="20"/>
      <c r="L877" s="20"/>
      <c r="M877" s="20"/>
      <c r="N877" s="20"/>
      <c r="O877" s="20"/>
      <c r="P877" s="20"/>
      <c r="Q877" s="20"/>
      <c r="R877" s="20"/>
      <c r="S877" s="20"/>
      <c r="T877" s="20"/>
      <c r="U877" s="20"/>
      <c r="V877" s="20"/>
      <c r="W877" s="20"/>
      <c r="X877" s="20"/>
      <c r="Y877" s="20"/>
      <c r="Z877" s="20"/>
    </row>
    <row r="878" ht="13.5" customHeight="1" spans="1:26">
      <c r="A878" s="20"/>
      <c r="B878" s="20"/>
      <c r="C878" s="20"/>
      <c r="D878" s="20"/>
      <c r="E878" s="20"/>
      <c r="F878" s="20"/>
      <c r="G878" s="20"/>
      <c r="H878" s="20"/>
      <c r="I878" s="20"/>
      <c r="J878" s="20"/>
      <c r="K878" s="20"/>
      <c r="L878" s="20"/>
      <c r="M878" s="20"/>
      <c r="N878" s="20"/>
      <c r="O878" s="20"/>
      <c r="P878" s="20"/>
      <c r="Q878" s="20"/>
      <c r="R878" s="20"/>
      <c r="S878" s="20"/>
      <c r="T878" s="20"/>
      <c r="U878" s="20"/>
      <c r="V878" s="20"/>
      <c r="W878" s="20"/>
      <c r="X878" s="20"/>
      <c r="Y878" s="20"/>
      <c r="Z878" s="20"/>
    </row>
    <row r="879" ht="13.5" customHeight="1" spans="1:26">
      <c r="A879" s="20"/>
      <c r="B879" s="20"/>
      <c r="C879" s="20"/>
      <c r="D879" s="20"/>
      <c r="E879" s="20"/>
      <c r="F879" s="20"/>
      <c r="G879" s="20"/>
      <c r="H879" s="20"/>
      <c r="I879" s="20"/>
      <c r="J879" s="20"/>
      <c r="K879" s="20"/>
      <c r="L879" s="20"/>
      <c r="M879" s="20"/>
      <c r="N879" s="20"/>
      <c r="O879" s="20"/>
      <c r="P879" s="20"/>
      <c r="Q879" s="20"/>
      <c r="R879" s="20"/>
      <c r="S879" s="20"/>
      <c r="T879" s="20"/>
      <c r="U879" s="20"/>
      <c r="V879" s="20"/>
      <c r="W879" s="20"/>
      <c r="X879" s="20"/>
      <c r="Y879" s="20"/>
      <c r="Z879" s="20"/>
    </row>
    <row r="880" ht="13.5" customHeight="1" spans="1:26">
      <c r="A880" s="20"/>
      <c r="B880" s="20"/>
      <c r="C880" s="20"/>
      <c r="D880" s="20"/>
      <c r="E880" s="20"/>
      <c r="F880" s="20"/>
      <c r="G880" s="20"/>
      <c r="H880" s="20"/>
      <c r="I880" s="20"/>
      <c r="J880" s="20"/>
      <c r="K880" s="20"/>
      <c r="L880" s="20"/>
      <c r="M880" s="20"/>
      <c r="N880" s="20"/>
      <c r="O880" s="20"/>
      <c r="P880" s="20"/>
      <c r="Q880" s="20"/>
      <c r="R880" s="20"/>
      <c r="S880" s="20"/>
      <c r="T880" s="20"/>
      <c r="U880" s="20"/>
      <c r="V880" s="20"/>
      <c r="W880" s="20"/>
      <c r="X880" s="20"/>
      <c r="Y880" s="20"/>
      <c r="Z880" s="20"/>
    </row>
    <row r="881" ht="13.5" customHeight="1" spans="1:26">
      <c r="A881" s="20"/>
      <c r="B881" s="20"/>
      <c r="C881" s="20"/>
      <c r="D881" s="20"/>
      <c r="E881" s="20"/>
      <c r="F881" s="20"/>
      <c r="G881" s="20"/>
      <c r="H881" s="20"/>
      <c r="I881" s="20"/>
      <c r="J881" s="20"/>
      <c r="K881" s="20"/>
      <c r="L881" s="20"/>
      <c r="M881" s="20"/>
      <c r="N881" s="20"/>
      <c r="O881" s="20"/>
      <c r="P881" s="20"/>
      <c r="Q881" s="20"/>
      <c r="R881" s="20"/>
      <c r="S881" s="20"/>
      <c r="T881" s="20"/>
      <c r="U881" s="20"/>
      <c r="V881" s="20"/>
      <c r="W881" s="20"/>
      <c r="X881" s="20"/>
      <c r="Y881" s="20"/>
      <c r="Z881" s="20"/>
    </row>
    <row r="882" ht="13.5" customHeight="1" spans="1:26">
      <c r="A882" s="20"/>
      <c r="B882" s="20"/>
      <c r="C882" s="20"/>
      <c r="D882" s="20"/>
      <c r="E882" s="20"/>
      <c r="F882" s="20"/>
      <c r="G882" s="20"/>
      <c r="H882" s="20"/>
      <c r="I882" s="20"/>
      <c r="J882" s="20"/>
      <c r="K882" s="20"/>
      <c r="L882" s="20"/>
      <c r="M882" s="20"/>
      <c r="N882" s="20"/>
      <c r="O882" s="20"/>
      <c r="P882" s="20"/>
      <c r="Q882" s="20"/>
      <c r="R882" s="20"/>
      <c r="S882" s="20"/>
      <c r="T882" s="20"/>
      <c r="U882" s="20"/>
      <c r="V882" s="20"/>
      <c r="W882" s="20"/>
      <c r="X882" s="20"/>
      <c r="Y882" s="20"/>
      <c r="Z882" s="20"/>
    </row>
    <row r="883" ht="13.5" customHeight="1" spans="1:26">
      <c r="A883" s="20"/>
      <c r="B883" s="20"/>
      <c r="C883" s="20"/>
      <c r="D883" s="20"/>
      <c r="E883" s="20"/>
      <c r="F883" s="20"/>
      <c r="G883" s="20"/>
      <c r="H883" s="20"/>
      <c r="I883" s="20"/>
      <c r="J883" s="20"/>
      <c r="K883" s="20"/>
      <c r="L883" s="20"/>
      <c r="M883" s="20"/>
      <c r="N883" s="20"/>
      <c r="O883" s="20"/>
      <c r="P883" s="20"/>
      <c r="Q883" s="20"/>
      <c r="R883" s="20"/>
      <c r="S883" s="20"/>
      <c r="T883" s="20"/>
      <c r="U883" s="20"/>
      <c r="V883" s="20"/>
      <c r="W883" s="20"/>
      <c r="X883" s="20"/>
      <c r="Y883" s="20"/>
      <c r="Z883" s="20"/>
    </row>
    <row r="884" ht="13.5" customHeight="1" spans="1:26">
      <c r="A884" s="20"/>
      <c r="B884" s="20"/>
      <c r="C884" s="20"/>
      <c r="D884" s="20"/>
      <c r="E884" s="20"/>
      <c r="F884" s="20"/>
      <c r="G884" s="20"/>
      <c r="H884" s="20"/>
      <c r="I884" s="20"/>
      <c r="J884" s="20"/>
      <c r="K884" s="20"/>
      <c r="L884" s="20"/>
      <c r="M884" s="20"/>
      <c r="N884" s="20"/>
      <c r="O884" s="20"/>
      <c r="P884" s="20"/>
      <c r="Q884" s="20"/>
      <c r="R884" s="20"/>
      <c r="S884" s="20"/>
      <c r="T884" s="20"/>
      <c r="U884" s="20"/>
      <c r="V884" s="20"/>
      <c r="W884" s="20"/>
      <c r="X884" s="20"/>
      <c r="Y884" s="20"/>
      <c r="Z884" s="20"/>
    </row>
    <row r="885" ht="13.5" customHeight="1" spans="1:26">
      <c r="A885" s="20"/>
      <c r="B885" s="20"/>
      <c r="C885" s="20"/>
      <c r="D885" s="20"/>
      <c r="E885" s="20"/>
      <c r="F885" s="20"/>
      <c r="G885" s="20"/>
      <c r="H885" s="20"/>
      <c r="I885" s="20"/>
      <c r="J885" s="20"/>
      <c r="K885" s="20"/>
      <c r="L885" s="20"/>
      <c r="M885" s="20"/>
      <c r="N885" s="20"/>
      <c r="O885" s="20"/>
      <c r="P885" s="20"/>
      <c r="Q885" s="20"/>
      <c r="R885" s="20"/>
      <c r="S885" s="20"/>
      <c r="T885" s="20"/>
      <c r="U885" s="20"/>
      <c r="V885" s="20"/>
      <c r="W885" s="20"/>
      <c r="X885" s="20"/>
      <c r="Y885" s="20"/>
      <c r="Z885" s="20"/>
    </row>
    <row r="886" ht="13.5" customHeight="1" spans="1:26">
      <c r="A886" s="20"/>
      <c r="B886" s="20"/>
      <c r="C886" s="20"/>
      <c r="D886" s="20"/>
      <c r="E886" s="20"/>
      <c r="F886" s="20"/>
      <c r="G886" s="20"/>
      <c r="H886" s="20"/>
      <c r="I886" s="20"/>
      <c r="J886" s="20"/>
      <c r="K886" s="20"/>
      <c r="L886" s="20"/>
      <c r="M886" s="20"/>
      <c r="N886" s="20"/>
      <c r="O886" s="20"/>
      <c r="P886" s="20"/>
      <c r="Q886" s="20"/>
      <c r="R886" s="20"/>
      <c r="S886" s="20"/>
      <c r="T886" s="20"/>
      <c r="U886" s="20"/>
      <c r="V886" s="20"/>
      <c r="W886" s="20"/>
      <c r="X886" s="20"/>
      <c r="Y886" s="20"/>
      <c r="Z886" s="20"/>
    </row>
    <row r="887" ht="13.5" customHeight="1" spans="1:26">
      <c r="A887" s="20"/>
      <c r="B887" s="20"/>
      <c r="C887" s="20"/>
      <c r="D887" s="20"/>
      <c r="E887" s="20"/>
      <c r="F887" s="20"/>
      <c r="G887" s="20"/>
      <c r="H887" s="20"/>
      <c r="I887" s="20"/>
      <c r="J887" s="20"/>
      <c r="K887" s="20"/>
      <c r="L887" s="20"/>
      <c r="M887" s="20"/>
      <c r="N887" s="20"/>
      <c r="O887" s="20"/>
      <c r="P887" s="20"/>
      <c r="Q887" s="20"/>
      <c r="R887" s="20"/>
      <c r="S887" s="20"/>
      <c r="T887" s="20"/>
      <c r="U887" s="20"/>
      <c r="V887" s="20"/>
      <c r="W887" s="20"/>
      <c r="X887" s="20"/>
      <c r="Y887" s="20"/>
      <c r="Z887" s="20"/>
    </row>
    <row r="888" ht="13.5" customHeight="1" spans="1:26">
      <c r="A888" s="20"/>
      <c r="B888" s="20"/>
      <c r="C888" s="20"/>
      <c r="D888" s="20"/>
      <c r="E888" s="20"/>
      <c r="F888" s="20"/>
      <c r="G888" s="20"/>
      <c r="H888" s="20"/>
      <c r="I888" s="20"/>
      <c r="J888" s="20"/>
      <c r="K888" s="20"/>
      <c r="L888" s="20"/>
      <c r="M888" s="20"/>
      <c r="N888" s="20"/>
      <c r="O888" s="20"/>
      <c r="P888" s="20"/>
      <c r="Q888" s="20"/>
      <c r="R888" s="20"/>
      <c r="S888" s="20"/>
      <c r="T888" s="20"/>
      <c r="U888" s="20"/>
      <c r="V888" s="20"/>
      <c r="W888" s="20"/>
      <c r="X888" s="20"/>
      <c r="Y888" s="20"/>
      <c r="Z888" s="20"/>
    </row>
    <row r="889" ht="13.5" customHeight="1" spans="1:26">
      <c r="A889" s="20"/>
      <c r="B889" s="20"/>
      <c r="C889" s="20"/>
      <c r="D889" s="20"/>
      <c r="E889" s="20"/>
      <c r="F889" s="20"/>
      <c r="G889" s="20"/>
      <c r="H889" s="20"/>
      <c r="I889" s="20"/>
      <c r="J889" s="20"/>
      <c r="K889" s="20"/>
      <c r="L889" s="20"/>
      <c r="M889" s="20"/>
      <c r="N889" s="20"/>
      <c r="O889" s="20"/>
      <c r="P889" s="20"/>
      <c r="Q889" s="20"/>
      <c r="R889" s="20"/>
      <c r="S889" s="20"/>
      <c r="T889" s="20"/>
      <c r="U889" s="20"/>
      <c r="V889" s="20"/>
      <c r="W889" s="20"/>
      <c r="X889" s="20"/>
      <c r="Y889" s="20"/>
      <c r="Z889" s="20"/>
    </row>
    <row r="890" ht="13.5" customHeight="1" spans="1:26">
      <c r="A890" s="20"/>
      <c r="B890" s="20"/>
      <c r="C890" s="20"/>
      <c r="D890" s="20"/>
      <c r="E890" s="20"/>
      <c r="F890" s="20"/>
      <c r="G890" s="20"/>
      <c r="H890" s="20"/>
      <c r="I890" s="20"/>
      <c r="J890" s="20"/>
      <c r="K890" s="20"/>
      <c r="L890" s="20"/>
      <c r="M890" s="20"/>
      <c r="N890" s="20"/>
      <c r="O890" s="20"/>
      <c r="P890" s="20"/>
      <c r="Q890" s="20"/>
      <c r="R890" s="20"/>
      <c r="S890" s="20"/>
      <c r="T890" s="20"/>
      <c r="U890" s="20"/>
      <c r="V890" s="20"/>
      <c r="W890" s="20"/>
      <c r="X890" s="20"/>
      <c r="Y890" s="20"/>
      <c r="Z890" s="20"/>
    </row>
    <row r="891" ht="13.5" customHeight="1" spans="1:26">
      <c r="A891" s="20"/>
      <c r="B891" s="20"/>
      <c r="C891" s="20"/>
      <c r="D891" s="20"/>
      <c r="E891" s="20"/>
      <c r="F891" s="20"/>
      <c r="G891" s="20"/>
      <c r="H891" s="20"/>
      <c r="I891" s="20"/>
      <c r="J891" s="20"/>
      <c r="K891" s="20"/>
      <c r="L891" s="20"/>
      <c r="M891" s="20"/>
      <c r="N891" s="20"/>
      <c r="O891" s="20"/>
      <c r="P891" s="20"/>
      <c r="Q891" s="20"/>
      <c r="R891" s="20"/>
      <c r="S891" s="20"/>
      <c r="T891" s="20"/>
      <c r="U891" s="20"/>
      <c r="V891" s="20"/>
      <c r="W891" s="20"/>
      <c r="X891" s="20"/>
      <c r="Y891" s="20"/>
      <c r="Z891" s="20"/>
    </row>
    <row r="892" ht="13.5" customHeight="1" spans="1:26">
      <c r="A892" s="20"/>
      <c r="B892" s="20"/>
      <c r="C892" s="20"/>
      <c r="D892" s="20"/>
      <c r="E892" s="20"/>
      <c r="F892" s="20"/>
      <c r="G892" s="20"/>
      <c r="H892" s="20"/>
      <c r="I892" s="20"/>
      <c r="J892" s="20"/>
      <c r="K892" s="20"/>
      <c r="L892" s="20"/>
      <c r="M892" s="20"/>
      <c r="N892" s="20"/>
      <c r="O892" s="20"/>
      <c r="P892" s="20"/>
      <c r="Q892" s="20"/>
      <c r="R892" s="20"/>
      <c r="S892" s="20"/>
      <c r="T892" s="20"/>
      <c r="U892" s="20"/>
      <c r="V892" s="20"/>
      <c r="W892" s="20"/>
      <c r="X892" s="20"/>
      <c r="Y892" s="20"/>
      <c r="Z892" s="20"/>
    </row>
    <row r="893" ht="13.5" customHeight="1" spans="1:26">
      <c r="A893" s="20"/>
      <c r="B893" s="20"/>
      <c r="C893" s="20"/>
      <c r="D893" s="20"/>
      <c r="E893" s="20"/>
      <c r="F893" s="20"/>
      <c r="G893" s="20"/>
      <c r="H893" s="20"/>
      <c r="I893" s="20"/>
      <c r="J893" s="20"/>
      <c r="K893" s="20"/>
      <c r="L893" s="20"/>
      <c r="M893" s="20"/>
      <c r="N893" s="20"/>
      <c r="O893" s="20"/>
      <c r="P893" s="20"/>
      <c r="Q893" s="20"/>
      <c r="R893" s="20"/>
      <c r="S893" s="20"/>
      <c r="T893" s="20"/>
      <c r="U893" s="20"/>
      <c r="V893" s="20"/>
      <c r="W893" s="20"/>
      <c r="X893" s="20"/>
      <c r="Y893" s="20"/>
      <c r="Z893" s="20"/>
    </row>
    <row r="894" ht="13.5" customHeight="1" spans="1:26">
      <c r="A894" s="20"/>
      <c r="B894" s="20"/>
      <c r="C894" s="20"/>
      <c r="D894" s="20"/>
      <c r="E894" s="20"/>
      <c r="F894" s="20"/>
      <c r="G894" s="20"/>
      <c r="H894" s="20"/>
      <c r="I894" s="20"/>
      <c r="J894" s="20"/>
      <c r="K894" s="20"/>
      <c r="L894" s="20"/>
      <c r="M894" s="20"/>
      <c r="N894" s="20"/>
      <c r="O894" s="20"/>
      <c r="P894" s="20"/>
      <c r="Q894" s="20"/>
      <c r="R894" s="20"/>
      <c r="S894" s="20"/>
      <c r="T894" s="20"/>
      <c r="U894" s="20"/>
      <c r="V894" s="20"/>
      <c r="W894" s="20"/>
      <c r="X894" s="20"/>
      <c r="Y894" s="20"/>
      <c r="Z894" s="20"/>
    </row>
    <row r="895" ht="13.5" customHeight="1" spans="1:26">
      <c r="A895" s="20"/>
      <c r="B895" s="20"/>
      <c r="C895" s="20"/>
      <c r="D895" s="20"/>
      <c r="E895" s="20"/>
      <c r="F895" s="20"/>
      <c r="G895" s="20"/>
      <c r="H895" s="20"/>
      <c r="I895" s="20"/>
      <c r="J895" s="20"/>
      <c r="K895" s="20"/>
      <c r="L895" s="20"/>
      <c r="M895" s="20"/>
      <c r="N895" s="20"/>
      <c r="O895" s="20"/>
      <c r="P895" s="20"/>
      <c r="Q895" s="20"/>
      <c r="R895" s="20"/>
      <c r="S895" s="20"/>
      <c r="T895" s="20"/>
      <c r="U895" s="20"/>
      <c r="V895" s="20"/>
      <c r="W895" s="20"/>
      <c r="X895" s="20"/>
      <c r="Y895" s="20"/>
      <c r="Z895" s="20"/>
    </row>
    <row r="896" ht="13.5" customHeight="1" spans="1:26">
      <c r="A896" s="20"/>
      <c r="B896" s="20"/>
      <c r="C896" s="20"/>
      <c r="D896" s="20"/>
      <c r="E896" s="20"/>
      <c r="F896" s="20"/>
      <c r="G896" s="20"/>
      <c r="H896" s="20"/>
      <c r="I896" s="20"/>
      <c r="J896" s="20"/>
      <c r="K896" s="20"/>
      <c r="L896" s="20"/>
      <c r="M896" s="20"/>
      <c r="N896" s="20"/>
      <c r="O896" s="20"/>
      <c r="P896" s="20"/>
      <c r="Q896" s="20"/>
      <c r="R896" s="20"/>
      <c r="S896" s="20"/>
      <c r="T896" s="20"/>
      <c r="U896" s="20"/>
      <c r="V896" s="20"/>
      <c r="W896" s="20"/>
      <c r="X896" s="20"/>
      <c r="Y896" s="20"/>
      <c r="Z896" s="20"/>
    </row>
    <row r="897" ht="13.5" customHeight="1" spans="1:26">
      <c r="A897" s="20"/>
      <c r="B897" s="20"/>
      <c r="C897" s="20"/>
      <c r="D897" s="20"/>
      <c r="E897" s="20"/>
      <c r="F897" s="20"/>
      <c r="G897" s="20"/>
      <c r="H897" s="20"/>
      <c r="I897" s="20"/>
      <c r="J897" s="20"/>
      <c r="K897" s="20"/>
      <c r="L897" s="20"/>
      <c r="M897" s="20"/>
      <c r="N897" s="20"/>
      <c r="O897" s="20"/>
      <c r="P897" s="20"/>
      <c r="Q897" s="20"/>
      <c r="R897" s="20"/>
      <c r="S897" s="20"/>
      <c r="T897" s="20"/>
      <c r="U897" s="20"/>
      <c r="V897" s="20"/>
      <c r="W897" s="20"/>
      <c r="X897" s="20"/>
      <c r="Y897" s="20"/>
      <c r="Z897" s="20"/>
    </row>
    <row r="898" ht="13.5" customHeight="1" spans="1:26">
      <c r="A898" s="20"/>
      <c r="B898" s="20"/>
      <c r="C898" s="20"/>
      <c r="D898" s="20"/>
      <c r="E898" s="20"/>
      <c r="F898" s="20"/>
      <c r="G898" s="20"/>
      <c r="H898" s="20"/>
      <c r="I898" s="20"/>
      <c r="J898" s="20"/>
      <c r="K898" s="20"/>
      <c r="L898" s="20"/>
      <c r="M898" s="20"/>
      <c r="N898" s="20"/>
      <c r="O898" s="20"/>
      <c r="P898" s="20"/>
      <c r="Q898" s="20"/>
      <c r="R898" s="20"/>
      <c r="S898" s="20"/>
      <c r="T898" s="20"/>
      <c r="U898" s="20"/>
      <c r="V898" s="20"/>
      <c r="W898" s="20"/>
      <c r="X898" s="20"/>
      <c r="Y898" s="20"/>
      <c r="Z898" s="20"/>
    </row>
    <row r="899" ht="13.5" customHeight="1" spans="1:26">
      <c r="A899" s="20"/>
      <c r="B899" s="20"/>
      <c r="C899" s="20"/>
      <c r="D899" s="20"/>
      <c r="E899" s="20"/>
      <c r="F899" s="20"/>
      <c r="G899" s="20"/>
      <c r="H899" s="20"/>
      <c r="I899" s="20"/>
      <c r="J899" s="20"/>
      <c r="K899" s="20"/>
      <c r="L899" s="20"/>
      <c r="M899" s="20"/>
      <c r="N899" s="20"/>
      <c r="O899" s="20"/>
      <c r="P899" s="20"/>
      <c r="Q899" s="20"/>
      <c r="R899" s="20"/>
      <c r="S899" s="20"/>
      <c r="T899" s="20"/>
      <c r="U899" s="20"/>
      <c r="V899" s="20"/>
      <c r="W899" s="20"/>
      <c r="X899" s="20"/>
      <c r="Y899" s="20"/>
      <c r="Z899" s="20"/>
    </row>
    <row r="900" ht="13.5" customHeight="1" spans="1:26">
      <c r="A900" s="20"/>
      <c r="B900" s="20"/>
      <c r="C900" s="20"/>
      <c r="D900" s="20"/>
      <c r="E900" s="20"/>
      <c r="F900" s="20"/>
      <c r="G900" s="20"/>
      <c r="H900" s="20"/>
      <c r="I900" s="20"/>
      <c r="J900" s="20"/>
      <c r="K900" s="20"/>
      <c r="L900" s="20"/>
      <c r="M900" s="20"/>
      <c r="N900" s="20"/>
      <c r="O900" s="20"/>
      <c r="P900" s="20"/>
      <c r="Q900" s="20"/>
      <c r="R900" s="20"/>
      <c r="S900" s="20"/>
      <c r="T900" s="20"/>
      <c r="U900" s="20"/>
      <c r="V900" s="20"/>
      <c r="W900" s="20"/>
      <c r="X900" s="20"/>
      <c r="Y900" s="20"/>
      <c r="Z900" s="20"/>
    </row>
    <row r="901" ht="13.5" customHeight="1" spans="1:26">
      <c r="A901" s="20"/>
      <c r="B901" s="20"/>
      <c r="C901" s="20"/>
      <c r="D901" s="20"/>
      <c r="E901" s="20"/>
      <c r="F901" s="20"/>
      <c r="G901" s="20"/>
      <c r="H901" s="20"/>
      <c r="I901" s="20"/>
      <c r="J901" s="20"/>
      <c r="K901" s="20"/>
      <c r="L901" s="20"/>
      <c r="M901" s="20"/>
      <c r="N901" s="20"/>
      <c r="O901" s="20"/>
      <c r="P901" s="20"/>
      <c r="Q901" s="20"/>
      <c r="R901" s="20"/>
      <c r="S901" s="20"/>
      <c r="T901" s="20"/>
      <c r="U901" s="20"/>
      <c r="V901" s="20"/>
      <c r="W901" s="20"/>
      <c r="X901" s="20"/>
      <c r="Y901" s="20"/>
      <c r="Z901" s="20"/>
    </row>
    <row r="902" ht="13.5" customHeight="1" spans="1:26">
      <c r="A902" s="20"/>
      <c r="B902" s="20"/>
      <c r="C902" s="20"/>
      <c r="D902" s="20"/>
      <c r="E902" s="20"/>
      <c r="F902" s="20"/>
      <c r="G902" s="20"/>
      <c r="H902" s="20"/>
      <c r="I902" s="20"/>
      <c r="J902" s="20"/>
      <c r="K902" s="20"/>
      <c r="L902" s="20"/>
      <c r="M902" s="20"/>
      <c r="N902" s="20"/>
      <c r="O902" s="20"/>
      <c r="P902" s="20"/>
      <c r="Q902" s="20"/>
      <c r="R902" s="20"/>
      <c r="S902" s="20"/>
      <c r="T902" s="20"/>
      <c r="U902" s="20"/>
      <c r="V902" s="20"/>
      <c r="W902" s="20"/>
      <c r="X902" s="20"/>
      <c r="Y902" s="20"/>
      <c r="Z902" s="20"/>
    </row>
    <row r="903" ht="13.5" customHeight="1" spans="1:26">
      <c r="A903" s="20"/>
      <c r="B903" s="20"/>
      <c r="C903" s="20"/>
      <c r="D903" s="20"/>
      <c r="E903" s="20"/>
      <c r="F903" s="20"/>
      <c r="G903" s="20"/>
      <c r="H903" s="20"/>
      <c r="I903" s="20"/>
      <c r="J903" s="20"/>
      <c r="K903" s="20"/>
      <c r="L903" s="20"/>
      <c r="M903" s="20"/>
      <c r="N903" s="20"/>
      <c r="O903" s="20"/>
      <c r="P903" s="20"/>
      <c r="Q903" s="20"/>
      <c r="R903" s="20"/>
      <c r="S903" s="20"/>
      <c r="T903" s="20"/>
      <c r="U903" s="20"/>
      <c r="V903" s="20"/>
      <c r="W903" s="20"/>
      <c r="X903" s="20"/>
      <c r="Y903" s="20"/>
      <c r="Z903" s="20"/>
    </row>
    <row r="904" ht="13.5" customHeight="1" spans="1:26">
      <c r="A904" s="20"/>
      <c r="B904" s="20"/>
      <c r="C904" s="20"/>
      <c r="D904" s="20"/>
      <c r="E904" s="20"/>
      <c r="F904" s="20"/>
      <c r="G904" s="20"/>
      <c r="H904" s="20"/>
      <c r="I904" s="20"/>
      <c r="J904" s="20"/>
      <c r="K904" s="20"/>
      <c r="L904" s="20"/>
      <c r="M904" s="20"/>
      <c r="N904" s="20"/>
      <c r="O904" s="20"/>
      <c r="P904" s="20"/>
      <c r="Q904" s="20"/>
      <c r="R904" s="20"/>
      <c r="S904" s="20"/>
      <c r="T904" s="20"/>
      <c r="U904" s="20"/>
      <c r="V904" s="20"/>
      <c r="W904" s="20"/>
      <c r="X904" s="20"/>
      <c r="Y904" s="20"/>
      <c r="Z904" s="20"/>
    </row>
    <row r="905" ht="13.5" customHeight="1" spans="1:26">
      <c r="A905" s="20"/>
      <c r="B905" s="20"/>
      <c r="C905" s="20"/>
      <c r="D905" s="20"/>
      <c r="E905" s="20"/>
      <c r="F905" s="20"/>
      <c r="G905" s="20"/>
      <c r="H905" s="20"/>
      <c r="I905" s="20"/>
      <c r="J905" s="20"/>
      <c r="K905" s="20"/>
      <c r="L905" s="20"/>
      <c r="M905" s="20"/>
      <c r="N905" s="20"/>
      <c r="O905" s="20"/>
      <c r="P905" s="20"/>
      <c r="Q905" s="20"/>
      <c r="R905" s="20"/>
      <c r="S905" s="20"/>
      <c r="T905" s="20"/>
      <c r="U905" s="20"/>
      <c r="V905" s="20"/>
      <c r="W905" s="20"/>
      <c r="X905" s="20"/>
      <c r="Y905" s="20"/>
      <c r="Z905" s="20"/>
    </row>
    <row r="906" ht="13.5" customHeight="1" spans="1:26">
      <c r="A906" s="20"/>
      <c r="B906" s="20"/>
      <c r="C906" s="20"/>
      <c r="D906" s="20"/>
      <c r="E906" s="20"/>
      <c r="F906" s="20"/>
      <c r="G906" s="20"/>
      <c r="H906" s="20"/>
      <c r="I906" s="20"/>
      <c r="J906" s="20"/>
      <c r="K906" s="20"/>
      <c r="L906" s="20"/>
      <c r="M906" s="20"/>
      <c r="N906" s="20"/>
      <c r="O906" s="20"/>
      <c r="P906" s="20"/>
      <c r="Q906" s="20"/>
      <c r="R906" s="20"/>
      <c r="S906" s="20"/>
      <c r="T906" s="20"/>
      <c r="U906" s="20"/>
      <c r="V906" s="20"/>
      <c r="W906" s="20"/>
      <c r="X906" s="20"/>
      <c r="Y906" s="20"/>
      <c r="Z906" s="20"/>
    </row>
    <row r="907" ht="13.5" customHeight="1" spans="1:26">
      <c r="A907" s="20"/>
      <c r="B907" s="20"/>
      <c r="C907" s="20"/>
      <c r="D907" s="20"/>
      <c r="E907" s="20"/>
      <c r="F907" s="20"/>
      <c r="G907" s="20"/>
      <c r="H907" s="20"/>
      <c r="I907" s="20"/>
      <c r="J907" s="20"/>
      <c r="K907" s="20"/>
      <c r="L907" s="20"/>
      <c r="M907" s="20"/>
      <c r="N907" s="20"/>
      <c r="O907" s="20"/>
      <c r="P907" s="20"/>
      <c r="Q907" s="20"/>
      <c r="R907" s="20"/>
      <c r="S907" s="20"/>
      <c r="T907" s="20"/>
      <c r="U907" s="20"/>
      <c r="V907" s="20"/>
      <c r="W907" s="20"/>
      <c r="X907" s="20"/>
      <c r="Y907" s="20"/>
      <c r="Z907" s="20"/>
    </row>
    <row r="908" ht="13.5" customHeight="1" spans="1:26">
      <c r="A908" s="20"/>
      <c r="B908" s="20"/>
      <c r="C908" s="20"/>
      <c r="D908" s="20"/>
      <c r="E908" s="20"/>
      <c r="F908" s="20"/>
      <c r="G908" s="20"/>
      <c r="H908" s="20"/>
      <c r="I908" s="20"/>
      <c r="J908" s="20"/>
      <c r="K908" s="20"/>
      <c r="L908" s="20"/>
      <c r="M908" s="20"/>
      <c r="N908" s="20"/>
      <c r="O908" s="20"/>
      <c r="P908" s="20"/>
      <c r="Q908" s="20"/>
      <c r="R908" s="20"/>
      <c r="S908" s="20"/>
      <c r="T908" s="20"/>
      <c r="U908" s="20"/>
      <c r="V908" s="20"/>
      <c r="W908" s="20"/>
      <c r="X908" s="20"/>
      <c r="Y908" s="20"/>
      <c r="Z908" s="20"/>
    </row>
    <row r="909" ht="13.5" customHeight="1" spans="1:26">
      <c r="A909" s="20"/>
      <c r="B909" s="20"/>
      <c r="C909" s="20"/>
      <c r="D909" s="20"/>
      <c r="E909" s="20"/>
      <c r="F909" s="20"/>
      <c r="G909" s="20"/>
      <c r="H909" s="20"/>
      <c r="I909" s="20"/>
      <c r="J909" s="20"/>
      <c r="K909" s="20"/>
      <c r="L909" s="20"/>
      <c r="M909" s="20"/>
      <c r="N909" s="20"/>
      <c r="O909" s="20"/>
      <c r="P909" s="20"/>
      <c r="Q909" s="20"/>
      <c r="R909" s="20"/>
      <c r="S909" s="20"/>
      <c r="T909" s="20"/>
      <c r="U909" s="20"/>
      <c r="V909" s="20"/>
      <c r="W909" s="20"/>
      <c r="X909" s="20"/>
      <c r="Y909" s="20"/>
      <c r="Z909" s="20"/>
    </row>
    <row r="910" ht="13.5" customHeight="1" spans="1:26">
      <c r="A910" s="20"/>
      <c r="B910" s="20"/>
      <c r="C910" s="20"/>
      <c r="D910" s="20"/>
      <c r="E910" s="20"/>
      <c r="F910" s="20"/>
      <c r="G910" s="20"/>
      <c r="H910" s="20"/>
      <c r="I910" s="20"/>
      <c r="J910" s="20"/>
      <c r="K910" s="20"/>
      <c r="L910" s="20"/>
      <c r="M910" s="20"/>
      <c r="N910" s="20"/>
      <c r="O910" s="20"/>
      <c r="P910" s="20"/>
      <c r="Q910" s="20"/>
      <c r="R910" s="20"/>
      <c r="S910" s="20"/>
      <c r="T910" s="20"/>
      <c r="U910" s="20"/>
      <c r="V910" s="20"/>
      <c r="W910" s="20"/>
      <c r="X910" s="20"/>
      <c r="Y910" s="20"/>
      <c r="Z910" s="20"/>
    </row>
    <row r="911" ht="13.5" customHeight="1" spans="1:26">
      <c r="A911" s="20"/>
      <c r="B911" s="20"/>
      <c r="C911" s="20"/>
      <c r="D911" s="20"/>
      <c r="E911" s="20"/>
      <c r="F911" s="20"/>
      <c r="G911" s="20"/>
      <c r="H911" s="20"/>
      <c r="I911" s="20"/>
      <c r="J911" s="20"/>
      <c r="K911" s="20"/>
      <c r="L911" s="20"/>
      <c r="M911" s="20"/>
      <c r="N911" s="20"/>
      <c r="O911" s="20"/>
      <c r="P911" s="20"/>
      <c r="Q911" s="20"/>
      <c r="R911" s="20"/>
      <c r="S911" s="20"/>
      <c r="T911" s="20"/>
      <c r="U911" s="20"/>
      <c r="V911" s="20"/>
      <c r="W911" s="20"/>
      <c r="X911" s="20"/>
      <c r="Y911" s="20"/>
      <c r="Z911" s="20"/>
    </row>
    <row r="912" ht="13.5" customHeight="1" spans="1:26">
      <c r="A912" s="20"/>
      <c r="B912" s="20"/>
      <c r="C912" s="20"/>
      <c r="D912" s="20"/>
      <c r="E912" s="20"/>
      <c r="F912" s="20"/>
      <c r="G912" s="20"/>
      <c r="H912" s="20"/>
      <c r="I912" s="20"/>
      <c r="J912" s="20"/>
      <c r="K912" s="20"/>
      <c r="L912" s="20"/>
      <c r="M912" s="20"/>
      <c r="N912" s="20"/>
      <c r="O912" s="20"/>
      <c r="P912" s="20"/>
      <c r="Q912" s="20"/>
      <c r="R912" s="20"/>
      <c r="S912" s="20"/>
      <c r="T912" s="20"/>
      <c r="U912" s="20"/>
      <c r="V912" s="20"/>
      <c r="W912" s="20"/>
      <c r="X912" s="20"/>
      <c r="Y912" s="20"/>
      <c r="Z912" s="20"/>
    </row>
    <row r="913" ht="13.5" customHeight="1" spans="1:26">
      <c r="A913" s="20"/>
      <c r="B913" s="20"/>
      <c r="C913" s="20"/>
      <c r="D913" s="20"/>
      <c r="E913" s="20"/>
      <c r="F913" s="20"/>
      <c r="G913" s="20"/>
      <c r="H913" s="20"/>
      <c r="I913" s="20"/>
      <c r="J913" s="20"/>
      <c r="K913" s="20"/>
      <c r="L913" s="20"/>
      <c r="M913" s="20"/>
      <c r="N913" s="20"/>
      <c r="O913" s="20"/>
      <c r="P913" s="20"/>
      <c r="Q913" s="20"/>
      <c r="R913" s="20"/>
      <c r="S913" s="20"/>
      <c r="T913" s="20"/>
      <c r="U913" s="20"/>
      <c r="V913" s="20"/>
      <c r="W913" s="20"/>
      <c r="X913" s="20"/>
      <c r="Y913" s="20"/>
      <c r="Z913" s="20"/>
    </row>
    <row r="914" ht="13.5" customHeight="1" spans="1:26">
      <c r="A914" s="20"/>
      <c r="B914" s="20"/>
      <c r="C914" s="20"/>
      <c r="D914" s="20"/>
      <c r="E914" s="20"/>
      <c r="F914" s="20"/>
      <c r="G914" s="20"/>
      <c r="H914" s="20"/>
      <c r="I914" s="20"/>
      <c r="J914" s="20"/>
      <c r="K914" s="20"/>
      <c r="L914" s="20"/>
      <c r="M914" s="20"/>
      <c r="N914" s="20"/>
      <c r="O914" s="20"/>
      <c r="P914" s="20"/>
      <c r="Q914" s="20"/>
      <c r="R914" s="20"/>
      <c r="S914" s="20"/>
      <c r="T914" s="20"/>
      <c r="U914" s="20"/>
      <c r="V914" s="20"/>
      <c r="W914" s="20"/>
      <c r="X914" s="20"/>
      <c r="Y914" s="20"/>
      <c r="Z914" s="20"/>
    </row>
    <row r="915" ht="13.5" customHeight="1" spans="1:26">
      <c r="A915" s="20"/>
      <c r="B915" s="20"/>
      <c r="C915" s="20"/>
      <c r="D915" s="20"/>
      <c r="E915" s="20"/>
      <c r="F915" s="20"/>
      <c r="G915" s="20"/>
      <c r="H915" s="20"/>
      <c r="I915" s="20"/>
      <c r="J915" s="20"/>
      <c r="K915" s="20"/>
      <c r="L915" s="20"/>
      <c r="M915" s="20"/>
      <c r="N915" s="20"/>
      <c r="O915" s="20"/>
      <c r="P915" s="20"/>
      <c r="Q915" s="20"/>
      <c r="R915" s="20"/>
      <c r="S915" s="20"/>
      <c r="T915" s="20"/>
      <c r="U915" s="20"/>
      <c r="V915" s="20"/>
      <c r="W915" s="20"/>
      <c r="X915" s="20"/>
      <c r="Y915" s="20"/>
      <c r="Z915" s="20"/>
    </row>
    <row r="916" ht="13.5" customHeight="1" spans="1:26">
      <c r="A916" s="20"/>
      <c r="B916" s="20"/>
      <c r="C916" s="20"/>
      <c r="D916" s="20"/>
      <c r="E916" s="20"/>
      <c r="F916" s="20"/>
      <c r="G916" s="20"/>
      <c r="H916" s="20"/>
      <c r="I916" s="20"/>
      <c r="J916" s="20"/>
      <c r="K916" s="20"/>
      <c r="L916" s="20"/>
      <c r="M916" s="20"/>
      <c r="N916" s="20"/>
      <c r="O916" s="20"/>
      <c r="P916" s="20"/>
      <c r="Q916" s="20"/>
      <c r="R916" s="20"/>
      <c r="S916" s="20"/>
      <c r="T916" s="20"/>
      <c r="U916" s="20"/>
      <c r="V916" s="20"/>
      <c r="W916" s="20"/>
      <c r="X916" s="20"/>
      <c r="Y916" s="20"/>
      <c r="Z916" s="20"/>
    </row>
    <row r="917" ht="13.5" customHeight="1" spans="1:26">
      <c r="A917" s="20"/>
      <c r="B917" s="20"/>
      <c r="C917" s="20"/>
      <c r="D917" s="20"/>
      <c r="E917" s="20"/>
      <c r="F917" s="20"/>
      <c r="G917" s="20"/>
      <c r="H917" s="20"/>
      <c r="I917" s="20"/>
      <c r="J917" s="20"/>
      <c r="K917" s="20"/>
      <c r="L917" s="20"/>
      <c r="M917" s="20"/>
      <c r="N917" s="20"/>
      <c r="O917" s="20"/>
      <c r="P917" s="20"/>
      <c r="Q917" s="20"/>
      <c r="R917" s="20"/>
      <c r="S917" s="20"/>
      <c r="T917" s="20"/>
      <c r="U917" s="20"/>
      <c r="V917" s="20"/>
      <c r="W917" s="20"/>
      <c r="X917" s="20"/>
      <c r="Y917" s="20"/>
      <c r="Z917" s="20"/>
    </row>
    <row r="918" ht="13.5" customHeight="1" spans="1:26">
      <c r="A918" s="20"/>
      <c r="B918" s="20"/>
      <c r="C918" s="20"/>
      <c r="D918" s="20"/>
      <c r="E918" s="20"/>
      <c r="F918" s="20"/>
      <c r="G918" s="20"/>
      <c r="H918" s="20"/>
      <c r="I918" s="20"/>
      <c r="J918" s="20"/>
      <c r="K918" s="20"/>
      <c r="L918" s="20"/>
      <c r="M918" s="20"/>
      <c r="N918" s="20"/>
      <c r="O918" s="20"/>
      <c r="P918" s="20"/>
      <c r="Q918" s="20"/>
      <c r="R918" s="20"/>
      <c r="S918" s="20"/>
      <c r="T918" s="20"/>
      <c r="U918" s="20"/>
      <c r="V918" s="20"/>
      <c r="W918" s="20"/>
      <c r="X918" s="20"/>
      <c r="Y918" s="20"/>
      <c r="Z918" s="20"/>
    </row>
    <row r="919" ht="13.5" customHeight="1" spans="1:26">
      <c r="A919" s="20"/>
      <c r="B919" s="20"/>
      <c r="C919" s="20"/>
      <c r="D919" s="20"/>
      <c r="E919" s="20"/>
      <c r="F919" s="20"/>
      <c r="G919" s="20"/>
      <c r="H919" s="20"/>
      <c r="I919" s="20"/>
      <c r="J919" s="20"/>
      <c r="K919" s="20"/>
      <c r="L919" s="20"/>
      <c r="M919" s="20"/>
      <c r="N919" s="20"/>
      <c r="O919" s="20"/>
      <c r="P919" s="20"/>
      <c r="Q919" s="20"/>
      <c r="R919" s="20"/>
      <c r="S919" s="20"/>
      <c r="T919" s="20"/>
      <c r="U919" s="20"/>
      <c r="V919" s="20"/>
      <c r="W919" s="20"/>
      <c r="X919" s="20"/>
      <c r="Y919" s="20"/>
      <c r="Z919" s="20"/>
    </row>
    <row r="920" ht="13.5" customHeight="1" spans="1:26">
      <c r="A920" s="20"/>
      <c r="B920" s="20"/>
      <c r="C920" s="20"/>
      <c r="D920" s="20"/>
      <c r="E920" s="20"/>
      <c r="F920" s="20"/>
      <c r="G920" s="20"/>
      <c r="H920" s="20"/>
      <c r="I920" s="20"/>
      <c r="J920" s="20"/>
      <c r="K920" s="20"/>
      <c r="L920" s="20"/>
      <c r="M920" s="20"/>
      <c r="N920" s="20"/>
      <c r="O920" s="20"/>
      <c r="P920" s="20"/>
      <c r="Q920" s="20"/>
      <c r="R920" s="20"/>
      <c r="S920" s="20"/>
      <c r="T920" s="20"/>
      <c r="U920" s="20"/>
      <c r="V920" s="20"/>
      <c r="W920" s="20"/>
      <c r="X920" s="20"/>
      <c r="Y920" s="20"/>
      <c r="Z920" s="20"/>
    </row>
    <row r="921" ht="13.5" customHeight="1" spans="1:26">
      <c r="A921" s="20"/>
      <c r="B921" s="20"/>
      <c r="C921" s="20"/>
      <c r="D921" s="20"/>
      <c r="E921" s="20"/>
      <c r="F921" s="20"/>
      <c r="G921" s="20"/>
      <c r="H921" s="20"/>
      <c r="I921" s="20"/>
      <c r="J921" s="20"/>
      <c r="K921" s="20"/>
      <c r="L921" s="20"/>
      <c r="M921" s="20"/>
      <c r="N921" s="20"/>
      <c r="O921" s="20"/>
      <c r="P921" s="20"/>
      <c r="Q921" s="20"/>
      <c r="R921" s="20"/>
      <c r="S921" s="20"/>
      <c r="T921" s="20"/>
      <c r="U921" s="20"/>
      <c r="V921" s="20"/>
      <c r="W921" s="20"/>
      <c r="X921" s="20"/>
      <c r="Y921" s="20"/>
      <c r="Z921" s="20"/>
    </row>
    <row r="922" ht="13.5" customHeight="1" spans="1:26">
      <c r="A922" s="20"/>
      <c r="B922" s="20"/>
      <c r="C922" s="20"/>
      <c r="D922" s="20"/>
      <c r="E922" s="20"/>
      <c r="F922" s="20"/>
      <c r="G922" s="20"/>
      <c r="H922" s="20"/>
      <c r="I922" s="20"/>
      <c r="J922" s="20"/>
      <c r="K922" s="20"/>
      <c r="L922" s="20"/>
      <c r="M922" s="20"/>
      <c r="N922" s="20"/>
      <c r="O922" s="20"/>
      <c r="P922" s="20"/>
      <c r="Q922" s="20"/>
      <c r="R922" s="20"/>
      <c r="S922" s="20"/>
      <c r="T922" s="20"/>
      <c r="U922" s="20"/>
      <c r="V922" s="20"/>
      <c r="W922" s="20"/>
      <c r="X922" s="20"/>
      <c r="Y922" s="20"/>
      <c r="Z922" s="20"/>
    </row>
    <row r="923" ht="13.5" customHeight="1" spans="1:26">
      <c r="A923" s="20"/>
      <c r="B923" s="20"/>
      <c r="C923" s="20"/>
      <c r="D923" s="20"/>
      <c r="E923" s="20"/>
      <c r="F923" s="20"/>
      <c r="G923" s="20"/>
      <c r="H923" s="20"/>
      <c r="I923" s="20"/>
      <c r="J923" s="20"/>
      <c r="K923" s="20"/>
      <c r="L923" s="20"/>
      <c r="M923" s="20"/>
      <c r="N923" s="20"/>
      <c r="O923" s="20"/>
      <c r="P923" s="20"/>
      <c r="Q923" s="20"/>
      <c r="R923" s="20"/>
      <c r="S923" s="20"/>
      <c r="T923" s="20"/>
      <c r="U923" s="20"/>
      <c r="V923" s="20"/>
      <c r="W923" s="20"/>
      <c r="X923" s="20"/>
      <c r="Y923" s="20"/>
      <c r="Z923" s="20"/>
    </row>
    <row r="924" ht="13.5" customHeight="1" spans="1:26">
      <c r="A924" s="20"/>
      <c r="B924" s="20"/>
      <c r="C924" s="20"/>
      <c r="D924" s="20"/>
      <c r="E924" s="20"/>
      <c r="F924" s="20"/>
      <c r="G924" s="20"/>
      <c r="H924" s="20"/>
      <c r="I924" s="20"/>
      <c r="J924" s="20"/>
      <c r="K924" s="20"/>
      <c r="L924" s="20"/>
      <c r="M924" s="20"/>
      <c r="N924" s="20"/>
      <c r="O924" s="20"/>
      <c r="P924" s="20"/>
      <c r="Q924" s="20"/>
      <c r="R924" s="20"/>
      <c r="S924" s="20"/>
      <c r="T924" s="20"/>
      <c r="U924" s="20"/>
      <c r="V924" s="20"/>
      <c r="W924" s="20"/>
      <c r="X924" s="20"/>
      <c r="Y924" s="20"/>
      <c r="Z924" s="20"/>
    </row>
    <row r="925" ht="13.5" customHeight="1" spans="1:26">
      <c r="A925" s="20"/>
      <c r="B925" s="20"/>
      <c r="C925" s="20"/>
      <c r="D925" s="20"/>
      <c r="E925" s="20"/>
      <c r="F925" s="20"/>
      <c r="G925" s="20"/>
      <c r="H925" s="20"/>
      <c r="I925" s="20"/>
      <c r="J925" s="20"/>
      <c r="K925" s="20"/>
      <c r="L925" s="20"/>
      <c r="M925" s="20"/>
      <c r="N925" s="20"/>
      <c r="O925" s="20"/>
      <c r="P925" s="20"/>
      <c r="Q925" s="20"/>
      <c r="R925" s="20"/>
      <c r="S925" s="20"/>
      <c r="T925" s="20"/>
      <c r="U925" s="20"/>
      <c r="V925" s="20"/>
      <c r="W925" s="20"/>
      <c r="X925" s="20"/>
      <c r="Y925" s="20"/>
      <c r="Z925" s="20"/>
    </row>
    <row r="926" ht="13.5" customHeight="1" spans="1:26">
      <c r="A926" s="20"/>
      <c r="B926" s="20"/>
      <c r="C926" s="20"/>
      <c r="D926" s="20"/>
      <c r="E926" s="20"/>
      <c r="F926" s="20"/>
      <c r="G926" s="20"/>
      <c r="H926" s="20"/>
      <c r="I926" s="20"/>
      <c r="J926" s="20"/>
      <c r="K926" s="20"/>
      <c r="L926" s="20"/>
      <c r="M926" s="20"/>
      <c r="N926" s="20"/>
      <c r="O926" s="20"/>
      <c r="P926" s="20"/>
      <c r="Q926" s="20"/>
      <c r="R926" s="20"/>
      <c r="S926" s="20"/>
      <c r="T926" s="20"/>
      <c r="U926" s="20"/>
      <c r="V926" s="20"/>
      <c r="W926" s="20"/>
      <c r="X926" s="20"/>
      <c r="Y926" s="20"/>
      <c r="Z926" s="20"/>
    </row>
    <row r="927" ht="13.5" customHeight="1" spans="1:26">
      <c r="A927" s="20"/>
      <c r="B927" s="20"/>
      <c r="C927" s="20"/>
      <c r="D927" s="20"/>
      <c r="E927" s="20"/>
      <c r="F927" s="20"/>
      <c r="G927" s="20"/>
      <c r="H927" s="20"/>
      <c r="I927" s="20"/>
      <c r="J927" s="20"/>
      <c r="K927" s="20"/>
      <c r="L927" s="20"/>
      <c r="M927" s="20"/>
      <c r="N927" s="20"/>
      <c r="O927" s="20"/>
      <c r="P927" s="20"/>
      <c r="Q927" s="20"/>
      <c r="R927" s="20"/>
      <c r="S927" s="20"/>
      <c r="T927" s="20"/>
      <c r="U927" s="20"/>
      <c r="V927" s="20"/>
      <c r="W927" s="20"/>
      <c r="X927" s="20"/>
      <c r="Y927" s="20"/>
      <c r="Z927" s="20"/>
    </row>
    <row r="928" ht="13.5" customHeight="1" spans="1:26">
      <c r="A928" s="20"/>
      <c r="B928" s="20"/>
      <c r="C928" s="20"/>
      <c r="D928" s="20"/>
      <c r="E928" s="20"/>
      <c r="F928" s="20"/>
      <c r="G928" s="20"/>
      <c r="H928" s="20"/>
      <c r="I928" s="20"/>
      <c r="J928" s="20"/>
      <c r="K928" s="20"/>
      <c r="L928" s="20"/>
      <c r="M928" s="20"/>
      <c r="N928" s="20"/>
      <c r="O928" s="20"/>
      <c r="P928" s="20"/>
      <c r="Q928" s="20"/>
      <c r="R928" s="20"/>
      <c r="S928" s="20"/>
      <c r="T928" s="20"/>
      <c r="U928" s="20"/>
      <c r="V928" s="20"/>
      <c r="W928" s="20"/>
      <c r="X928" s="20"/>
      <c r="Y928" s="20"/>
      <c r="Z928" s="20"/>
    </row>
    <row r="929" ht="13.5" customHeight="1" spans="1:26">
      <c r="A929" s="20"/>
      <c r="B929" s="20"/>
      <c r="C929" s="20"/>
      <c r="D929" s="20"/>
      <c r="E929" s="20"/>
      <c r="F929" s="20"/>
      <c r="G929" s="20"/>
      <c r="H929" s="20"/>
      <c r="I929" s="20"/>
      <c r="J929" s="20"/>
      <c r="K929" s="20"/>
      <c r="L929" s="20"/>
      <c r="M929" s="20"/>
      <c r="N929" s="20"/>
      <c r="O929" s="20"/>
      <c r="P929" s="20"/>
      <c r="Q929" s="20"/>
      <c r="R929" s="20"/>
      <c r="S929" s="20"/>
      <c r="T929" s="20"/>
      <c r="U929" s="20"/>
      <c r="V929" s="20"/>
      <c r="W929" s="20"/>
      <c r="X929" s="20"/>
      <c r="Y929" s="20"/>
      <c r="Z929" s="20"/>
    </row>
    <row r="930" ht="13.5" customHeight="1" spans="1:26">
      <c r="A930" s="20"/>
      <c r="B930" s="20"/>
      <c r="C930" s="20"/>
      <c r="D930" s="20"/>
      <c r="E930" s="20"/>
      <c r="F930" s="20"/>
      <c r="G930" s="20"/>
      <c r="H930" s="20"/>
      <c r="I930" s="20"/>
      <c r="J930" s="20"/>
      <c r="K930" s="20"/>
      <c r="L930" s="20"/>
      <c r="M930" s="20"/>
      <c r="N930" s="20"/>
      <c r="O930" s="20"/>
      <c r="P930" s="20"/>
      <c r="Q930" s="20"/>
      <c r="R930" s="20"/>
      <c r="S930" s="20"/>
      <c r="T930" s="20"/>
      <c r="U930" s="20"/>
      <c r="V930" s="20"/>
      <c r="W930" s="20"/>
      <c r="X930" s="20"/>
      <c r="Y930" s="20"/>
      <c r="Z930" s="20"/>
    </row>
    <row r="931" ht="13.5" customHeight="1" spans="1:26">
      <c r="A931" s="20"/>
      <c r="B931" s="20"/>
      <c r="C931" s="20"/>
      <c r="D931" s="20"/>
      <c r="E931" s="20"/>
      <c r="F931" s="20"/>
      <c r="G931" s="20"/>
      <c r="H931" s="20"/>
      <c r="I931" s="20"/>
      <c r="J931" s="20"/>
      <c r="K931" s="20"/>
      <c r="L931" s="20"/>
      <c r="M931" s="20"/>
      <c r="N931" s="20"/>
      <c r="O931" s="20"/>
      <c r="P931" s="20"/>
      <c r="Q931" s="20"/>
      <c r="R931" s="20"/>
      <c r="S931" s="20"/>
      <c r="T931" s="20"/>
      <c r="U931" s="20"/>
      <c r="V931" s="20"/>
      <c r="W931" s="20"/>
      <c r="X931" s="20"/>
      <c r="Y931" s="20"/>
      <c r="Z931" s="20"/>
    </row>
    <row r="932" ht="13.5" customHeight="1" spans="1:26">
      <c r="A932" s="20"/>
      <c r="B932" s="20"/>
      <c r="C932" s="20"/>
      <c r="D932" s="20"/>
      <c r="E932" s="20"/>
      <c r="F932" s="20"/>
      <c r="G932" s="20"/>
      <c r="H932" s="20"/>
      <c r="I932" s="20"/>
      <c r="J932" s="20"/>
      <c r="K932" s="20"/>
      <c r="L932" s="20"/>
      <c r="M932" s="20"/>
      <c r="N932" s="20"/>
      <c r="O932" s="20"/>
      <c r="P932" s="20"/>
      <c r="Q932" s="20"/>
      <c r="R932" s="20"/>
      <c r="S932" s="20"/>
      <c r="T932" s="20"/>
      <c r="U932" s="20"/>
      <c r="V932" s="20"/>
      <c r="W932" s="20"/>
      <c r="X932" s="20"/>
      <c r="Y932" s="20"/>
      <c r="Z932" s="20"/>
    </row>
    <row r="933" ht="13.5" customHeight="1" spans="1:26">
      <c r="A933" s="20"/>
      <c r="B933" s="20"/>
      <c r="C933" s="20"/>
      <c r="D933" s="20"/>
      <c r="E933" s="20"/>
      <c r="F933" s="20"/>
      <c r="G933" s="20"/>
      <c r="H933" s="20"/>
      <c r="I933" s="20"/>
      <c r="J933" s="20"/>
      <c r="K933" s="20"/>
      <c r="L933" s="20"/>
      <c r="M933" s="20"/>
      <c r="N933" s="20"/>
      <c r="O933" s="20"/>
      <c r="P933" s="20"/>
      <c r="Q933" s="20"/>
      <c r="R933" s="20"/>
      <c r="S933" s="20"/>
      <c r="T933" s="20"/>
      <c r="U933" s="20"/>
      <c r="V933" s="20"/>
      <c r="W933" s="20"/>
      <c r="X933" s="20"/>
      <c r="Y933" s="20"/>
      <c r="Z933" s="20"/>
    </row>
    <row r="934" ht="13.5" customHeight="1" spans="1:26">
      <c r="A934" s="20"/>
      <c r="B934" s="20"/>
      <c r="C934" s="20"/>
      <c r="D934" s="20"/>
      <c r="E934" s="20"/>
      <c r="F934" s="20"/>
      <c r="G934" s="20"/>
      <c r="H934" s="20"/>
      <c r="I934" s="20"/>
      <c r="J934" s="20"/>
      <c r="K934" s="20"/>
      <c r="L934" s="20"/>
      <c r="M934" s="20"/>
      <c r="N934" s="20"/>
      <c r="O934" s="20"/>
      <c r="P934" s="20"/>
      <c r="Q934" s="20"/>
      <c r="R934" s="20"/>
      <c r="S934" s="20"/>
      <c r="T934" s="20"/>
      <c r="U934" s="20"/>
      <c r="V934" s="20"/>
      <c r="W934" s="20"/>
      <c r="X934" s="20"/>
      <c r="Y934" s="20"/>
      <c r="Z934" s="20"/>
    </row>
    <row r="935" ht="13.5" customHeight="1" spans="1:26">
      <c r="A935" s="20"/>
      <c r="B935" s="20"/>
      <c r="C935" s="20"/>
      <c r="D935" s="20"/>
      <c r="E935" s="20"/>
      <c r="F935" s="20"/>
      <c r="G935" s="20"/>
      <c r="H935" s="20"/>
      <c r="I935" s="20"/>
      <c r="J935" s="20"/>
      <c r="K935" s="20"/>
      <c r="L935" s="20"/>
      <c r="M935" s="20"/>
      <c r="N935" s="20"/>
      <c r="O935" s="20"/>
      <c r="P935" s="20"/>
      <c r="Q935" s="20"/>
      <c r="R935" s="20"/>
      <c r="S935" s="20"/>
      <c r="T935" s="20"/>
      <c r="U935" s="20"/>
      <c r="V935" s="20"/>
      <c r="W935" s="20"/>
      <c r="X935" s="20"/>
      <c r="Y935" s="20"/>
      <c r="Z935" s="20"/>
    </row>
    <row r="936" ht="13.5" customHeight="1" spans="1:26">
      <c r="A936" s="20"/>
      <c r="B936" s="20"/>
      <c r="C936" s="20"/>
      <c r="D936" s="20"/>
      <c r="E936" s="20"/>
      <c r="F936" s="20"/>
      <c r="G936" s="20"/>
      <c r="H936" s="20"/>
      <c r="I936" s="20"/>
      <c r="J936" s="20"/>
      <c r="K936" s="20"/>
      <c r="L936" s="20"/>
      <c r="M936" s="20"/>
      <c r="N936" s="20"/>
      <c r="O936" s="20"/>
      <c r="P936" s="20"/>
      <c r="Q936" s="20"/>
      <c r="R936" s="20"/>
      <c r="S936" s="20"/>
      <c r="T936" s="20"/>
      <c r="U936" s="20"/>
      <c r="V936" s="20"/>
      <c r="W936" s="20"/>
      <c r="X936" s="20"/>
      <c r="Y936" s="20"/>
      <c r="Z936" s="20"/>
    </row>
    <row r="937" ht="13.5" customHeight="1" spans="1:26">
      <c r="A937" s="20"/>
      <c r="B937" s="20"/>
      <c r="C937" s="20"/>
      <c r="D937" s="20"/>
      <c r="E937" s="20"/>
      <c r="F937" s="20"/>
      <c r="G937" s="20"/>
      <c r="H937" s="20"/>
      <c r="I937" s="20"/>
      <c r="J937" s="20"/>
      <c r="K937" s="20"/>
      <c r="L937" s="20"/>
      <c r="M937" s="20"/>
      <c r="N937" s="20"/>
      <c r="O937" s="20"/>
      <c r="P937" s="20"/>
      <c r="Q937" s="20"/>
      <c r="R937" s="20"/>
      <c r="S937" s="20"/>
      <c r="T937" s="20"/>
      <c r="U937" s="20"/>
      <c r="V937" s="20"/>
      <c r="W937" s="20"/>
      <c r="X937" s="20"/>
      <c r="Y937" s="20"/>
      <c r="Z937" s="20"/>
    </row>
    <row r="938" ht="13.5" customHeight="1" spans="1:26">
      <c r="A938" s="20"/>
      <c r="B938" s="20"/>
      <c r="C938" s="20"/>
      <c r="D938" s="20"/>
      <c r="E938" s="20"/>
      <c r="F938" s="20"/>
      <c r="G938" s="20"/>
      <c r="H938" s="20"/>
      <c r="I938" s="20"/>
      <c r="J938" s="20"/>
      <c r="K938" s="20"/>
      <c r="L938" s="20"/>
      <c r="M938" s="20"/>
      <c r="N938" s="20"/>
      <c r="O938" s="20"/>
      <c r="P938" s="20"/>
      <c r="Q938" s="20"/>
      <c r="R938" s="20"/>
      <c r="S938" s="20"/>
      <c r="T938" s="20"/>
      <c r="U938" s="20"/>
      <c r="V938" s="20"/>
      <c r="W938" s="20"/>
      <c r="X938" s="20"/>
      <c r="Y938" s="20"/>
      <c r="Z938" s="20"/>
    </row>
    <row r="939" ht="13.5" customHeight="1" spans="1:26">
      <c r="A939" s="20"/>
      <c r="B939" s="20"/>
      <c r="C939" s="20"/>
      <c r="D939" s="20"/>
      <c r="E939" s="20"/>
      <c r="F939" s="20"/>
      <c r="G939" s="20"/>
      <c r="H939" s="20"/>
      <c r="I939" s="20"/>
      <c r="J939" s="20"/>
      <c r="K939" s="20"/>
      <c r="L939" s="20"/>
      <c r="M939" s="20"/>
      <c r="N939" s="20"/>
      <c r="O939" s="20"/>
      <c r="P939" s="20"/>
      <c r="Q939" s="20"/>
      <c r="R939" s="20"/>
      <c r="S939" s="20"/>
      <c r="T939" s="20"/>
      <c r="U939" s="20"/>
      <c r="V939" s="20"/>
      <c r="W939" s="20"/>
      <c r="X939" s="20"/>
      <c r="Y939" s="20"/>
      <c r="Z939" s="20"/>
    </row>
    <row r="940" ht="13.5" customHeight="1" spans="1:26">
      <c r="A940" s="20"/>
      <c r="B940" s="20"/>
      <c r="C940" s="20"/>
      <c r="D940" s="20"/>
      <c r="E940" s="20"/>
      <c r="F940" s="20"/>
      <c r="G940" s="20"/>
      <c r="H940" s="20"/>
      <c r="I940" s="20"/>
      <c r="J940" s="20"/>
      <c r="K940" s="20"/>
      <c r="L940" s="20"/>
      <c r="M940" s="20"/>
      <c r="N940" s="20"/>
      <c r="O940" s="20"/>
      <c r="P940" s="20"/>
      <c r="Q940" s="20"/>
      <c r="R940" s="20"/>
      <c r="S940" s="20"/>
      <c r="T940" s="20"/>
      <c r="U940" s="20"/>
      <c r="V940" s="20"/>
      <c r="W940" s="20"/>
      <c r="X940" s="20"/>
      <c r="Y940" s="20"/>
      <c r="Z940" s="20"/>
    </row>
    <row r="941" ht="13.5" customHeight="1" spans="1:26">
      <c r="A941" s="20"/>
      <c r="B941" s="20"/>
      <c r="C941" s="20"/>
      <c r="D941" s="20"/>
      <c r="E941" s="20"/>
      <c r="F941" s="20"/>
      <c r="G941" s="20"/>
      <c r="H941" s="20"/>
      <c r="I941" s="20"/>
      <c r="J941" s="20"/>
      <c r="K941" s="20"/>
      <c r="L941" s="20"/>
      <c r="M941" s="20"/>
      <c r="N941" s="20"/>
      <c r="O941" s="20"/>
      <c r="P941" s="20"/>
      <c r="Q941" s="20"/>
      <c r="R941" s="20"/>
      <c r="S941" s="20"/>
      <c r="T941" s="20"/>
      <c r="U941" s="20"/>
      <c r="V941" s="20"/>
      <c r="W941" s="20"/>
      <c r="X941" s="20"/>
      <c r="Y941" s="20"/>
      <c r="Z941" s="20"/>
    </row>
    <row r="942" ht="13.5" customHeight="1" spans="1:26">
      <c r="A942" s="20"/>
      <c r="B942" s="20"/>
      <c r="C942" s="20"/>
      <c r="D942" s="20"/>
      <c r="E942" s="20"/>
      <c r="F942" s="20"/>
      <c r="G942" s="20"/>
      <c r="H942" s="20"/>
      <c r="I942" s="20"/>
      <c r="J942" s="20"/>
      <c r="K942" s="20"/>
      <c r="L942" s="20"/>
      <c r="M942" s="20"/>
      <c r="N942" s="20"/>
      <c r="O942" s="20"/>
      <c r="P942" s="20"/>
      <c r="Q942" s="20"/>
      <c r="R942" s="20"/>
      <c r="S942" s="20"/>
      <c r="T942" s="20"/>
      <c r="U942" s="20"/>
      <c r="V942" s="20"/>
      <c r="W942" s="20"/>
      <c r="X942" s="20"/>
      <c r="Y942" s="20"/>
      <c r="Z942" s="20"/>
    </row>
    <row r="943" ht="13.5" customHeight="1" spans="1:26">
      <c r="A943" s="20"/>
      <c r="B943" s="20"/>
      <c r="C943" s="20"/>
      <c r="D943" s="20"/>
      <c r="E943" s="20"/>
      <c r="F943" s="20"/>
      <c r="G943" s="20"/>
      <c r="H943" s="20"/>
      <c r="I943" s="20"/>
      <c r="J943" s="20"/>
      <c r="K943" s="20"/>
      <c r="L943" s="20"/>
      <c r="M943" s="20"/>
      <c r="N943" s="20"/>
      <c r="O943" s="20"/>
      <c r="P943" s="20"/>
      <c r="Q943" s="20"/>
      <c r="R943" s="20"/>
      <c r="S943" s="20"/>
      <c r="T943" s="20"/>
      <c r="U943" s="20"/>
      <c r="V943" s="20"/>
      <c r="W943" s="20"/>
      <c r="X943" s="20"/>
      <c r="Y943" s="20"/>
      <c r="Z943" s="20"/>
    </row>
    <row r="944" ht="13.5" customHeight="1" spans="1:26">
      <c r="A944" s="20"/>
      <c r="B944" s="20"/>
      <c r="C944" s="20"/>
      <c r="D944" s="20"/>
      <c r="E944" s="20"/>
      <c r="F944" s="20"/>
      <c r="G944" s="20"/>
      <c r="H944" s="20"/>
      <c r="I944" s="20"/>
      <c r="J944" s="20"/>
      <c r="K944" s="20"/>
      <c r="L944" s="20"/>
      <c r="M944" s="20"/>
      <c r="N944" s="20"/>
      <c r="O944" s="20"/>
      <c r="P944" s="20"/>
      <c r="Q944" s="20"/>
      <c r="R944" s="20"/>
      <c r="S944" s="20"/>
      <c r="T944" s="20"/>
      <c r="U944" s="20"/>
      <c r="V944" s="20"/>
      <c r="W944" s="20"/>
      <c r="X944" s="20"/>
      <c r="Y944" s="20"/>
      <c r="Z944" s="20"/>
    </row>
    <row r="945" ht="13.5" customHeight="1" spans="1:26">
      <c r="A945" s="20"/>
      <c r="B945" s="20"/>
      <c r="C945" s="20"/>
      <c r="D945" s="20"/>
      <c r="E945" s="20"/>
      <c r="F945" s="20"/>
      <c r="G945" s="20"/>
      <c r="H945" s="20"/>
      <c r="I945" s="20"/>
      <c r="J945" s="20"/>
      <c r="K945" s="20"/>
      <c r="L945" s="20"/>
      <c r="M945" s="20"/>
      <c r="N945" s="20"/>
      <c r="O945" s="20"/>
      <c r="P945" s="20"/>
      <c r="Q945" s="20"/>
      <c r="R945" s="20"/>
      <c r="S945" s="20"/>
      <c r="T945" s="20"/>
      <c r="U945" s="20"/>
      <c r="V945" s="20"/>
      <c r="W945" s="20"/>
      <c r="X945" s="20"/>
      <c r="Y945" s="20"/>
      <c r="Z945" s="20"/>
    </row>
    <row r="946" ht="13.5" customHeight="1" spans="1:26">
      <c r="A946" s="20"/>
      <c r="B946" s="20"/>
      <c r="C946" s="20"/>
      <c r="D946" s="20"/>
      <c r="E946" s="20"/>
      <c r="F946" s="20"/>
      <c r="G946" s="20"/>
      <c r="H946" s="20"/>
      <c r="I946" s="20"/>
      <c r="J946" s="20"/>
      <c r="K946" s="20"/>
      <c r="L946" s="20"/>
      <c r="M946" s="20"/>
      <c r="N946" s="20"/>
      <c r="O946" s="20"/>
      <c r="P946" s="20"/>
      <c r="Q946" s="20"/>
      <c r="R946" s="20"/>
      <c r="S946" s="20"/>
      <c r="T946" s="20"/>
      <c r="U946" s="20"/>
      <c r="V946" s="20"/>
      <c r="W946" s="20"/>
      <c r="X946" s="20"/>
      <c r="Y946" s="20"/>
      <c r="Z946" s="20"/>
    </row>
    <row r="947" ht="13.5" customHeight="1" spans="1:26">
      <c r="A947" s="20"/>
      <c r="B947" s="20"/>
      <c r="C947" s="20"/>
      <c r="D947" s="20"/>
      <c r="E947" s="20"/>
      <c r="F947" s="20"/>
      <c r="G947" s="20"/>
      <c r="H947" s="20"/>
      <c r="I947" s="20"/>
      <c r="J947" s="20"/>
      <c r="K947" s="20"/>
      <c r="L947" s="20"/>
      <c r="M947" s="20"/>
      <c r="N947" s="20"/>
      <c r="O947" s="20"/>
      <c r="P947" s="20"/>
      <c r="Q947" s="20"/>
      <c r="R947" s="20"/>
      <c r="S947" s="20"/>
      <c r="T947" s="20"/>
      <c r="U947" s="20"/>
      <c r="V947" s="20"/>
      <c r="W947" s="20"/>
      <c r="X947" s="20"/>
      <c r="Y947" s="20"/>
      <c r="Z947" s="20"/>
    </row>
    <row r="948" ht="13.5" customHeight="1" spans="1:26">
      <c r="A948" s="20"/>
      <c r="B948" s="20"/>
      <c r="C948" s="20"/>
      <c r="D948" s="20"/>
      <c r="E948" s="20"/>
      <c r="F948" s="20"/>
      <c r="G948" s="20"/>
      <c r="H948" s="20"/>
      <c r="I948" s="20"/>
      <c r="J948" s="20"/>
      <c r="K948" s="20"/>
      <c r="L948" s="20"/>
      <c r="M948" s="20"/>
      <c r="N948" s="20"/>
      <c r="O948" s="20"/>
      <c r="P948" s="20"/>
      <c r="Q948" s="20"/>
      <c r="R948" s="20"/>
      <c r="S948" s="20"/>
      <c r="T948" s="20"/>
      <c r="U948" s="20"/>
      <c r="V948" s="20"/>
      <c r="W948" s="20"/>
      <c r="X948" s="20"/>
      <c r="Y948" s="20"/>
      <c r="Z948" s="20"/>
    </row>
    <row r="949" ht="13.5" customHeight="1" spans="1:26">
      <c r="A949" s="20"/>
      <c r="B949" s="20"/>
      <c r="C949" s="20"/>
      <c r="D949" s="20"/>
      <c r="E949" s="20"/>
      <c r="F949" s="20"/>
      <c r="G949" s="20"/>
      <c r="H949" s="20"/>
      <c r="I949" s="20"/>
      <c r="J949" s="20"/>
      <c r="K949" s="20"/>
      <c r="L949" s="20"/>
      <c r="M949" s="20"/>
      <c r="N949" s="20"/>
      <c r="O949" s="20"/>
      <c r="P949" s="20"/>
      <c r="Q949" s="20"/>
      <c r="R949" s="20"/>
      <c r="S949" s="20"/>
      <c r="T949" s="20"/>
      <c r="U949" s="20"/>
      <c r="V949" s="20"/>
      <c r="W949" s="20"/>
      <c r="X949" s="20"/>
      <c r="Y949" s="20"/>
      <c r="Z949" s="20"/>
    </row>
    <row r="950" ht="13.5" customHeight="1" spans="1:26">
      <c r="A950" s="20"/>
      <c r="B950" s="20"/>
      <c r="C950" s="20"/>
      <c r="D950" s="20"/>
      <c r="E950" s="20"/>
      <c r="F950" s="20"/>
      <c r="G950" s="20"/>
      <c r="H950" s="20"/>
      <c r="I950" s="20"/>
      <c r="J950" s="20"/>
      <c r="K950" s="20"/>
      <c r="L950" s="20"/>
      <c r="M950" s="20"/>
      <c r="N950" s="20"/>
      <c r="O950" s="20"/>
      <c r="P950" s="20"/>
      <c r="Q950" s="20"/>
      <c r="R950" s="20"/>
      <c r="S950" s="20"/>
      <c r="T950" s="20"/>
      <c r="U950" s="20"/>
      <c r="V950" s="20"/>
      <c r="W950" s="20"/>
      <c r="X950" s="20"/>
      <c r="Y950" s="20"/>
      <c r="Z950" s="20"/>
    </row>
    <row r="951" ht="13.5" customHeight="1" spans="1:26">
      <c r="A951" s="20"/>
      <c r="B951" s="20"/>
      <c r="C951" s="20"/>
      <c r="D951" s="20"/>
      <c r="E951" s="20"/>
      <c r="F951" s="20"/>
      <c r="G951" s="20"/>
      <c r="H951" s="20"/>
      <c r="I951" s="20"/>
      <c r="J951" s="20"/>
      <c r="K951" s="20"/>
      <c r="L951" s="20"/>
      <c r="M951" s="20"/>
      <c r="N951" s="20"/>
      <c r="O951" s="20"/>
      <c r="P951" s="20"/>
      <c r="Q951" s="20"/>
      <c r="R951" s="20"/>
      <c r="S951" s="20"/>
      <c r="T951" s="20"/>
      <c r="U951" s="20"/>
      <c r="V951" s="20"/>
      <c r="W951" s="20"/>
      <c r="X951" s="20"/>
      <c r="Y951" s="20"/>
      <c r="Z951" s="20"/>
    </row>
    <row r="952" ht="13.5" customHeight="1" spans="1:26">
      <c r="A952" s="20"/>
      <c r="B952" s="20"/>
      <c r="C952" s="20"/>
      <c r="D952" s="20"/>
      <c r="E952" s="20"/>
      <c r="F952" s="20"/>
      <c r="G952" s="20"/>
      <c r="H952" s="20"/>
      <c r="I952" s="20"/>
      <c r="J952" s="20"/>
      <c r="K952" s="20"/>
      <c r="L952" s="20"/>
      <c r="M952" s="20"/>
      <c r="N952" s="20"/>
      <c r="O952" s="20"/>
      <c r="P952" s="20"/>
      <c r="Q952" s="20"/>
      <c r="R952" s="20"/>
      <c r="S952" s="20"/>
      <c r="T952" s="20"/>
      <c r="U952" s="20"/>
      <c r="V952" s="20"/>
      <c r="W952" s="20"/>
      <c r="X952" s="20"/>
      <c r="Y952" s="20"/>
      <c r="Z952" s="20"/>
    </row>
    <row r="953" ht="13.5" customHeight="1" spans="1:26">
      <c r="A953" s="20"/>
      <c r="B953" s="20"/>
      <c r="C953" s="20"/>
      <c r="D953" s="20"/>
      <c r="E953" s="20"/>
      <c r="F953" s="20"/>
      <c r="G953" s="20"/>
      <c r="H953" s="20"/>
      <c r="I953" s="20"/>
      <c r="J953" s="20"/>
      <c r="K953" s="20"/>
      <c r="L953" s="20"/>
      <c r="M953" s="20"/>
      <c r="N953" s="20"/>
      <c r="O953" s="20"/>
      <c r="P953" s="20"/>
      <c r="Q953" s="20"/>
      <c r="R953" s="20"/>
      <c r="S953" s="20"/>
      <c r="T953" s="20"/>
      <c r="U953" s="20"/>
      <c r="V953" s="20"/>
      <c r="W953" s="20"/>
      <c r="X953" s="20"/>
      <c r="Y953" s="20"/>
      <c r="Z953" s="20"/>
    </row>
    <row r="954" ht="13.5" customHeight="1" spans="1:26">
      <c r="A954" s="20"/>
      <c r="B954" s="20"/>
      <c r="C954" s="20"/>
      <c r="D954" s="20"/>
      <c r="E954" s="20"/>
      <c r="F954" s="20"/>
      <c r="G954" s="20"/>
      <c r="H954" s="20"/>
      <c r="I954" s="20"/>
      <c r="J954" s="20"/>
      <c r="K954" s="20"/>
      <c r="L954" s="20"/>
      <c r="M954" s="20"/>
      <c r="N954" s="20"/>
      <c r="O954" s="20"/>
      <c r="P954" s="20"/>
      <c r="Q954" s="20"/>
      <c r="R954" s="20"/>
      <c r="S954" s="20"/>
      <c r="T954" s="20"/>
      <c r="U954" s="20"/>
      <c r="V954" s="20"/>
      <c r="W954" s="20"/>
      <c r="X954" s="20"/>
      <c r="Y954" s="20"/>
      <c r="Z954" s="20"/>
    </row>
    <row r="955" ht="13.5" customHeight="1" spans="1:26">
      <c r="A955" s="20"/>
      <c r="B955" s="20"/>
      <c r="C955" s="20"/>
      <c r="D955" s="20"/>
      <c r="E955" s="20"/>
      <c r="F955" s="20"/>
      <c r="G955" s="20"/>
      <c r="H955" s="20"/>
      <c r="I955" s="20"/>
      <c r="J955" s="20"/>
      <c r="K955" s="20"/>
      <c r="L955" s="20"/>
      <c r="M955" s="20"/>
      <c r="N955" s="20"/>
      <c r="O955" s="20"/>
      <c r="P955" s="20"/>
      <c r="Q955" s="20"/>
      <c r="R955" s="20"/>
      <c r="S955" s="20"/>
      <c r="T955" s="20"/>
      <c r="U955" s="20"/>
      <c r="V955" s="20"/>
      <c r="W955" s="20"/>
      <c r="X955" s="20"/>
      <c r="Y955" s="20"/>
      <c r="Z955" s="20"/>
    </row>
    <row r="956" ht="13.5" customHeight="1" spans="1:26">
      <c r="A956" s="20"/>
      <c r="B956" s="20"/>
      <c r="C956" s="20"/>
      <c r="D956" s="20"/>
      <c r="E956" s="20"/>
      <c r="F956" s="20"/>
      <c r="G956" s="20"/>
      <c r="H956" s="20"/>
      <c r="I956" s="20"/>
      <c r="J956" s="20"/>
      <c r="K956" s="20"/>
      <c r="L956" s="20"/>
      <c r="M956" s="20"/>
      <c r="N956" s="20"/>
      <c r="O956" s="20"/>
      <c r="P956" s="20"/>
      <c r="Q956" s="20"/>
      <c r="R956" s="20"/>
      <c r="S956" s="20"/>
      <c r="T956" s="20"/>
      <c r="U956" s="20"/>
      <c r="V956" s="20"/>
      <c r="W956" s="20"/>
      <c r="X956" s="20"/>
      <c r="Y956" s="20"/>
      <c r="Z956" s="20"/>
    </row>
    <row r="957" ht="13.5" customHeight="1" spans="1:26">
      <c r="A957" s="20"/>
      <c r="B957" s="20"/>
      <c r="C957" s="20"/>
      <c r="D957" s="20"/>
      <c r="E957" s="20"/>
      <c r="F957" s="20"/>
      <c r="G957" s="20"/>
      <c r="H957" s="20"/>
      <c r="I957" s="20"/>
      <c r="J957" s="20"/>
      <c r="K957" s="20"/>
      <c r="L957" s="20"/>
      <c r="M957" s="20"/>
      <c r="N957" s="20"/>
      <c r="O957" s="20"/>
      <c r="P957" s="20"/>
      <c r="Q957" s="20"/>
      <c r="R957" s="20"/>
      <c r="S957" s="20"/>
      <c r="T957" s="20"/>
      <c r="U957" s="20"/>
      <c r="V957" s="20"/>
      <c r="W957" s="20"/>
      <c r="X957" s="20"/>
      <c r="Y957" s="20"/>
      <c r="Z957" s="20"/>
    </row>
    <row r="958" ht="13.5" customHeight="1" spans="1:26">
      <c r="A958" s="20"/>
      <c r="B958" s="20"/>
      <c r="C958" s="20"/>
      <c r="D958" s="20"/>
      <c r="E958" s="20"/>
      <c r="F958" s="20"/>
      <c r="G958" s="20"/>
      <c r="H958" s="20"/>
      <c r="I958" s="20"/>
      <c r="J958" s="20"/>
      <c r="K958" s="20"/>
      <c r="L958" s="20"/>
      <c r="M958" s="20"/>
      <c r="N958" s="20"/>
      <c r="O958" s="20"/>
      <c r="P958" s="20"/>
      <c r="Q958" s="20"/>
      <c r="R958" s="20"/>
      <c r="S958" s="20"/>
      <c r="T958" s="20"/>
      <c r="U958" s="20"/>
      <c r="V958" s="20"/>
      <c r="W958" s="20"/>
      <c r="X958" s="20"/>
      <c r="Y958" s="20"/>
      <c r="Z958" s="20"/>
    </row>
    <row r="959" ht="13.5" customHeight="1" spans="1:26">
      <c r="A959" s="20"/>
      <c r="B959" s="20"/>
      <c r="C959" s="20"/>
      <c r="D959" s="20"/>
      <c r="E959" s="20"/>
      <c r="F959" s="20"/>
      <c r="G959" s="20"/>
      <c r="H959" s="20"/>
      <c r="I959" s="20"/>
      <c r="J959" s="20"/>
      <c r="K959" s="20"/>
      <c r="L959" s="20"/>
      <c r="M959" s="20"/>
      <c r="N959" s="20"/>
      <c r="O959" s="20"/>
      <c r="P959" s="20"/>
      <c r="Q959" s="20"/>
      <c r="R959" s="20"/>
      <c r="S959" s="20"/>
      <c r="T959" s="20"/>
      <c r="U959" s="20"/>
      <c r="V959" s="20"/>
      <c r="W959" s="20"/>
      <c r="X959" s="20"/>
      <c r="Y959" s="20"/>
      <c r="Z959" s="20"/>
    </row>
    <row r="960" ht="13.5" customHeight="1" spans="1:26">
      <c r="A960" s="20"/>
      <c r="B960" s="20"/>
      <c r="C960" s="20"/>
      <c r="D960" s="20"/>
      <c r="E960" s="20"/>
      <c r="F960" s="20"/>
      <c r="G960" s="20"/>
      <c r="H960" s="20"/>
      <c r="I960" s="20"/>
      <c r="J960" s="20"/>
      <c r="K960" s="20"/>
      <c r="L960" s="20"/>
      <c r="M960" s="20"/>
      <c r="N960" s="20"/>
      <c r="O960" s="20"/>
      <c r="P960" s="20"/>
      <c r="Q960" s="20"/>
      <c r="R960" s="20"/>
      <c r="S960" s="20"/>
      <c r="T960" s="20"/>
      <c r="U960" s="20"/>
      <c r="V960" s="20"/>
      <c r="W960" s="20"/>
      <c r="X960" s="20"/>
      <c r="Y960" s="20"/>
      <c r="Z960" s="20"/>
    </row>
    <row r="961" ht="13.5" customHeight="1" spans="1:26">
      <c r="A961" s="20"/>
      <c r="B961" s="20"/>
      <c r="C961" s="20"/>
      <c r="D961" s="20"/>
      <c r="E961" s="20"/>
      <c r="F961" s="20"/>
      <c r="G961" s="20"/>
      <c r="H961" s="20"/>
      <c r="I961" s="20"/>
      <c r="J961" s="20"/>
      <c r="K961" s="20"/>
      <c r="L961" s="20"/>
      <c r="M961" s="20"/>
      <c r="N961" s="20"/>
      <c r="O961" s="20"/>
      <c r="P961" s="20"/>
      <c r="Q961" s="20"/>
      <c r="R961" s="20"/>
      <c r="S961" s="20"/>
      <c r="T961" s="20"/>
      <c r="U961" s="20"/>
      <c r="V961" s="20"/>
      <c r="W961" s="20"/>
      <c r="X961" s="20"/>
      <c r="Y961" s="20"/>
      <c r="Z961" s="20"/>
    </row>
    <row r="962" ht="13.5" customHeight="1" spans="1:26">
      <c r="A962" s="20"/>
      <c r="B962" s="20"/>
      <c r="C962" s="20"/>
      <c r="D962" s="20"/>
      <c r="E962" s="20"/>
      <c r="F962" s="20"/>
      <c r="G962" s="20"/>
      <c r="H962" s="20"/>
      <c r="I962" s="20"/>
      <c r="J962" s="20"/>
      <c r="K962" s="20"/>
      <c r="L962" s="20"/>
      <c r="M962" s="20"/>
      <c r="N962" s="20"/>
      <c r="O962" s="20"/>
      <c r="P962" s="20"/>
      <c r="Q962" s="20"/>
      <c r="R962" s="20"/>
      <c r="S962" s="20"/>
      <c r="T962" s="20"/>
      <c r="U962" s="20"/>
      <c r="V962" s="20"/>
      <c r="W962" s="20"/>
      <c r="X962" s="20"/>
      <c r="Y962" s="20"/>
      <c r="Z962" s="20"/>
    </row>
    <row r="963" ht="13.5" customHeight="1" spans="1:26">
      <c r="A963" s="20"/>
      <c r="B963" s="20"/>
      <c r="C963" s="20"/>
      <c r="D963" s="20"/>
      <c r="E963" s="20"/>
      <c r="F963" s="20"/>
      <c r="G963" s="20"/>
      <c r="H963" s="20"/>
      <c r="I963" s="20"/>
      <c r="J963" s="20"/>
      <c r="K963" s="20"/>
      <c r="L963" s="20"/>
      <c r="M963" s="20"/>
      <c r="N963" s="20"/>
      <c r="O963" s="20"/>
      <c r="P963" s="20"/>
      <c r="Q963" s="20"/>
      <c r="R963" s="20"/>
      <c r="S963" s="20"/>
      <c r="T963" s="20"/>
      <c r="U963" s="20"/>
      <c r="V963" s="20"/>
      <c r="W963" s="20"/>
      <c r="X963" s="20"/>
      <c r="Y963" s="20"/>
      <c r="Z963" s="20"/>
    </row>
    <row r="964" ht="13.5" customHeight="1" spans="1:26">
      <c r="A964" s="20"/>
      <c r="B964" s="20"/>
      <c r="C964" s="20"/>
      <c r="D964" s="20"/>
      <c r="E964" s="20"/>
      <c r="F964" s="20"/>
      <c r="G964" s="20"/>
      <c r="H964" s="20"/>
      <c r="I964" s="20"/>
      <c r="J964" s="20"/>
      <c r="K964" s="20"/>
      <c r="L964" s="20"/>
      <c r="M964" s="20"/>
      <c r="N964" s="20"/>
      <c r="O964" s="20"/>
      <c r="P964" s="20"/>
      <c r="Q964" s="20"/>
      <c r="R964" s="20"/>
      <c r="S964" s="20"/>
      <c r="T964" s="20"/>
      <c r="U964" s="20"/>
      <c r="V964" s="20"/>
      <c r="W964" s="20"/>
      <c r="X964" s="20"/>
      <c r="Y964" s="20"/>
      <c r="Z964" s="20"/>
    </row>
    <row r="965" ht="13.5" customHeight="1" spans="1:26">
      <c r="A965" s="20"/>
      <c r="B965" s="20"/>
      <c r="C965" s="20"/>
      <c r="D965" s="20"/>
      <c r="E965" s="20"/>
      <c r="F965" s="20"/>
      <c r="G965" s="20"/>
      <c r="H965" s="20"/>
      <c r="I965" s="20"/>
      <c r="J965" s="20"/>
      <c r="K965" s="20"/>
      <c r="L965" s="20"/>
      <c r="M965" s="20"/>
      <c r="N965" s="20"/>
      <c r="O965" s="20"/>
      <c r="P965" s="20"/>
      <c r="Q965" s="20"/>
      <c r="R965" s="20"/>
      <c r="S965" s="20"/>
      <c r="T965" s="20"/>
      <c r="U965" s="20"/>
      <c r="V965" s="20"/>
      <c r="W965" s="20"/>
      <c r="X965" s="20"/>
      <c r="Y965" s="20"/>
      <c r="Z965" s="20"/>
    </row>
    <row r="966" ht="13.5" customHeight="1" spans="1:26">
      <c r="A966" s="20"/>
      <c r="B966" s="20"/>
      <c r="C966" s="20"/>
      <c r="D966" s="20"/>
      <c r="E966" s="20"/>
      <c r="F966" s="20"/>
      <c r="G966" s="20"/>
      <c r="H966" s="20"/>
      <c r="I966" s="20"/>
      <c r="J966" s="20"/>
      <c r="K966" s="20"/>
      <c r="L966" s="20"/>
      <c r="M966" s="20"/>
      <c r="N966" s="20"/>
      <c r="O966" s="20"/>
      <c r="P966" s="20"/>
      <c r="Q966" s="20"/>
      <c r="R966" s="20"/>
      <c r="S966" s="20"/>
      <c r="T966" s="20"/>
      <c r="U966" s="20"/>
      <c r="V966" s="20"/>
      <c r="W966" s="20"/>
      <c r="X966" s="20"/>
      <c r="Y966" s="20"/>
      <c r="Z966" s="20"/>
    </row>
    <row r="967" ht="13.5" customHeight="1" spans="1:26">
      <c r="A967" s="20"/>
      <c r="B967" s="20"/>
      <c r="C967" s="20"/>
      <c r="D967" s="20"/>
      <c r="E967" s="20"/>
      <c r="F967" s="20"/>
      <c r="G967" s="20"/>
      <c r="H967" s="20"/>
      <c r="I967" s="20"/>
      <c r="J967" s="20"/>
      <c r="K967" s="20"/>
      <c r="L967" s="20"/>
      <c r="M967" s="20"/>
      <c r="N967" s="20"/>
      <c r="O967" s="20"/>
      <c r="P967" s="20"/>
      <c r="Q967" s="20"/>
      <c r="R967" s="20"/>
      <c r="S967" s="20"/>
      <c r="T967" s="20"/>
      <c r="U967" s="20"/>
      <c r="V967" s="20"/>
      <c r="W967" s="20"/>
      <c r="X967" s="20"/>
      <c r="Y967" s="20"/>
      <c r="Z967" s="20"/>
    </row>
    <row r="968" ht="13.5" customHeight="1" spans="1:26">
      <c r="A968" s="20"/>
      <c r="B968" s="20"/>
      <c r="C968" s="20"/>
      <c r="D968" s="20"/>
      <c r="E968" s="20"/>
      <c r="F968" s="20"/>
      <c r="G968" s="20"/>
      <c r="H968" s="20"/>
      <c r="I968" s="20"/>
      <c r="J968" s="20"/>
      <c r="K968" s="20"/>
      <c r="L968" s="20"/>
      <c r="M968" s="20"/>
      <c r="N968" s="20"/>
      <c r="O968" s="20"/>
      <c r="P968" s="20"/>
      <c r="Q968" s="20"/>
      <c r="R968" s="20"/>
      <c r="S968" s="20"/>
      <c r="T968" s="20"/>
      <c r="U968" s="20"/>
      <c r="V968" s="20"/>
      <c r="W968" s="20"/>
      <c r="X968" s="20"/>
      <c r="Y968" s="20"/>
      <c r="Z968" s="20"/>
    </row>
    <row r="969" ht="13.5" customHeight="1" spans="1:26">
      <c r="A969" s="20"/>
      <c r="B969" s="20"/>
      <c r="C969" s="20"/>
      <c r="D969" s="20"/>
      <c r="E969" s="20"/>
      <c r="F969" s="20"/>
      <c r="G969" s="20"/>
      <c r="H969" s="20"/>
      <c r="I969" s="20"/>
      <c r="J969" s="20"/>
      <c r="K969" s="20"/>
      <c r="L969" s="20"/>
      <c r="M969" s="20"/>
      <c r="N969" s="20"/>
      <c r="O969" s="20"/>
      <c r="P969" s="20"/>
      <c r="Q969" s="20"/>
      <c r="R969" s="20"/>
      <c r="S969" s="20"/>
      <c r="T969" s="20"/>
      <c r="U969" s="20"/>
      <c r="V969" s="20"/>
      <c r="W969" s="20"/>
      <c r="X969" s="20"/>
      <c r="Y969" s="20"/>
      <c r="Z969" s="20"/>
    </row>
    <row r="970" ht="13.5" customHeight="1" spans="1:26">
      <c r="A970" s="20"/>
      <c r="B970" s="20"/>
      <c r="C970" s="20"/>
      <c r="D970" s="20"/>
      <c r="E970" s="20"/>
      <c r="F970" s="20"/>
      <c r="G970" s="20"/>
      <c r="H970" s="20"/>
      <c r="I970" s="20"/>
      <c r="J970" s="20"/>
      <c r="K970" s="20"/>
      <c r="L970" s="20"/>
      <c r="M970" s="20"/>
      <c r="N970" s="20"/>
      <c r="O970" s="20"/>
      <c r="P970" s="20"/>
      <c r="Q970" s="20"/>
      <c r="R970" s="20"/>
      <c r="S970" s="20"/>
      <c r="T970" s="20"/>
      <c r="U970" s="20"/>
      <c r="V970" s="20"/>
      <c r="W970" s="20"/>
      <c r="X970" s="20"/>
      <c r="Y970" s="20"/>
      <c r="Z970" s="20"/>
    </row>
    <row r="971" ht="13.5" customHeight="1" spans="1:26">
      <c r="A971" s="20"/>
      <c r="B971" s="20"/>
      <c r="C971" s="20"/>
      <c r="D971" s="20"/>
      <c r="E971" s="20"/>
      <c r="F971" s="20"/>
      <c r="G971" s="20"/>
      <c r="H971" s="20"/>
      <c r="I971" s="20"/>
      <c r="J971" s="20"/>
      <c r="K971" s="20"/>
      <c r="L971" s="20"/>
      <c r="M971" s="20"/>
      <c r="N971" s="20"/>
      <c r="O971" s="20"/>
      <c r="P971" s="20"/>
      <c r="Q971" s="20"/>
      <c r="R971" s="20"/>
      <c r="S971" s="20"/>
      <c r="T971" s="20"/>
      <c r="U971" s="20"/>
      <c r="V971" s="20"/>
      <c r="W971" s="20"/>
      <c r="X971" s="20"/>
      <c r="Y971" s="20"/>
      <c r="Z971" s="20"/>
    </row>
    <row r="972" ht="13.5" customHeight="1" spans="1:26">
      <c r="A972" s="20"/>
      <c r="B972" s="20"/>
      <c r="C972" s="20"/>
      <c r="D972" s="20"/>
      <c r="E972" s="20"/>
      <c r="F972" s="20"/>
      <c r="G972" s="20"/>
      <c r="H972" s="20"/>
      <c r="I972" s="20"/>
      <c r="J972" s="20"/>
      <c r="K972" s="20"/>
      <c r="L972" s="20"/>
      <c r="M972" s="20"/>
      <c r="N972" s="20"/>
      <c r="O972" s="20"/>
      <c r="P972" s="20"/>
      <c r="Q972" s="20"/>
      <c r="R972" s="20"/>
      <c r="S972" s="20"/>
      <c r="T972" s="20"/>
      <c r="U972" s="20"/>
      <c r="V972" s="20"/>
      <c r="W972" s="20"/>
      <c r="X972" s="20"/>
      <c r="Y972" s="20"/>
      <c r="Z972" s="20"/>
    </row>
    <row r="973" ht="13.5" customHeight="1" spans="1:26">
      <c r="A973" s="20"/>
      <c r="B973" s="20"/>
      <c r="C973" s="20"/>
      <c r="D973" s="20"/>
      <c r="E973" s="20"/>
      <c r="F973" s="20"/>
      <c r="G973" s="20"/>
      <c r="H973" s="20"/>
      <c r="I973" s="20"/>
      <c r="J973" s="20"/>
      <c r="K973" s="20"/>
      <c r="L973" s="20"/>
      <c r="M973" s="20"/>
      <c r="N973" s="20"/>
      <c r="O973" s="20"/>
      <c r="P973" s="20"/>
      <c r="Q973" s="20"/>
      <c r="R973" s="20"/>
      <c r="S973" s="20"/>
      <c r="T973" s="20"/>
      <c r="U973" s="20"/>
      <c r="V973" s="20"/>
      <c r="W973" s="20"/>
      <c r="X973" s="20"/>
      <c r="Y973" s="20"/>
      <c r="Z973" s="20"/>
    </row>
    <row r="974" ht="13.5" customHeight="1" spans="1:26">
      <c r="A974" s="20"/>
      <c r="B974" s="20"/>
      <c r="C974" s="20"/>
      <c r="D974" s="20"/>
      <c r="E974" s="20"/>
      <c r="F974" s="20"/>
      <c r="G974" s="20"/>
      <c r="H974" s="20"/>
      <c r="I974" s="20"/>
      <c r="J974" s="20"/>
      <c r="K974" s="20"/>
      <c r="L974" s="20"/>
      <c r="M974" s="20"/>
      <c r="N974" s="20"/>
      <c r="O974" s="20"/>
      <c r="P974" s="20"/>
      <c r="Q974" s="20"/>
      <c r="R974" s="20"/>
      <c r="S974" s="20"/>
      <c r="T974" s="20"/>
      <c r="U974" s="20"/>
      <c r="V974" s="20"/>
      <c r="W974" s="20"/>
      <c r="X974" s="20"/>
      <c r="Y974" s="20"/>
      <c r="Z974" s="20"/>
    </row>
    <row r="975" ht="13.5" customHeight="1" spans="1:26">
      <c r="A975" s="20"/>
      <c r="B975" s="20"/>
      <c r="C975" s="20"/>
      <c r="D975" s="20"/>
      <c r="E975" s="20"/>
      <c r="F975" s="20"/>
      <c r="G975" s="20"/>
      <c r="H975" s="20"/>
      <c r="I975" s="20"/>
      <c r="J975" s="20"/>
      <c r="K975" s="20"/>
      <c r="L975" s="20"/>
      <c r="M975" s="20"/>
      <c r="N975" s="20"/>
      <c r="O975" s="20"/>
      <c r="P975" s="20"/>
      <c r="Q975" s="20"/>
      <c r="R975" s="20"/>
      <c r="S975" s="20"/>
      <c r="T975" s="20"/>
      <c r="U975" s="20"/>
      <c r="V975" s="20"/>
      <c r="W975" s="20"/>
      <c r="X975" s="20"/>
      <c r="Y975" s="20"/>
      <c r="Z975" s="20"/>
    </row>
    <row r="976" ht="13.5" customHeight="1" spans="1:26">
      <c r="A976" s="20"/>
      <c r="B976" s="20"/>
      <c r="C976" s="20"/>
      <c r="D976" s="20"/>
      <c r="E976" s="20"/>
      <c r="F976" s="20"/>
      <c r="G976" s="20"/>
      <c r="H976" s="20"/>
      <c r="I976" s="20"/>
      <c r="J976" s="20"/>
      <c r="K976" s="20"/>
      <c r="L976" s="20"/>
      <c r="M976" s="20"/>
      <c r="N976" s="20"/>
      <c r="O976" s="20"/>
      <c r="P976" s="20"/>
      <c r="Q976" s="20"/>
      <c r="R976" s="20"/>
      <c r="S976" s="20"/>
      <c r="T976" s="20"/>
      <c r="U976" s="20"/>
      <c r="V976" s="20"/>
      <c r="W976" s="20"/>
      <c r="X976" s="20"/>
      <c r="Y976" s="20"/>
      <c r="Z976" s="20"/>
    </row>
    <row r="977" ht="13.5" customHeight="1" spans="1:26">
      <c r="A977" s="20"/>
      <c r="B977" s="20"/>
      <c r="C977" s="20"/>
      <c r="D977" s="20"/>
      <c r="E977" s="20"/>
      <c r="F977" s="20"/>
      <c r="G977" s="20"/>
      <c r="H977" s="20"/>
      <c r="I977" s="20"/>
      <c r="J977" s="20"/>
      <c r="K977" s="20"/>
      <c r="L977" s="20"/>
      <c r="M977" s="20"/>
      <c r="N977" s="20"/>
      <c r="O977" s="20"/>
      <c r="P977" s="20"/>
      <c r="Q977" s="20"/>
      <c r="R977" s="20"/>
      <c r="S977" s="20"/>
      <c r="T977" s="20"/>
      <c r="U977" s="20"/>
      <c r="V977" s="20"/>
      <c r="W977" s="20"/>
      <c r="X977" s="20"/>
      <c r="Y977" s="20"/>
      <c r="Z977" s="20"/>
    </row>
    <row r="978" ht="13.5" customHeight="1" spans="1:26">
      <c r="A978" s="20"/>
      <c r="B978" s="20"/>
      <c r="C978" s="20"/>
      <c r="D978" s="20"/>
      <c r="E978" s="20"/>
      <c r="F978" s="20"/>
      <c r="G978" s="20"/>
      <c r="H978" s="20"/>
      <c r="I978" s="20"/>
      <c r="J978" s="20"/>
      <c r="K978" s="20"/>
      <c r="L978" s="20"/>
      <c r="M978" s="20"/>
      <c r="N978" s="20"/>
      <c r="O978" s="20"/>
      <c r="P978" s="20"/>
      <c r="Q978" s="20"/>
      <c r="R978" s="20"/>
      <c r="S978" s="20"/>
      <c r="T978" s="20"/>
      <c r="U978" s="20"/>
      <c r="V978" s="20"/>
      <c r="W978" s="20"/>
      <c r="X978" s="20"/>
      <c r="Y978" s="20"/>
      <c r="Z978" s="20"/>
    </row>
    <row r="979" ht="13.5" customHeight="1" spans="1:26">
      <c r="A979" s="20"/>
      <c r="B979" s="20"/>
      <c r="C979" s="20"/>
      <c r="D979" s="20"/>
      <c r="E979" s="20"/>
      <c r="F979" s="20"/>
      <c r="G979" s="20"/>
      <c r="H979" s="20"/>
      <c r="I979" s="20"/>
      <c r="J979" s="20"/>
      <c r="K979" s="20"/>
      <c r="L979" s="20"/>
      <c r="M979" s="20"/>
      <c r="N979" s="20"/>
      <c r="O979" s="20"/>
      <c r="P979" s="20"/>
      <c r="Q979" s="20"/>
      <c r="R979" s="20"/>
      <c r="S979" s="20"/>
      <c r="T979" s="20"/>
      <c r="U979" s="20"/>
      <c r="V979" s="20"/>
      <c r="W979" s="20"/>
      <c r="X979" s="20"/>
      <c r="Y979" s="20"/>
      <c r="Z979" s="20"/>
    </row>
    <row r="980" ht="13.5" customHeight="1" spans="1:26">
      <c r="A980" s="20"/>
      <c r="B980" s="20"/>
      <c r="C980" s="20"/>
      <c r="D980" s="20"/>
      <c r="E980" s="20"/>
      <c r="F980" s="20"/>
      <c r="G980" s="20"/>
      <c r="H980" s="20"/>
      <c r="I980" s="20"/>
      <c r="J980" s="20"/>
      <c r="K980" s="20"/>
      <c r="L980" s="20"/>
      <c r="M980" s="20"/>
      <c r="N980" s="20"/>
      <c r="O980" s="20"/>
      <c r="P980" s="20"/>
      <c r="Q980" s="20"/>
      <c r="R980" s="20"/>
      <c r="S980" s="20"/>
      <c r="T980" s="20"/>
      <c r="U980" s="20"/>
      <c r="V980" s="20"/>
      <c r="W980" s="20"/>
      <c r="X980" s="20"/>
      <c r="Y980" s="20"/>
      <c r="Z980" s="20"/>
    </row>
    <row r="981" ht="13.5" customHeight="1" spans="1:26">
      <c r="A981" s="20"/>
      <c r="B981" s="20"/>
      <c r="C981" s="20"/>
      <c r="D981" s="20"/>
      <c r="E981" s="20"/>
      <c r="F981" s="20"/>
      <c r="G981" s="20"/>
      <c r="H981" s="20"/>
      <c r="I981" s="20"/>
      <c r="J981" s="20"/>
      <c r="K981" s="20"/>
      <c r="L981" s="20"/>
      <c r="M981" s="20"/>
      <c r="N981" s="20"/>
      <c r="O981" s="20"/>
      <c r="P981" s="20"/>
      <c r="Q981" s="20"/>
      <c r="R981" s="20"/>
      <c r="S981" s="20"/>
      <c r="T981" s="20"/>
      <c r="U981" s="20"/>
      <c r="V981" s="20"/>
      <c r="W981" s="20"/>
      <c r="X981" s="20"/>
      <c r="Y981" s="20"/>
      <c r="Z981" s="20"/>
    </row>
    <row r="982" ht="13.5" customHeight="1" spans="1:26">
      <c r="A982" s="20"/>
      <c r="B982" s="20"/>
      <c r="C982" s="20"/>
      <c r="D982" s="20"/>
      <c r="E982" s="20"/>
      <c r="F982" s="20"/>
      <c r="G982" s="20"/>
      <c r="H982" s="20"/>
      <c r="I982" s="20"/>
      <c r="J982" s="20"/>
      <c r="K982" s="20"/>
      <c r="L982" s="20"/>
      <c r="M982" s="20"/>
      <c r="N982" s="20"/>
      <c r="O982" s="20"/>
      <c r="P982" s="20"/>
      <c r="Q982" s="20"/>
      <c r="R982" s="20"/>
      <c r="S982" s="20"/>
      <c r="T982" s="20"/>
      <c r="U982" s="20"/>
      <c r="V982" s="20"/>
      <c r="W982" s="20"/>
      <c r="X982" s="20"/>
      <c r="Y982" s="20"/>
      <c r="Z982" s="20"/>
    </row>
    <row r="983" ht="13.5" customHeight="1" spans="1:26">
      <c r="A983" s="20"/>
      <c r="B983" s="20"/>
      <c r="C983" s="20"/>
      <c r="D983" s="20"/>
      <c r="E983" s="20"/>
      <c r="F983" s="20"/>
      <c r="G983" s="20"/>
      <c r="H983" s="20"/>
      <c r="I983" s="20"/>
      <c r="J983" s="20"/>
      <c r="K983" s="20"/>
      <c r="L983" s="20"/>
      <c r="M983" s="20"/>
      <c r="N983" s="20"/>
      <c r="O983" s="20"/>
      <c r="P983" s="20"/>
      <c r="Q983" s="20"/>
      <c r="R983" s="20"/>
      <c r="S983" s="20"/>
      <c r="T983" s="20"/>
      <c r="U983" s="20"/>
      <c r="V983" s="20"/>
      <c r="W983" s="20"/>
      <c r="X983" s="20"/>
      <c r="Y983" s="20"/>
      <c r="Z983" s="20"/>
    </row>
    <row r="984" ht="13.5" customHeight="1" spans="1:26">
      <c r="A984" s="20"/>
      <c r="B984" s="20"/>
      <c r="C984" s="20"/>
      <c r="D984" s="20"/>
      <c r="E984" s="20"/>
      <c r="F984" s="20"/>
      <c r="G984" s="20"/>
      <c r="H984" s="20"/>
      <c r="I984" s="20"/>
      <c r="J984" s="20"/>
      <c r="K984" s="20"/>
      <c r="L984" s="20"/>
      <c r="M984" s="20"/>
      <c r="N984" s="20"/>
      <c r="O984" s="20"/>
      <c r="P984" s="20"/>
      <c r="Q984" s="20"/>
      <c r="R984" s="20"/>
      <c r="S984" s="20"/>
      <c r="T984" s="20"/>
      <c r="U984" s="20"/>
      <c r="V984" s="20"/>
      <c r="W984" s="20"/>
      <c r="X984" s="20"/>
      <c r="Y984" s="20"/>
      <c r="Z984" s="20"/>
    </row>
    <row r="985" ht="13.5" customHeight="1" spans="1:26">
      <c r="A985" s="20"/>
      <c r="B985" s="20"/>
      <c r="C985" s="20"/>
      <c r="D985" s="20"/>
      <c r="E985" s="20"/>
      <c r="F985" s="20"/>
      <c r="G985" s="20"/>
      <c r="H985" s="20"/>
      <c r="I985" s="20"/>
      <c r="J985" s="20"/>
      <c r="K985" s="20"/>
      <c r="L985" s="20"/>
      <c r="M985" s="20"/>
      <c r="N985" s="20"/>
      <c r="O985" s="20"/>
      <c r="P985" s="20"/>
      <c r="Q985" s="20"/>
      <c r="R985" s="20"/>
      <c r="S985" s="20"/>
      <c r="T985" s="20"/>
      <c r="U985" s="20"/>
      <c r="V985" s="20"/>
      <c r="W985" s="20"/>
      <c r="X985" s="20"/>
      <c r="Y985" s="20"/>
      <c r="Z985" s="20"/>
    </row>
    <row r="986" ht="13.5" customHeight="1" spans="1:26">
      <c r="A986" s="20"/>
      <c r="B986" s="20"/>
      <c r="C986" s="20"/>
      <c r="D986" s="20"/>
      <c r="E986" s="20"/>
      <c r="F986" s="20"/>
      <c r="G986" s="20"/>
      <c r="H986" s="20"/>
      <c r="I986" s="20"/>
      <c r="J986" s="20"/>
      <c r="K986" s="20"/>
      <c r="L986" s="20"/>
      <c r="M986" s="20"/>
      <c r="N986" s="20"/>
      <c r="O986" s="20"/>
      <c r="P986" s="20"/>
      <c r="Q986" s="20"/>
      <c r="R986" s="20"/>
      <c r="S986" s="20"/>
      <c r="T986" s="20"/>
      <c r="U986" s="20"/>
      <c r="V986" s="20"/>
      <c r="W986" s="20"/>
      <c r="X986" s="20"/>
      <c r="Y986" s="20"/>
      <c r="Z986" s="20"/>
    </row>
    <row r="987" ht="13.5" customHeight="1" spans="1:26">
      <c r="A987" s="20"/>
      <c r="B987" s="20"/>
      <c r="C987" s="20"/>
      <c r="D987" s="20"/>
      <c r="E987" s="20"/>
      <c r="F987" s="20"/>
      <c r="G987" s="20"/>
      <c r="H987" s="20"/>
      <c r="I987" s="20"/>
      <c r="J987" s="20"/>
      <c r="K987" s="20"/>
      <c r="L987" s="20"/>
      <c r="M987" s="20"/>
      <c r="N987" s="20"/>
      <c r="O987" s="20"/>
      <c r="P987" s="20"/>
      <c r="Q987" s="20"/>
      <c r="R987" s="20"/>
      <c r="S987" s="20"/>
      <c r="T987" s="20"/>
      <c r="U987" s="20"/>
      <c r="V987" s="20"/>
      <c r="W987" s="20"/>
      <c r="X987" s="20"/>
      <c r="Y987" s="20"/>
      <c r="Z987" s="20"/>
    </row>
    <row r="988" ht="13.5" customHeight="1" spans="1:26">
      <c r="A988" s="20"/>
      <c r="B988" s="20"/>
      <c r="C988" s="20"/>
      <c r="D988" s="20"/>
      <c r="E988" s="20"/>
      <c r="F988" s="20"/>
      <c r="G988" s="20"/>
      <c r="H988" s="20"/>
      <c r="I988" s="20"/>
      <c r="J988" s="20"/>
      <c r="K988" s="20"/>
      <c r="L988" s="20"/>
      <c r="M988" s="20"/>
      <c r="N988" s="20"/>
      <c r="O988" s="20"/>
      <c r="P988" s="20"/>
      <c r="Q988" s="20"/>
      <c r="R988" s="20"/>
      <c r="S988" s="20"/>
      <c r="T988" s="20"/>
      <c r="U988" s="20"/>
      <c r="V988" s="20"/>
      <c r="W988" s="20"/>
      <c r="X988" s="20"/>
      <c r="Y988" s="20"/>
      <c r="Z988" s="20"/>
    </row>
    <row r="989" ht="13.5" customHeight="1" spans="1:26">
      <c r="A989" s="20"/>
      <c r="B989" s="20"/>
      <c r="C989" s="20"/>
      <c r="D989" s="20"/>
      <c r="E989" s="20"/>
      <c r="F989" s="20"/>
      <c r="G989" s="20"/>
      <c r="H989" s="20"/>
      <c r="I989" s="20"/>
      <c r="J989" s="20"/>
      <c r="K989" s="20"/>
      <c r="L989" s="20"/>
      <c r="M989" s="20"/>
      <c r="N989" s="20"/>
      <c r="O989" s="20"/>
      <c r="P989" s="20"/>
      <c r="Q989" s="20"/>
      <c r="R989" s="20"/>
      <c r="S989" s="20"/>
      <c r="T989" s="20"/>
      <c r="U989" s="20"/>
      <c r="V989" s="20"/>
      <c r="W989" s="20"/>
      <c r="X989" s="20"/>
      <c r="Y989" s="20"/>
      <c r="Z989" s="20"/>
    </row>
    <row r="990" ht="13.5" customHeight="1" spans="1:26">
      <c r="A990" s="20"/>
      <c r="B990" s="20"/>
      <c r="C990" s="20"/>
      <c r="D990" s="20"/>
      <c r="E990" s="20"/>
      <c r="F990" s="20"/>
      <c r="G990" s="20"/>
      <c r="H990" s="20"/>
      <c r="I990" s="20"/>
      <c r="J990" s="20"/>
      <c r="K990" s="20"/>
      <c r="L990" s="20"/>
      <c r="M990" s="20"/>
      <c r="N990" s="20"/>
      <c r="O990" s="20"/>
      <c r="P990" s="20"/>
      <c r="Q990" s="20"/>
      <c r="R990" s="20"/>
      <c r="S990" s="20"/>
      <c r="T990" s="20"/>
      <c r="U990" s="20"/>
      <c r="V990" s="20"/>
      <c r="W990" s="20"/>
      <c r="X990" s="20"/>
      <c r="Y990" s="20"/>
      <c r="Z990" s="20"/>
    </row>
    <row r="991" ht="13.5" customHeight="1" spans="1:26">
      <c r="A991" s="20"/>
      <c r="B991" s="20"/>
      <c r="C991" s="20"/>
      <c r="D991" s="20"/>
      <c r="E991" s="20"/>
      <c r="F991" s="20"/>
      <c r="G991" s="20"/>
      <c r="H991" s="20"/>
      <c r="I991" s="20"/>
      <c r="J991" s="20"/>
      <c r="K991" s="20"/>
      <c r="L991" s="20"/>
      <c r="M991" s="20"/>
      <c r="N991" s="20"/>
      <c r="O991" s="20"/>
      <c r="P991" s="20"/>
      <c r="Q991" s="20"/>
      <c r="R991" s="20"/>
      <c r="S991" s="20"/>
      <c r="T991" s="20"/>
      <c r="U991" s="20"/>
      <c r="V991" s="20"/>
      <c r="W991" s="20"/>
      <c r="X991" s="20"/>
      <c r="Y991" s="20"/>
      <c r="Z991" s="20"/>
    </row>
    <row r="992" ht="13.5" customHeight="1" spans="1:26">
      <c r="A992" s="20"/>
      <c r="B992" s="20"/>
      <c r="C992" s="20"/>
      <c r="D992" s="20"/>
      <c r="E992" s="20"/>
      <c r="F992" s="20"/>
      <c r="G992" s="20"/>
      <c r="H992" s="20"/>
      <c r="I992" s="20"/>
      <c r="J992" s="20"/>
      <c r="K992" s="20"/>
      <c r="L992" s="20"/>
      <c r="M992" s="20"/>
      <c r="N992" s="20"/>
      <c r="O992" s="20"/>
      <c r="P992" s="20"/>
      <c r="Q992" s="20"/>
      <c r="R992" s="20"/>
      <c r="S992" s="20"/>
      <c r="T992" s="20"/>
      <c r="U992" s="20"/>
      <c r="V992" s="20"/>
      <c r="W992" s="20"/>
      <c r="X992" s="20"/>
      <c r="Y992" s="20"/>
      <c r="Z992" s="20"/>
    </row>
    <row r="993" ht="13.5" customHeight="1" spans="1:26">
      <c r="A993" s="20"/>
      <c r="B993" s="20"/>
      <c r="C993" s="20"/>
      <c r="D993" s="20"/>
      <c r="E993" s="20"/>
      <c r="F993" s="20"/>
      <c r="G993" s="20"/>
      <c r="H993" s="20"/>
      <c r="I993" s="20"/>
      <c r="J993" s="20"/>
      <c r="K993" s="20"/>
      <c r="L993" s="20"/>
      <c r="M993" s="20"/>
      <c r="N993" s="20"/>
      <c r="O993" s="20"/>
      <c r="P993" s="20"/>
      <c r="Q993" s="20"/>
      <c r="R993" s="20"/>
      <c r="S993" s="20"/>
      <c r="T993" s="20"/>
      <c r="U993" s="20"/>
      <c r="V993" s="20"/>
      <c r="W993" s="20"/>
      <c r="X993" s="20"/>
      <c r="Y993" s="20"/>
      <c r="Z993" s="20"/>
    </row>
    <row r="994" ht="13.5" customHeight="1" spans="1:26">
      <c r="A994" s="20"/>
      <c r="B994" s="20"/>
      <c r="C994" s="20"/>
      <c r="D994" s="20"/>
      <c r="E994" s="20"/>
      <c r="F994" s="20"/>
      <c r="G994" s="20"/>
      <c r="H994" s="20"/>
      <c r="I994" s="20"/>
      <c r="J994" s="20"/>
      <c r="K994" s="20"/>
      <c r="L994" s="20"/>
      <c r="M994" s="20"/>
      <c r="N994" s="20"/>
      <c r="O994" s="20"/>
      <c r="P994" s="20"/>
      <c r="Q994" s="20"/>
      <c r="R994" s="20"/>
      <c r="S994" s="20"/>
      <c r="T994" s="20"/>
      <c r="U994" s="20"/>
      <c r="V994" s="20"/>
      <c r="W994" s="20"/>
      <c r="X994" s="20"/>
      <c r="Y994" s="20"/>
      <c r="Z994" s="20"/>
    </row>
    <row r="995" ht="13.5" customHeight="1" spans="1:26">
      <c r="A995" s="20"/>
      <c r="B995" s="20"/>
      <c r="C995" s="20"/>
      <c r="D995" s="20"/>
      <c r="E995" s="20"/>
      <c r="F995" s="20"/>
      <c r="G995" s="20"/>
      <c r="H995" s="20"/>
      <c r="I995" s="20"/>
      <c r="J995" s="20"/>
      <c r="K995" s="20"/>
      <c r="L995" s="20"/>
      <c r="M995" s="20"/>
      <c r="N995" s="20"/>
      <c r="O995" s="20"/>
      <c r="P995" s="20"/>
      <c r="Q995" s="20"/>
      <c r="R995" s="20"/>
      <c r="S995" s="20"/>
      <c r="T995" s="20"/>
      <c r="U995" s="20"/>
      <c r="V995" s="20"/>
      <c r="W995" s="20"/>
      <c r="X995" s="20"/>
      <c r="Y995" s="20"/>
      <c r="Z995" s="20"/>
    </row>
    <row r="996" ht="13.5" customHeight="1" spans="1:26">
      <c r="A996" s="20"/>
      <c r="B996" s="20"/>
      <c r="C996" s="20"/>
      <c r="D996" s="20"/>
      <c r="E996" s="20"/>
      <c r="F996" s="20"/>
      <c r="G996" s="20"/>
      <c r="H996" s="20"/>
      <c r="I996" s="20"/>
      <c r="J996" s="20"/>
      <c r="K996" s="20"/>
      <c r="L996" s="20"/>
      <c r="M996" s="20"/>
      <c r="N996" s="20"/>
      <c r="O996" s="20"/>
      <c r="P996" s="20"/>
      <c r="Q996" s="20"/>
      <c r="R996" s="20"/>
      <c r="S996" s="20"/>
      <c r="T996" s="20"/>
      <c r="U996" s="20"/>
      <c r="V996" s="20"/>
      <c r="W996" s="20"/>
      <c r="X996" s="20"/>
      <c r="Y996" s="20"/>
      <c r="Z996" s="20"/>
    </row>
    <row r="997" ht="13.5" customHeight="1" spans="1:26">
      <c r="A997" s="20"/>
      <c r="B997" s="20"/>
      <c r="C997" s="20"/>
      <c r="D997" s="20"/>
      <c r="E997" s="20"/>
      <c r="F997" s="20"/>
      <c r="G997" s="20"/>
      <c r="H997" s="20"/>
      <c r="I997" s="20"/>
      <c r="J997" s="20"/>
      <c r="K997" s="20"/>
      <c r="L997" s="20"/>
      <c r="M997" s="20"/>
      <c r="N997" s="20"/>
      <c r="O997" s="20"/>
      <c r="P997" s="20"/>
      <c r="Q997" s="20"/>
      <c r="R997" s="20"/>
      <c r="S997" s="20"/>
      <c r="T997" s="20"/>
      <c r="U997" s="20"/>
      <c r="V997" s="20"/>
      <c r="W997" s="20"/>
      <c r="X997" s="20"/>
      <c r="Y997" s="20"/>
      <c r="Z997" s="20"/>
    </row>
    <row r="998" ht="13.5" customHeight="1" spans="1:26">
      <c r="A998" s="20"/>
      <c r="B998" s="20"/>
      <c r="C998" s="20"/>
      <c r="D998" s="20"/>
      <c r="E998" s="20"/>
      <c r="F998" s="20"/>
      <c r="G998" s="20"/>
      <c r="H998" s="20"/>
      <c r="I998" s="20"/>
      <c r="J998" s="20"/>
      <c r="K998" s="20"/>
      <c r="L998" s="20"/>
      <c r="M998" s="20"/>
      <c r="N998" s="20"/>
      <c r="O998" s="20"/>
      <c r="P998" s="20"/>
      <c r="Q998" s="20"/>
      <c r="R998" s="20"/>
      <c r="S998" s="20"/>
      <c r="T998" s="20"/>
      <c r="U998" s="20"/>
      <c r="V998" s="20"/>
      <c r="W998" s="20"/>
      <c r="X998" s="20"/>
      <c r="Y998" s="20"/>
      <c r="Z998" s="20"/>
    </row>
    <row r="999" ht="13.5" customHeight="1" spans="1:26">
      <c r="A999" s="20"/>
      <c r="B999" s="20"/>
      <c r="C999" s="20"/>
      <c r="D999" s="20"/>
      <c r="E999" s="20"/>
      <c r="F999" s="20"/>
      <c r="G999" s="20"/>
      <c r="H999" s="20"/>
      <c r="I999" s="20"/>
      <c r="J999" s="20"/>
      <c r="K999" s="20"/>
      <c r="L999" s="20"/>
      <c r="M999" s="20"/>
      <c r="N999" s="20"/>
      <c r="O999" s="20"/>
      <c r="P999" s="20"/>
      <c r="Q999" s="20"/>
      <c r="R999" s="20"/>
      <c r="S999" s="20"/>
      <c r="T999" s="20"/>
      <c r="U999" s="20"/>
      <c r="V999" s="20"/>
      <c r="W999" s="20"/>
      <c r="X999" s="20"/>
      <c r="Y999" s="20"/>
      <c r="Z999" s="20"/>
    </row>
    <row r="1000" ht="13.5" customHeight="1" spans="1:26">
      <c r="A1000" s="20"/>
      <c r="B1000" s="20"/>
      <c r="C1000" s="20"/>
      <c r="D1000" s="20"/>
      <c r="E1000" s="20"/>
      <c r="F1000" s="20"/>
      <c r="G1000" s="20"/>
      <c r="H1000" s="20"/>
      <c r="I1000" s="20"/>
      <c r="J1000" s="20"/>
      <c r="K1000" s="20"/>
      <c r="L1000" s="20"/>
      <c r="M1000" s="20"/>
      <c r="N1000" s="20"/>
      <c r="O1000" s="20"/>
      <c r="P1000" s="20"/>
      <c r="Q1000" s="20"/>
      <c r="R1000" s="20"/>
      <c r="S1000" s="20"/>
      <c r="T1000" s="20"/>
      <c r="U1000" s="20"/>
      <c r="V1000" s="20"/>
      <c r="W1000" s="20"/>
      <c r="X1000" s="20"/>
      <c r="Y1000" s="20"/>
      <c r="Z1000" s="20"/>
    </row>
  </sheetData>
  <autoFilter ref="B9:E61">
    <extLst/>
  </autoFilter>
  <pageMargins left="0.7" right="0.7" top="0.75" bottom="0.75" header="0" footer="0"/>
  <pageSetup paperSize="1" orientation="landscape"/>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9"/>
  </sheetPr>
  <dimension ref="A1:X1000"/>
  <sheetViews>
    <sheetView showGridLines="0" workbookViewId="0">
      <selection activeCell="A1" sqref="A1"/>
    </sheetView>
  </sheetViews>
  <sheetFormatPr defaultColWidth="14.4285714285714" defaultRowHeight="15" customHeight="1"/>
  <cols>
    <col min="1" max="1" width="9.14285714285714" customWidth="1"/>
    <col min="2" max="2" width="21.5714285714286" customWidth="1"/>
    <col min="3" max="3" width="18" customWidth="1"/>
    <col min="4" max="4" width="17.2857142857143" customWidth="1"/>
    <col min="5" max="5" width="20.2857142857143" customWidth="1"/>
    <col min="6" max="6" width="13.1428571428571" customWidth="1"/>
    <col min="7" max="7" width="12" customWidth="1"/>
    <col min="8" max="8" width="13.1428571428571" customWidth="1"/>
    <col min="9" max="9" width="12.5714285714286" customWidth="1"/>
    <col min="10" max="24" width="9.14285714285714" customWidth="1"/>
  </cols>
  <sheetData>
    <row r="1" ht="13.5" customHeight="1" spans="1:24">
      <c r="A1" s="20"/>
      <c r="B1" s="20"/>
      <c r="C1" s="20"/>
      <c r="D1" s="20"/>
      <c r="E1" s="20"/>
      <c r="F1" s="20"/>
      <c r="G1" s="20"/>
      <c r="H1" s="20"/>
      <c r="I1" s="20"/>
      <c r="J1" s="20"/>
      <c r="K1" s="20"/>
      <c r="L1" s="20"/>
      <c r="M1" s="20"/>
      <c r="N1" s="20"/>
      <c r="O1" s="20"/>
      <c r="P1" s="20"/>
      <c r="Q1" s="20"/>
      <c r="R1" s="20"/>
      <c r="S1" s="20"/>
      <c r="T1" s="20"/>
      <c r="U1" s="20"/>
      <c r="V1" s="20"/>
      <c r="W1" s="20"/>
      <c r="X1" s="20"/>
    </row>
    <row r="2" ht="6.75" customHeight="1" spans="1:24">
      <c r="A2" s="20"/>
      <c r="B2" s="20"/>
      <c r="C2" s="20"/>
      <c r="D2" s="20"/>
      <c r="E2" s="20"/>
      <c r="F2" s="20"/>
      <c r="G2" s="20"/>
      <c r="H2" s="20"/>
      <c r="I2" s="20"/>
      <c r="J2" s="20"/>
      <c r="K2" s="20"/>
      <c r="L2" s="20"/>
      <c r="M2" s="20"/>
      <c r="N2" s="20"/>
      <c r="O2" s="20"/>
      <c r="P2" s="20"/>
      <c r="Q2" s="20"/>
      <c r="R2" s="20"/>
      <c r="S2" s="20"/>
      <c r="T2" s="20"/>
      <c r="U2" s="20"/>
      <c r="V2" s="20"/>
      <c r="W2" s="20"/>
      <c r="X2" s="20"/>
    </row>
    <row r="3" ht="13.5" customHeight="1" spans="1:24">
      <c r="A3" s="20"/>
      <c r="B3" s="80" t="s">
        <v>1125</v>
      </c>
      <c r="C3" s="81"/>
      <c r="D3" s="81"/>
      <c r="E3" s="81"/>
      <c r="F3" s="81"/>
      <c r="G3" s="81"/>
      <c r="H3" s="81"/>
      <c r="I3" s="20"/>
      <c r="J3" s="20"/>
      <c r="K3" s="20"/>
      <c r="L3" s="20"/>
      <c r="M3" s="20"/>
      <c r="N3" s="20"/>
      <c r="O3" s="20"/>
      <c r="P3" s="20"/>
      <c r="Q3" s="20"/>
      <c r="R3" s="20"/>
      <c r="S3" s="20"/>
      <c r="T3" s="20"/>
      <c r="U3" s="20"/>
      <c r="V3" s="20"/>
      <c r="W3" s="20"/>
      <c r="X3" s="20"/>
    </row>
    <row r="4" ht="13.5" customHeight="1" spans="1:24">
      <c r="A4" s="20"/>
      <c r="B4" s="82" t="s">
        <v>1126</v>
      </c>
      <c r="C4" s="83"/>
      <c r="D4" s="83"/>
      <c r="E4" s="83"/>
      <c r="F4" s="83"/>
      <c r="G4" s="83"/>
      <c r="H4" s="83"/>
      <c r="I4" s="20"/>
      <c r="J4" s="20"/>
      <c r="K4" s="20"/>
      <c r="L4" s="20"/>
      <c r="M4" s="20"/>
      <c r="N4" s="20"/>
      <c r="O4" s="20"/>
      <c r="P4" s="20"/>
      <c r="Q4" s="20"/>
      <c r="R4" s="20"/>
      <c r="S4" s="20"/>
      <c r="T4" s="20"/>
      <c r="U4" s="20"/>
      <c r="V4" s="20"/>
      <c r="W4" s="20"/>
      <c r="X4" s="20"/>
    </row>
    <row r="5" ht="13.5" customHeight="1" spans="1:24">
      <c r="A5" s="20"/>
      <c r="B5" s="84" t="s">
        <v>1127</v>
      </c>
      <c r="C5" s="85"/>
      <c r="D5" s="85"/>
      <c r="E5" s="85"/>
      <c r="F5" s="85"/>
      <c r="G5" s="85"/>
      <c r="H5" s="85"/>
      <c r="I5" s="20"/>
      <c r="J5" s="20"/>
      <c r="K5" s="20"/>
      <c r="L5" s="20"/>
      <c r="M5" s="20"/>
      <c r="N5" s="20"/>
      <c r="O5" s="20"/>
      <c r="P5" s="20"/>
      <c r="Q5" s="20"/>
      <c r="R5" s="20"/>
      <c r="S5" s="20"/>
      <c r="T5" s="20"/>
      <c r="U5" s="20"/>
      <c r="V5" s="20"/>
      <c r="W5" s="20"/>
      <c r="X5" s="20"/>
    </row>
    <row r="6" ht="13.5" customHeight="1" spans="1:24">
      <c r="A6" s="20"/>
      <c r="B6" s="20"/>
      <c r="C6" s="20"/>
      <c r="D6" s="20"/>
      <c r="E6" s="20"/>
      <c r="F6" s="20"/>
      <c r="G6" s="20"/>
      <c r="H6" s="20"/>
      <c r="I6" s="20"/>
      <c r="J6" s="20"/>
      <c r="K6" s="20"/>
      <c r="L6" s="20"/>
      <c r="M6" s="20"/>
      <c r="N6" s="20"/>
      <c r="O6" s="20"/>
      <c r="P6" s="20"/>
      <c r="Q6" s="20"/>
      <c r="R6" s="20"/>
      <c r="S6" s="20"/>
      <c r="T6" s="20"/>
      <c r="U6" s="20"/>
      <c r="V6" s="20"/>
      <c r="W6" s="20"/>
      <c r="X6" s="20"/>
    </row>
    <row r="7" ht="13.5" customHeight="1" spans="1:24">
      <c r="A7" s="20"/>
      <c r="B7" s="80" t="s">
        <v>1128</v>
      </c>
      <c r="C7" s="81"/>
      <c r="D7" s="81"/>
      <c r="E7" s="81"/>
      <c r="F7" s="81"/>
      <c r="G7" s="81"/>
      <c r="H7" s="81"/>
      <c r="I7" s="96"/>
      <c r="J7" s="96"/>
      <c r="K7" s="20"/>
      <c r="L7" s="20"/>
      <c r="M7" s="20"/>
      <c r="N7" s="20"/>
      <c r="O7" s="20"/>
      <c r="P7" s="20"/>
      <c r="Q7" s="20"/>
      <c r="R7" s="20"/>
      <c r="S7" s="20"/>
      <c r="T7" s="20"/>
      <c r="U7" s="20"/>
      <c r="V7" s="20"/>
      <c r="W7" s="20"/>
      <c r="X7" s="20"/>
    </row>
    <row r="8" ht="13.5" customHeight="1" spans="1:24">
      <c r="A8" s="20"/>
      <c r="B8" s="82">
        <v>1</v>
      </c>
      <c r="C8" s="83" t="s">
        <v>1129</v>
      </c>
      <c r="D8" s="83"/>
      <c r="E8" s="83"/>
      <c r="F8" s="83"/>
      <c r="G8" s="83"/>
      <c r="H8" s="83"/>
      <c r="I8" s="89" t="s">
        <v>1130</v>
      </c>
      <c r="J8" s="90"/>
      <c r="L8" s="20"/>
      <c r="M8" s="20"/>
      <c r="N8" s="20"/>
      <c r="O8" s="20"/>
      <c r="P8" s="20"/>
      <c r="Q8" s="20"/>
      <c r="R8" s="20"/>
      <c r="S8" s="20"/>
      <c r="T8" s="20"/>
      <c r="U8" s="20"/>
      <c r="V8" s="20"/>
      <c r="W8" s="20"/>
      <c r="X8" s="20"/>
    </row>
    <row r="9" ht="13.5" customHeight="1" spans="1:24">
      <c r="A9" s="20"/>
      <c r="B9" s="82">
        <v>2</v>
      </c>
      <c r="C9" s="83" t="s">
        <v>1131</v>
      </c>
      <c r="D9" s="83"/>
      <c r="E9" s="83"/>
      <c r="F9" s="83"/>
      <c r="G9" s="83"/>
      <c r="H9" s="83"/>
      <c r="I9" s="89" t="s">
        <v>1132</v>
      </c>
      <c r="J9" s="97"/>
      <c r="L9" s="20"/>
      <c r="M9" s="20"/>
      <c r="N9" s="20"/>
      <c r="O9" s="20"/>
      <c r="P9" s="20"/>
      <c r="Q9" s="20"/>
      <c r="R9" s="20"/>
      <c r="S9" s="20"/>
      <c r="T9" s="20"/>
      <c r="U9" s="20"/>
      <c r="V9" s="20"/>
      <c r="W9" s="20"/>
      <c r="X9" s="20"/>
    </row>
    <row r="10" ht="13.5" customHeight="1" spans="1:24">
      <c r="A10" s="20"/>
      <c r="B10" s="84">
        <v>3</v>
      </c>
      <c r="C10" s="85" t="s">
        <v>1133</v>
      </c>
      <c r="D10" s="85"/>
      <c r="E10" s="85"/>
      <c r="F10" s="85"/>
      <c r="G10" s="85"/>
      <c r="H10" s="85"/>
      <c r="I10" s="89" t="s">
        <v>1132</v>
      </c>
      <c r="J10" s="20"/>
      <c r="K10" s="20"/>
      <c r="L10" s="20"/>
      <c r="M10" s="20"/>
      <c r="N10" s="20"/>
      <c r="O10" s="20"/>
      <c r="P10" s="20"/>
      <c r="Q10" s="20"/>
      <c r="R10" s="20"/>
      <c r="S10" s="20"/>
      <c r="T10" s="20"/>
      <c r="U10" s="20"/>
      <c r="V10" s="20"/>
      <c r="W10" s="20"/>
      <c r="X10" s="20"/>
    </row>
    <row r="11" ht="13.5" customHeight="1" spans="1:24">
      <c r="A11" s="20"/>
      <c r="B11" s="20"/>
      <c r="C11" s="20"/>
      <c r="D11" s="20"/>
      <c r="E11" s="20"/>
      <c r="F11" s="20"/>
      <c r="G11" s="20"/>
      <c r="H11" s="20"/>
      <c r="I11" s="20"/>
      <c r="J11" s="20"/>
      <c r="K11" s="20"/>
      <c r="L11" s="20"/>
      <c r="M11" s="20"/>
      <c r="N11" s="20"/>
      <c r="O11" s="20"/>
      <c r="P11" s="20"/>
      <c r="Q11" s="20"/>
      <c r="R11" s="20"/>
      <c r="S11" s="20"/>
      <c r="T11" s="20"/>
      <c r="U11" s="20"/>
      <c r="V11" s="20"/>
      <c r="W11" s="20"/>
      <c r="X11" s="20"/>
    </row>
    <row r="12" ht="13.5" customHeight="1" spans="1:24">
      <c r="A12" s="20"/>
      <c r="B12" s="80" t="s">
        <v>1111</v>
      </c>
      <c r="C12" s="81"/>
      <c r="D12" s="81"/>
      <c r="E12" s="81"/>
      <c r="F12" s="81"/>
      <c r="G12" s="81"/>
      <c r="H12" s="81"/>
      <c r="I12" s="20"/>
      <c r="J12" s="20"/>
      <c r="K12" s="20"/>
      <c r="L12" s="20"/>
      <c r="M12" s="20"/>
      <c r="N12" s="20"/>
      <c r="O12" s="20"/>
      <c r="P12" s="20"/>
      <c r="Q12" s="20"/>
      <c r="R12" s="20"/>
      <c r="S12" s="20"/>
      <c r="T12" s="20"/>
      <c r="U12" s="20"/>
      <c r="V12" s="20"/>
      <c r="W12" s="20"/>
      <c r="X12" s="20"/>
    </row>
    <row r="13" ht="13.5" customHeight="1" spans="1:24">
      <c r="A13" s="20"/>
      <c r="B13" s="84" t="s">
        <v>1134</v>
      </c>
      <c r="C13" s="86">
        <v>40346</v>
      </c>
      <c r="D13" s="85"/>
      <c r="E13" s="85"/>
      <c r="F13" s="85"/>
      <c r="G13" s="85"/>
      <c r="H13" s="85"/>
      <c r="I13" s="20"/>
      <c r="J13" s="20"/>
      <c r="K13" s="20"/>
      <c r="L13" s="20"/>
      <c r="M13" s="20"/>
      <c r="N13" s="20"/>
      <c r="O13" s="20"/>
      <c r="P13" s="20"/>
      <c r="Q13" s="20"/>
      <c r="R13" s="20"/>
      <c r="S13" s="20"/>
      <c r="T13" s="20"/>
      <c r="U13" s="20"/>
      <c r="V13" s="20"/>
      <c r="W13" s="20"/>
      <c r="X13" s="20"/>
    </row>
    <row r="14" ht="13.5" customHeight="1" spans="1:24">
      <c r="A14" s="20"/>
      <c r="B14" s="20"/>
      <c r="C14" s="20"/>
      <c r="D14" s="20"/>
      <c r="E14" s="20"/>
      <c r="F14" s="20"/>
      <c r="G14" s="20"/>
      <c r="H14" s="20"/>
      <c r="I14" s="20"/>
      <c r="J14" s="20"/>
      <c r="K14" s="20"/>
      <c r="L14" s="20"/>
      <c r="M14" s="20"/>
      <c r="N14" s="20"/>
      <c r="O14" s="20"/>
      <c r="P14" s="20"/>
      <c r="Q14" s="20"/>
      <c r="R14" s="20"/>
      <c r="S14" s="20"/>
      <c r="T14" s="20"/>
      <c r="U14" s="20"/>
      <c r="V14" s="20"/>
      <c r="W14" s="20"/>
      <c r="X14" s="20"/>
    </row>
    <row r="15" ht="13.5" customHeight="1" spans="1:24">
      <c r="A15" s="20"/>
      <c r="B15" s="87" t="s">
        <v>1135</v>
      </c>
      <c r="C15" s="87" t="s">
        <v>1115</v>
      </c>
      <c r="D15" s="87" t="s">
        <v>1136</v>
      </c>
      <c r="E15" s="88" t="s">
        <v>1137</v>
      </c>
      <c r="F15" s="89" t="s">
        <v>1132</v>
      </c>
      <c r="G15" s="89" t="s">
        <v>1130</v>
      </c>
      <c r="H15" s="90" t="s">
        <v>1138</v>
      </c>
      <c r="I15" s="20"/>
      <c r="J15" s="20"/>
      <c r="K15" s="20"/>
      <c r="L15" s="20"/>
      <c r="M15" s="20"/>
      <c r="N15" s="20"/>
      <c r="O15" s="20"/>
      <c r="P15" s="20"/>
      <c r="Q15" s="20"/>
      <c r="R15" s="20"/>
      <c r="S15" s="20"/>
      <c r="T15" s="20"/>
      <c r="U15" s="20"/>
      <c r="V15" s="20"/>
      <c r="W15" s="20"/>
      <c r="X15" s="20"/>
    </row>
    <row r="16" ht="13.5" customHeight="1" spans="1:24">
      <c r="A16" s="20"/>
      <c r="B16" s="63">
        <v>1</v>
      </c>
      <c r="C16" s="91">
        <v>35352.738339662</v>
      </c>
      <c r="D16" s="91">
        <v>22218.2087701654</v>
      </c>
      <c r="E16" s="92">
        <v>647593.467539935</v>
      </c>
      <c r="F16" s="93">
        <f t="shared" ref="F16:F115" si="0">((60-YEAR(DATE(2010,6,17))+YEAR(C16))*E16/12)/12</f>
        <v>206870.135464146</v>
      </c>
      <c r="G16" s="94">
        <f t="shared" ref="G16:G115" si="1">(MIN((YEAR(DATE(2010,6,17))-YEAR(C16)),(YEAR(DATE(2010,6,17))-YEAR(D16-60)))*E16/12)/12</f>
        <v>62960.476010827</v>
      </c>
      <c r="H16" s="95">
        <f t="shared" ref="H16:H116" si="2">F16-G16</f>
        <v>143909.659453319</v>
      </c>
      <c r="I16" s="98">
        <f>SUMPRODUCT(($E$16:$E$115&gt;700000)*($F$16:$F$115&gt;$G$16:$G$115))</f>
        <v>14</v>
      </c>
      <c r="J16" s="20"/>
      <c r="K16" s="20"/>
      <c r="L16" s="20"/>
      <c r="M16" s="20"/>
      <c r="N16" s="20"/>
      <c r="O16" s="20"/>
      <c r="P16" s="20"/>
      <c r="Q16" s="20"/>
      <c r="R16" s="20"/>
      <c r="S16" s="20"/>
      <c r="T16" s="20"/>
      <c r="U16" s="20"/>
      <c r="V16" s="20"/>
      <c r="W16" s="20"/>
      <c r="X16" s="20"/>
    </row>
    <row r="17" ht="13.5" customHeight="1" spans="1:24">
      <c r="A17" s="20"/>
      <c r="B17" s="63">
        <v>2</v>
      </c>
      <c r="C17" s="91">
        <v>34712.1152471675</v>
      </c>
      <c r="D17" s="91">
        <v>23989.9636463258</v>
      </c>
      <c r="E17" s="92">
        <v>627099.380147003</v>
      </c>
      <c r="F17" s="93">
        <f t="shared" si="0"/>
        <v>195968.556295938</v>
      </c>
      <c r="G17" s="94">
        <f t="shared" si="1"/>
        <v>65322.8520986461</v>
      </c>
      <c r="H17" s="95">
        <f t="shared" si="2"/>
        <v>130645.704197292</v>
      </c>
      <c r="I17" s="20"/>
      <c r="J17" s="20"/>
      <c r="K17" s="20"/>
      <c r="L17" s="20"/>
      <c r="M17" s="20"/>
      <c r="N17" s="20"/>
      <c r="O17" s="20"/>
      <c r="P17" s="20"/>
      <c r="Q17" s="20"/>
      <c r="R17" s="20"/>
      <c r="S17" s="20"/>
      <c r="T17" s="20"/>
      <c r="U17" s="20"/>
      <c r="V17" s="20"/>
      <c r="W17" s="20"/>
      <c r="X17" s="20"/>
    </row>
    <row r="18" ht="13.5" customHeight="1" spans="1:24">
      <c r="A18" s="20"/>
      <c r="B18" s="63">
        <v>3</v>
      </c>
      <c r="C18" s="91">
        <v>34906.2260116029</v>
      </c>
      <c r="D18" s="91">
        <v>24988.2543259707</v>
      </c>
      <c r="E18" s="92">
        <v>238729.950074322</v>
      </c>
      <c r="F18" s="93">
        <f t="shared" si="0"/>
        <v>74603.1093982257</v>
      </c>
      <c r="G18" s="94">
        <f t="shared" si="1"/>
        <v>24867.7031327419</v>
      </c>
      <c r="H18" s="95">
        <f t="shared" si="2"/>
        <v>49735.4062654838</v>
      </c>
      <c r="I18" s="20"/>
      <c r="J18" s="20"/>
      <c r="K18" s="20"/>
      <c r="L18" s="20"/>
      <c r="M18" s="20"/>
      <c r="N18" s="20"/>
      <c r="O18" s="20"/>
      <c r="P18" s="20"/>
      <c r="Q18" s="20"/>
      <c r="R18" s="20"/>
      <c r="S18" s="20"/>
      <c r="T18" s="20"/>
      <c r="U18" s="20"/>
      <c r="V18" s="20"/>
      <c r="W18" s="20"/>
      <c r="X18" s="20"/>
    </row>
    <row r="19" ht="13.5" customHeight="1" spans="1:24">
      <c r="A19" s="20"/>
      <c r="B19" s="63">
        <v>4</v>
      </c>
      <c r="C19" s="91">
        <v>35170.6539630518</v>
      </c>
      <c r="D19" s="91">
        <v>24770.18873857</v>
      </c>
      <c r="E19" s="92">
        <v>646392.877910788</v>
      </c>
      <c r="F19" s="93">
        <f t="shared" si="0"/>
        <v>206486.613777057</v>
      </c>
      <c r="G19" s="94">
        <f t="shared" si="1"/>
        <v>62843.7520191044</v>
      </c>
      <c r="H19" s="95">
        <f t="shared" si="2"/>
        <v>143642.861757953</v>
      </c>
      <c r="I19" s="20"/>
      <c r="J19" s="20"/>
      <c r="K19" s="20"/>
      <c r="L19" s="20"/>
      <c r="M19" s="20"/>
      <c r="N19" s="20"/>
      <c r="O19" s="20"/>
      <c r="P19" s="20"/>
      <c r="Q19" s="20"/>
      <c r="R19" s="20"/>
      <c r="S19" s="20"/>
      <c r="T19" s="20"/>
      <c r="U19" s="20"/>
      <c r="V19" s="20"/>
      <c r="W19" s="20"/>
      <c r="X19" s="20"/>
    </row>
    <row r="20" ht="13.5" customHeight="1" spans="1:24">
      <c r="A20" s="20"/>
      <c r="B20" s="63">
        <v>5</v>
      </c>
      <c r="C20" s="91">
        <v>36608.7871270722</v>
      </c>
      <c r="D20" s="91">
        <v>26647.7182223433</v>
      </c>
      <c r="E20" s="92">
        <v>288492.779518863</v>
      </c>
      <c r="F20" s="93">
        <f t="shared" si="0"/>
        <v>100171.103999605</v>
      </c>
      <c r="G20" s="94">
        <f t="shared" si="1"/>
        <v>20034.220799921</v>
      </c>
      <c r="H20" s="95">
        <f t="shared" si="2"/>
        <v>80136.8831996841</v>
      </c>
      <c r="I20" s="20"/>
      <c r="J20" s="20"/>
      <c r="K20" s="20"/>
      <c r="L20" s="20"/>
      <c r="M20" s="20"/>
      <c r="N20" s="20"/>
      <c r="O20" s="20"/>
      <c r="P20" s="20"/>
      <c r="Q20" s="20"/>
      <c r="R20" s="20"/>
      <c r="S20" s="20"/>
      <c r="T20" s="20"/>
      <c r="U20" s="20"/>
      <c r="V20" s="20"/>
      <c r="W20" s="20"/>
      <c r="X20" s="20"/>
    </row>
    <row r="21" ht="13.5" customHeight="1" spans="1:24">
      <c r="A21" s="20"/>
      <c r="B21" s="63">
        <v>6</v>
      </c>
      <c r="C21" s="91">
        <v>36243.354345302</v>
      </c>
      <c r="D21" s="91">
        <v>23720.2180371127</v>
      </c>
      <c r="E21" s="92">
        <v>210627.891490664</v>
      </c>
      <c r="F21" s="93">
        <f t="shared" si="0"/>
        <v>71671.9908544619</v>
      </c>
      <c r="G21" s="94">
        <f t="shared" si="1"/>
        <v>16089.6305999813</v>
      </c>
      <c r="H21" s="95">
        <f t="shared" si="2"/>
        <v>55582.3602544807</v>
      </c>
      <c r="I21" s="20"/>
      <c r="J21" s="20"/>
      <c r="K21" s="20"/>
      <c r="L21" s="20"/>
      <c r="M21" s="20"/>
      <c r="N21" s="20"/>
      <c r="O21" s="20"/>
      <c r="P21" s="20"/>
      <c r="Q21" s="20"/>
      <c r="R21" s="20"/>
      <c r="S21" s="20"/>
      <c r="T21" s="20"/>
      <c r="U21" s="20"/>
      <c r="V21" s="20"/>
      <c r="W21" s="20"/>
      <c r="X21" s="20"/>
    </row>
    <row r="22" ht="13.5" customHeight="1" spans="1:24">
      <c r="A22" s="20"/>
      <c r="B22" s="63">
        <v>7</v>
      </c>
      <c r="C22" s="91">
        <v>34137.1087157049</v>
      </c>
      <c r="D22" s="91">
        <v>20877.3164677246</v>
      </c>
      <c r="E22" s="92">
        <v>347417.620902834</v>
      </c>
      <c r="F22" s="93">
        <f t="shared" si="0"/>
        <v>103742.761797374</v>
      </c>
      <c r="G22" s="94">
        <f t="shared" si="1"/>
        <v>41014.5802454735</v>
      </c>
      <c r="H22" s="95">
        <f t="shared" si="2"/>
        <v>62728.1815519007</v>
      </c>
      <c r="I22" s="20"/>
      <c r="J22" s="20"/>
      <c r="K22" s="20"/>
      <c r="L22" s="20"/>
      <c r="M22" s="20"/>
      <c r="N22" s="20"/>
      <c r="O22" s="20"/>
      <c r="P22" s="20"/>
      <c r="Q22" s="20"/>
      <c r="R22" s="20"/>
      <c r="S22" s="20"/>
      <c r="T22" s="20"/>
      <c r="U22" s="20"/>
      <c r="V22" s="20"/>
      <c r="W22" s="20"/>
      <c r="X22" s="20"/>
    </row>
    <row r="23" ht="13.5" customHeight="1" spans="1:24">
      <c r="A23" s="20"/>
      <c r="B23" s="63">
        <v>8</v>
      </c>
      <c r="C23" s="91">
        <v>35545.6257001535</v>
      </c>
      <c r="D23" s="91">
        <v>24307.8402826884</v>
      </c>
      <c r="E23" s="92">
        <v>372843.088560497</v>
      </c>
      <c r="F23" s="93">
        <f t="shared" si="0"/>
        <v>121691.841405162</v>
      </c>
      <c r="G23" s="94">
        <f t="shared" si="1"/>
        <v>33659.4454950449</v>
      </c>
      <c r="H23" s="95">
        <f t="shared" si="2"/>
        <v>88032.3959101174</v>
      </c>
      <c r="I23" s="20"/>
      <c r="J23" s="20"/>
      <c r="K23" s="20"/>
      <c r="L23" s="20"/>
      <c r="M23" s="20"/>
      <c r="N23" s="20"/>
      <c r="O23" s="20"/>
      <c r="P23" s="20"/>
      <c r="Q23" s="20"/>
      <c r="R23" s="20"/>
      <c r="S23" s="20"/>
      <c r="T23" s="20"/>
      <c r="U23" s="20"/>
      <c r="V23" s="20"/>
      <c r="W23" s="20"/>
      <c r="X23" s="20"/>
    </row>
    <row r="24" ht="13.5" customHeight="1" spans="1:24">
      <c r="A24" s="20"/>
      <c r="B24" s="63">
        <v>9</v>
      </c>
      <c r="C24" s="91">
        <v>34457.5328246148</v>
      </c>
      <c r="D24" s="91">
        <v>23199.1748386461</v>
      </c>
      <c r="E24" s="92">
        <v>791633.648208493</v>
      </c>
      <c r="F24" s="93">
        <f t="shared" si="0"/>
        <v>241888.059174817</v>
      </c>
      <c r="G24" s="94">
        <f t="shared" si="1"/>
        <v>87959.2942453881</v>
      </c>
      <c r="H24" s="95">
        <f t="shared" si="2"/>
        <v>153928.764929429</v>
      </c>
      <c r="I24" s="20"/>
      <c r="J24" s="20"/>
      <c r="K24" s="20"/>
      <c r="L24" s="20"/>
      <c r="M24" s="20"/>
      <c r="N24" s="20"/>
      <c r="O24" s="20"/>
      <c r="P24" s="20"/>
      <c r="Q24" s="20"/>
      <c r="R24" s="20"/>
      <c r="S24" s="20"/>
      <c r="T24" s="20"/>
      <c r="U24" s="20"/>
      <c r="V24" s="20"/>
      <c r="W24" s="20"/>
      <c r="X24" s="20"/>
    </row>
    <row r="25" ht="13.5" customHeight="1" spans="1:24">
      <c r="A25" s="20"/>
      <c r="B25" s="63">
        <v>10</v>
      </c>
      <c r="C25" s="91">
        <v>31677.3239889323</v>
      </c>
      <c r="D25" s="91">
        <v>20756.0306250864</v>
      </c>
      <c r="E25" s="92">
        <v>298691.949986579</v>
      </c>
      <c r="F25" s="93">
        <f t="shared" si="0"/>
        <v>74672.9874966447</v>
      </c>
      <c r="G25" s="94">
        <f t="shared" si="1"/>
        <v>49781.9916644298</v>
      </c>
      <c r="H25" s="95">
        <f t="shared" si="2"/>
        <v>24890.9958322149</v>
      </c>
      <c r="I25" s="20"/>
      <c r="J25" s="20"/>
      <c r="K25" s="20"/>
      <c r="L25" s="20"/>
      <c r="M25" s="20"/>
      <c r="N25" s="20"/>
      <c r="O25" s="20"/>
      <c r="P25" s="20"/>
      <c r="Q25" s="20"/>
      <c r="R25" s="20"/>
      <c r="S25" s="20"/>
      <c r="T25" s="20"/>
      <c r="U25" s="20"/>
      <c r="V25" s="20"/>
      <c r="W25" s="20"/>
      <c r="X25" s="20"/>
    </row>
    <row r="26" ht="13.5" customHeight="1" spans="1:24">
      <c r="A26" s="20"/>
      <c r="B26" s="63">
        <v>11</v>
      </c>
      <c r="C26" s="91">
        <v>37206.1935051098</v>
      </c>
      <c r="D26" s="91">
        <v>25829.5498995189</v>
      </c>
      <c r="E26" s="92">
        <v>642074.99038646</v>
      </c>
      <c r="F26" s="93">
        <f t="shared" si="0"/>
        <v>227401.559095205</v>
      </c>
      <c r="G26" s="94">
        <f t="shared" si="1"/>
        <v>40129.6868991538</v>
      </c>
      <c r="H26" s="95">
        <f t="shared" si="2"/>
        <v>187271.872196051</v>
      </c>
      <c r="I26" s="20"/>
      <c r="J26" s="20"/>
      <c r="K26" s="20"/>
      <c r="L26" s="20"/>
      <c r="M26" s="20"/>
      <c r="N26" s="20"/>
      <c r="O26" s="20"/>
      <c r="P26" s="20"/>
      <c r="Q26" s="20"/>
      <c r="R26" s="20"/>
      <c r="S26" s="20"/>
      <c r="T26" s="20"/>
      <c r="U26" s="20"/>
      <c r="V26" s="20"/>
      <c r="W26" s="20"/>
      <c r="X26" s="20"/>
    </row>
    <row r="27" ht="13.5" customHeight="1" spans="1:24">
      <c r="A27" s="20"/>
      <c r="B27" s="63">
        <v>12</v>
      </c>
      <c r="C27" s="91">
        <v>35744.2021802406</v>
      </c>
      <c r="D27" s="91">
        <v>22591.0914181591</v>
      </c>
      <c r="E27" s="92">
        <v>490499.785866439</v>
      </c>
      <c r="F27" s="93">
        <f t="shared" si="0"/>
        <v>160093.680109185</v>
      </c>
      <c r="G27" s="94">
        <f t="shared" si="1"/>
        <v>44281.2306684979</v>
      </c>
      <c r="H27" s="95">
        <f t="shared" si="2"/>
        <v>115812.449440687</v>
      </c>
      <c r="I27" s="20"/>
      <c r="J27" s="20"/>
      <c r="K27" s="20"/>
      <c r="L27" s="20"/>
      <c r="M27" s="20"/>
      <c r="N27" s="20"/>
      <c r="O27" s="20"/>
      <c r="P27" s="20"/>
      <c r="Q27" s="20"/>
      <c r="R27" s="20"/>
      <c r="S27" s="20"/>
      <c r="T27" s="20"/>
      <c r="U27" s="20"/>
      <c r="V27" s="20"/>
      <c r="W27" s="20"/>
      <c r="X27" s="20"/>
    </row>
    <row r="28" ht="13.5" customHeight="1" spans="1:24">
      <c r="A28" s="20"/>
      <c r="B28" s="63">
        <v>13</v>
      </c>
      <c r="C28" s="91">
        <v>32575.0317625325</v>
      </c>
      <c r="D28" s="91">
        <v>21093.2194657669</v>
      </c>
      <c r="E28" s="92">
        <v>692357.392903116</v>
      </c>
      <c r="F28" s="93">
        <f t="shared" si="0"/>
        <v>187513.460577927</v>
      </c>
      <c r="G28" s="94">
        <f t="shared" si="1"/>
        <v>100968.786465038</v>
      </c>
      <c r="H28" s="95">
        <f t="shared" si="2"/>
        <v>86544.6741128895</v>
      </c>
      <c r="I28" s="20"/>
      <c r="J28" s="20"/>
      <c r="K28" s="20"/>
      <c r="L28" s="20"/>
      <c r="M28" s="20"/>
      <c r="N28" s="20"/>
      <c r="O28" s="20"/>
      <c r="P28" s="20"/>
      <c r="Q28" s="20"/>
      <c r="R28" s="20"/>
      <c r="S28" s="20"/>
      <c r="T28" s="20"/>
      <c r="U28" s="20"/>
      <c r="V28" s="20"/>
      <c r="W28" s="20"/>
      <c r="X28" s="20"/>
    </row>
    <row r="29" ht="13.5" customHeight="1" spans="1:24">
      <c r="A29" s="20"/>
      <c r="B29" s="63">
        <v>14</v>
      </c>
      <c r="C29" s="91">
        <v>34191.3131197138</v>
      </c>
      <c r="D29" s="91">
        <v>23003.9491088359</v>
      </c>
      <c r="E29" s="92">
        <v>487607.784290581</v>
      </c>
      <c r="F29" s="93">
        <f t="shared" si="0"/>
        <v>145605.102253437</v>
      </c>
      <c r="G29" s="94">
        <f t="shared" si="1"/>
        <v>57564.807867638</v>
      </c>
      <c r="H29" s="95">
        <f t="shared" si="2"/>
        <v>88040.2943857994</v>
      </c>
      <c r="I29" s="20"/>
      <c r="J29" s="20"/>
      <c r="K29" s="20"/>
      <c r="L29" s="20"/>
      <c r="M29" s="20"/>
      <c r="N29" s="20"/>
      <c r="O29" s="20"/>
      <c r="P29" s="20"/>
      <c r="Q29" s="20"/>
      <c r="R29" s="20"/>
      <c r="S29" s="20"/>
      <c r="T29" s="20"/>
      <c r="U29" s="20"/>
      <c r="V29" s="20"/>
      <c r="W29" s="20"/>
      <c r="X29" s="20"/>
    </row>
    <row r="30" ht="13.5" customHeight="1" spans="1:24">
      <c r="A30" s="20"/>
      <c r="B30" s="63">
        <v>15</v>
      </c>
      <c r="C30" s="91">
        <v>34006.6194155471</v>
      </c>
      <c r="D30" s="91">
        <v>20471.1265709944</v>
      </c>
      <c r="E30" s="92">
        <v>746875.812190178</v>
      </c>
      <c r="F30" s="93">
        <f t="shared" si="0"/>
        <v>223025.416140123</v>
      </c>
      <c r="G30" s="94">
        <f t="shared" si="1"/>
        <v>88172.8389391182</v>
      </c>
      <c r="H30" s="95">
        <f t="shared" si="2"/>
        <v>134852.577201004</v>
      </c>
      <c r="I30" s="20"/>
      <c r="J30" s="20"/>
      <c r="K30" s="20"/>
      <c r="L30" s="20"/>
      <c r="M30" s="20"/>
      <c r="N30" s="20"/>
      <c r="O30" s="20"/>
      <c r="P30" s="20"/>
      <c r="Q30" s="20"/>
      <c r="R30" s="20"/>
      <c r="S30" s="20"/>
      <c r="T30" s="20"/>
      <c r="U30" s="20"/>
      <c r="V30" s="20"/>
      <c r="W30" s="20"/>
      <c r="X30" s="20"/>
    </row>
    <row r="31" ht="13.5" customHeight="1" spans="1:24">
      <c r="A31" s="20"/>
      <c r="B31" s="63">
        <v>16</v>
      </c>
      <c r="C31" s="91">
        <v>34861.8418199023</v>
      </c>
      <c r="D31" s="91">
        <v>24744.084976275</v>
      </c>
      <c r="E31" s="92">
        <v>791973.167720865</v>
      </c>
      <c r="F31" s="93">
        <f t="shared" si="0"/>
        <v>247491.61491277</v>
      </c>
      <c r="G31" s="94">
        <f t="shared" si="1"/>
        <v>82497.2049709235</v>
      </c>
      <c r="H31" s="95">
        <f t="shared" si="2"/>
        <v>164994.409941847</v>
      </c>
      <c r="I31" s="20"/>
      <c r="J31" s="20"/>
      <c r="K31" s="20"/>
      <c r="L31" s="20"/>
      <c r="M31" s="20"/>
      <c r="N31" s="20"/>
      <c r="O31" s="20"/>
      <c r="P31" s="20"/>
      <c r="Q31" s="20"/>
      <c r="R31" s="20"/>
      <c r="S31" s="20"/>
      <c r="T31" s="20"/>
      <c r="U31" s="20"/>
      <c r="V31" s="20"/>
      <c r="W31" s="20"/>
      <c r="X31" s="20"/>
    </row>
    <row r="32" ht="13.5" customHeight="1" spans="1:24">
      <c r="A32" s="20"/>
      <c r="B32" s="63">
        <v>17</v>
      </c>
      <c r="C32" s="91">
        <v>34212.8695835071</v>
      </c>
      <c r="D32" s="91">
        <v>20503.6299492958</v>
      </c>
      <c r="E32" s="92">
        <v>487789.371942523</v>
      </c>
      <c r="F32" s="93">
        <f t="shared" si="0"/>
        <v>145659.326343948</v>
      </c>
      <c r="G32" s="94">
        <f t="shared" si="1"/>
        <v>57586.2452987701</v>
      </c>
      <c r="H32" s="95">
        <f t="shared" si="2"/>
        <v>88073.0810451778</v>
      </c>
      <c r="I32" s="20"/>
      <c r="J32" s="20"/>
      <c r="K32" s="20"/>
      <c r="L32" s="20"/>
      <c r="M32" s="20"/>
      <c r="N32" s="20"/>
      <c r="O32" s="20"/>
      <c r="P32" s="20"/>
      <c r="Q32" s="20"/>
      <c r="R32" s="20"/>
      <c r="S32" s="20"/>
      <c r="T32" s="20"/>
      <c r="U32" s="20"/>
      <c r="V32" s="20"/>
      <c r="W32" s="20"/>
      <c r="X32" s="20"/>
    </row>
    <row r="33" ht="13.5" customHeight="1" spans="1:24">
      <c r="A33" s="20"/>
      <c r="B33" s="63">
        <v>18</v>
      </c>
      <c r="C33" s="91">
        <v>31651.713624312</v>
      </c>
      <c r="D33" s="91">
        <v>21099.6501787134</v>
      </c>
      <c r="E33" s="92">
        <v>411704.92101394</v>
      </c>
      <c r="F33" s="93">
        <f t="shared" si="0"/>
        <v>102926.230253485</v>
      </c>
      <c r="G33" s="94">
        <f t="shared" si="1"/>
        <v>68617.4868356566</v>
      </c>
      <c r="H33" s="95">
        <f t="shared" si="2"/>
        <v>34308.7434178283</v>
      </c>
      <c r="I33" s="20"/>
      <c r="J33" s="20"/>
      <c r="K33" s="20"/>
      <c r="L33" s="20"/>
      <c r="M33" s="20"/>
      <c r="N33" s="20"/>
      <c r="O33" s="20"/>
      <c r="P33" s="20"/>
      <c r="Q33" s="20"/>
      <c r="R33" s="20"/>
      <c r="S33" s="20"/>
      <c r="T33" s="20"/>
      <c r="U33" s="20"/>
      <c r="V33" s="20"/>
      <c r="W33" s="20"/>
      <c r="X33" s="20"/>
    </row>
    <row r="34" ht="13.5" customHeight="1" spans="1:24">
      <c r="A34" s="20"/>
      <c r="B34" s="63">
        <v>19</v>
      </c>
      <c r="C34" s="91">
        <v>37119.2161302298</v>
      </c>
      <c r="D34" s="91">
        <v>23994.0647873515</v>
      </c>
      <c r="E34" s="92">
        <v>309242.395936151</v>
      </c>
      <c r="F34" s="93">
        <f t="shared" si="0"/>
        <v>109523.34856072</v>
      </c>
      <c r="G34" s="94">
        <f t="shared" si="1"/>
        <v>19327.6497460095</v>
      </c>
      <c r="H34" s="95">
        <f t="shared" si="2"/>
        <v>90195.6988147108</v>
      </c>
      <c r="I34" s="20"/>
      <c r="J34" s="20"/>
      <c r="K34" s="20"/>
      <c r="L34" s="20"/>
      <c r="M34" s="20"/>
      <c r="N34" s="20"/>
      <c r="O34" s="20"/>
      <c r="P34" s="20"/>
      <c r="Q34" s="20"/>
      <c r="R34" s="20"/>
      <c r="S34" s="20"/>
      <c r="T34" s="20"/>
      <c r="U34" s="20"/>
      <c r="V34" s="20"/>
      <c r="W34" s="20"/>
      <c r="X34" s="20"/>
    </row>
    <row r="35" ht="13.5" customHeight="1" spans="1:24">
      <c r="A35" s="20"/>
      <c r="B35" s="63">
        <v>20</v>
      </c>
      <c r="C35" s="91">
        <v>35512.2245180192</v>
      </c>
      <c r="D35" s="91">
        <v>21213.9817926206</v>
      </c>
      <c r="E35" s="92">
        <v>323488.975569612</v>
      </c>
      <c r="F35" s="93">
        <f t="shared" si="0"/>
        <v>105583.207303971</v>
      </c>
      <c r="G35" s="94">
        <f t="shared" si="1"/>
        <v>29203.8658500344</v>
      </c>
      <c r="H35" s="95">
        <f t="shared" si="2"/>
        <v>76379.3414539361</v>
      </c>
      <c r="I35" s="20"/>
      <c r="J35" s="20"/>
      <c r="K35" s="20"/>
      <c r="L35" s="20"/>
      <c r="M35" s="20"/>
      <c r="N35" s="20"/>
      <c r="O35" s="20"/>
      <c r="P35" s="20"/>
      <c r="Q35" s="20"/>
      <c r="R35" s="20"/>
      <c r="S35" s="20"/>
      <c r="T35" s="20"/>
      <c r="U35" s="20"/>
      <c r="V35" s="20"/>
      <c r="W35" s="20"/>
      <c r="X35" s="20"/>
    </row>
    <row r="36" ht="13.5" customHeight="1" spans="1:24">
      <c r="A36" s="20"/>
      <c r="B36" s="63">
        <v>21</v>
      </c>
      <c r="C36" s="91">
        <v>36460.3894116517</v>
      </c>
      <c r="D36" s="91">
        <v>24823.9515685849</v>
      </c>
      <c r="E36" s="92">
        <v>740017.421084244</v>
      </c>
      <c r="F36" s="93">
        <f t="shared" si="0"/>
        <v>251811.483563388</v>
      </c>
      <c r="G36" s="94">
        <f t="shared" si="1"/>
        <v>56529.1085550464</v>
      </c>
      <c r="H36" s="95">
        <f t="shared" si="2"/>
        <v>195282.375008342</v>
      </c>
      <c r="I36" s="20"/>
      <c r="J36" s="20"/>
      <c r="K36" s="20"/>
      <c r="L36" s="20"/>
      <c r="M36" s="20"/>
      <c r="N36" s="20"/>
      <c r="O36" s="20"/>
      <c r="P36" s="20"/>
      <c r="Q36" s="20"/>
      <c r="R36" s="20"/>
      <c r="S36" s="20"/>
      <c r="T36" s="20"/>
      <c r="U36" s="20"/>
      <c r="V36" s="20"/>
      <c r="W36" s="20"/>
      <c r="X36" s="20"/>
    </row>
    <row r="37" ht="13.5" customHeight="1" spans="1:24">
      <c r="A37" s="20"/>
      <c r="B37" s="63">
        <v>22</v>
      </c>
      <c r="C37" s="91">
        <v>36045.8311548718</v>
      </c>
      <c r="D37" s="91">
        <v>26355.20429966</v>
      </c>
      <c r="E37" s="92">
        <v>359485.262600394</v>
      </c>
      <c r="F37" s="93">
        <f t="shared" si="0"/>
        <v>119828.420866798</v>
      </c>
      <c r="G37" s="94">
        <f t="shared" si="1"/>
        <v>29957.1052166995</v>
      </c>
      <c r="H37" s="95">
        <f t="shared" si="2"/>
        <v>89871.3156500985</v>
      </c>
      <c r="I37" s="20"/>
      <c r="J37" s="20"/>
      <c r="K37" s="20"/>
      <c r="L37" s="20"/>
      <c r="M37" s="20"/>
      <c r="N37" s="20"/>
      <c r="O37" s="20"/>
      <c r="P37" s="20"/>
      <c r="Q37" s="20"/>
      <c r="R37" s="20"/>
      <c r="S37" s="20"/>
      <c r="T37" s="20"/>
      <c r="U37" s="20"/>
      <c r="V37" s="20"/>
      <c r="W37" s="20"/>
      <c r="X37" s="20"/>
    </row>
    <row r="38" ht="13.5" customHeight="1" spans="1:24">
      <c r="A38" s="20"/>
      <c r="B38" s="63">
        <v>23</v>
      </c>
      <c r="C38" s="91">
        <v>32673.1555840899</v>
      </c>
      <c r="D38" s="91">
        <v>20406.3737282839</v>
      </c>
      <c r="E38" s="92">
        <v>471663.991620215</v>
      </c>
      <c r="F38" s="93">
        <f t="shared" si="0"/>
        <v>127742.331063808</v>
      </c>
      <c r="G38" s="94">
        <f t="shared" si="1"/>
        <v>68784.3321112813</v>
      </c>
      <c r="H38" s="95">
        <f t="shared" si="2"/>
        <v>58957.9989525268</v>
      </c>
      <c r="I38" s="20"/>
      <c r="J38" s="20"/>
      <c r="K38" s="20"/>
      <c r="L38" s="20"/>
      <c r="M38" s="20"/>
      <c r="N38" s="20"/>
      <c r="O38" s="20"/>
      <c r="P38" s="20"/>
      <c r="Q38" s="20"/>
      <c r="R38" s="20"/>
      <c r="S38" s="20"/>
      <c r="T38" s="20"/>
      <c r="U38" s="20"/>
      <c r="V38" s="20"/>
      <c r="W38" s="20"/>
      <c r="X38" s="20"/>
    </row>
    <row r="39" ht="13.5" customHeight="1" spans="1:24">
      <c r="A39" s="20"/>
      <c r="B39" s="63">
        <v>24</v>
      </c>
      <c r="C39" s="91">
        <v>35351.4301324806</v>
      </c>
      <c r="D39" s="91">
        <v>21140.9692850671</v>
      </c>
      <c r="E39" s="92">
        <v>661919.524283765</v>
      </c>
      <c r="F39" s="93">
        <f t="shared" si="0"/>
        <v>211446.514701758</v>
      </c>
      <c r="G39" s="94">
        <f t="shared" si="1"/>
        <v>64353.2870831439</v>
      </c>
      <c r="H39" s="95">
        <f t="shared" si="2"/>
        <v>147093.227618615</v>
      </c>
      <c r="I39" s="20"/>
      <c r="J39" s="20"/>
      <c r="K39" s="20"/>
      <c r="L39" s="20"/>
      <c r="M39" s="20"/>
      <c r="N39" s="20"/>
      <c r="O39" s="20"/>
      <c r="P39" s="20"/>
      <c r="Q39" s="20"/>
      <c r="R39" s="20"/>
      <c r="S39" s="20"/>
      <c r="T39" s="20"/>
      <c r="U39" s="20"/>
      <c r="V39" s="20"/>
      <c r="W39" s="20"/>
      <c r="X39" s="20"/>
    </row>
    <row r="40" ht="13.5" customHeight="1" spans="1:24">
      <c r="A40" s="20"/>
      <c r="B40" s="63">
        <v>25</v>
      </c>
      <c r="C40" s="91">
        <v>36997.2915247791</v>
      </c>
      <c r="D40" s="91">
        <v>27069.0271553199</v>
      </c>
      <c r="E40" s="92">
        <v>586912.862864009</v>
      </c>
      <c r="F40" s="93">
        <f t="shared" si="0"/>
        <v>207864.972264337</v>
      </c>
      <c r="G40" s="94">
        <f t="shared" si="1"/>
        <v>36682.0539290006</v>
      </c>
      <c r="H40" s="95">
        <f t="shared" si="2"/>
        <v>171182.918335336</v>
      </c>
      <c r="I40" s="20"/>
      <c r="J40" s="20"/>
      <c r="K40" s="20"/>
      <c r="L40" s="20"/>
      <c r="M40" s="20"/>
      <c r="N40" s="20"/>
      <c r="O40" s="20"/>
      <c r="P40" s="20"/>
      <c r="Q40" s="20"/>
      <c r="R40" s="20"/>
      <c r="S40" s="20"/>
      <c r="T40" s="20"/>
      <c r="U40" s="20"/>
      <c r="V40" s="20"/>
      <c r="W40" s="20"/>
      <c r="X40" s="20"/>
    </row>
    <row r="41" ht="13.5" customHeight="1" spans="1:24">
      <c r="A41" s="20"/>
      <c r="B41" s="63">
        <v>26</v>
      </c>
      <c r="C41" s="91">
        <v>34491.218953625</v>
      </c>
      <c r="D41" s="91">
        <v>23918.1246757956</v>
      </c>
      <c r="E41" s="92">
        <v>244341.270395471</v>
      </c>
      <c r="F41" s="93">
        <f t="shared" si="0"/>
        <v>74659.8326208384</v>
      </c>
      <c r="G41" s="94">
        <f t="shared" si="1"/>
        <v>27149.0300439412</v>
      </c>
      <c r="H41" s="95">
        <f t="shared" si="2"/>
        <v>47510.8025768972</v>
      </c>
      <c r="I41" s="20"/>
      <c r="J41" s="20"/>
      <c r="K41" s="20"/>
      <c r="L41" s="20"/>
      <c r="M41" s="20"/>
      <c r="N41" s="20"/>
      <c r="O41" s="20"/>
      <c r="P41" s="20"/>
      <c r="Q41" s="20"/>
      <c r="R41" s="20"/>
      <c r="S41" s="20"/>
      <c r="T41" s="20"/>
      <c r="U41" s="20"/>
      <c r="V41" s="20"/>
      <c r="W41" s="20"/>
      <c r="X41" s="20"/>
    </row>
    <row r="42" ht="13.5" customHeight="1" spans="1:24">
      <c r="A42" s="20"/>
      <c r="B42" s="63">
        <v>27</v>
      </c>
      <c r="C42" s="91">
        <v>33735.8446290881</v>
      </c>
      <c r="D42" s="91">
        <v>22109.1724008228</v>
      </c>
      <c r="E42" s="92">
        <v>401089.176928556</v>
      </c>
      <c r="F42" s="93">
        <f t="shared" si="0"/>
        <v>116984.343270829</v>
      </c>
      <c r="G42" s="94">
        <f t="shared" si="1"/>
        <v>50136.1471160695</v>
      </c>
      <c r="H42" s="95">
        <f t="shared" si="2"/>
        <v>66848.1961547593</v>
      </c>
      <c r="I42" s="20"/>
      <c r="J42" s="20"/>
      <c r="K42" s="20"/>
      <c r="L42" s="20"/>
      <c r="M42" s="20"/>
      <c r="N42" s="20"/>
      <c r="O42" s="20"/>
      <c r="P42" s="20"/>
      <c r="Q42" s="20"/>
      <c r="R42" s="20"/>
      <c r="S42" s="20"/>
      <c r="T42" s="20"/>
      <c r="U42" s="20"/>
      <c r="V42" s="20"/>
      <c r="W42" s="20"/>
      <c r="X42" s="20"/>
    </row>
    <row r="43" ht="13.5" customHeight="1" spans="1:24">
      <c r="A43" s="20"/>
      <c r="B43" s="63">
        <v>28</v>
      </c>
      <c r="C43" s="91">
        <v>32481.2822807806</v>
      </c>
      <c r="D43" s="91">
        <v>19969.178317059</v>
      </c>
      <c r="E43" s="92">
        <v>365201.704356734</v>
      </c>
      <c r="F43" s="93">
        <f t="shared" si="0"/>
        <v>96372.6719830269</v>
      </c>
      <c r="G43" s="94">
        <f t="shared" si="1"/>
        <v>55794.7048322787</v>
      </c>
      <c r="H43" s="95">
        <f t="shared" si="2"/>
        <v>40577.9671507482</v>
      </c>
      <c r="I43" s="20"/>
      <c r="J43" s="20"/>
      <c r="K43" s="20"/>
      <c r="L43" s="20"/>
      <c r="M43" s="20"/>
      <c r="N43" s="20"/>
      <c r="O43" s="20"/>
      <c r="P43" s="20"/>
      <c r="Q43" s="20"/>
      <c r="R43" s="20"/>
      <c r="S43" s="20"/>
      <c r="T43" s="20"/>
      <c r="U43" s="20"/>
      <c r="V43" s="20"/>
      <c r="W43" s="20"/>
      <c r="X43" s="20"/>
    </row>
    <row r="44" ht="13.5" customHeight="1" spans="1:24">
      <c r="A44" s="20"/>
      <c r="B44" s="63">
        <v>29</v>
      </c>
      <c r="C44" s="91">
        <v>33981.3621033429</v>
      </c>
      <c r="D44" s="91">
        <v>20269.0464711693</v>
      </c>
      <c r="E44" s="92">
        <v>460493.453087265</v>
      </c>
      <c r="F44" s="93">
        <f t="shared" si="0"/>
        <v>137508.461685781</v>
      </c>
      <c r="G44" s="94">
        <f t="shared" si="1"/>
        <v>54363.8104339133</v>
      </c>
      <c r="H44" s="95">
        <f t="shared" si="2"/>
        <v>83144.6512518673</v>
      </c>
      <c r="I44" s="20"/>
      <c r="J44" s="20"/>
      <c r="K44" s="20"/>
      <c r="L44" s="20"/>
      <c r="M44" s="20"/>
      <c r="N44" s="20"/>
      <c r="O44" s="20"/>
      <c r="P44" s="20"/>
      <c r="Q44" s="20"/>
      <c r="R44" s="20"/>
      <c r="S44" s="20"/>
      <c r="T44" s="20"/>
      <c r="U44" s="20"/>
      <c r="V44" s="20"/>
      <c r="W44" s="20"/>
      <c r="X44" s="20"/>
    </row>
    <row r="45" ht="13.5" customHeight="1" spans="1:24">
      <c r="A45" s="20"/>
      <c r="B45" s="63">
        <v>30</v>
      </c>
      <c r="C45" s="91">
        <v>31296.6642479961</v>
      </c>
      <c r="D45" s="91">
        <v>20740.5207250094</v>
      </c>
      <c r="E45" s="92">
        <v>787290.060855428</v>
      </c>
      <c r="F45" s="93">
        <f t="shared" si="0"/>
        <v>191355.223124583</v>
      </c>
      <c r="G45" s="94">
        <f t="shared" si="1"/>
        <v>136682.302231845</v>
      </c>
      <c r="H45" s="95">
        <f t="shared" si="2"/>
        <v>54672.9208927381</v>
      </c>
      <c r="I45" s="20"/>
      <c r="J45" s="20"/>
      <c r="K45" s="20"/>
      <c r="L45" s="20"/>
      <c r="M45" s="20"/>
      <c r="N45" s="20"/>
      <c r="O45" s="20"/>
      <c r="P45" s="20"/>
      <c r="Q45" s="20"/>
      <c r="R45" s="20"/>
      <c r="S45" s="20"/>
      <c r="T45" s="20"/>
      <c r="U45" s="20"/>
      <c r="V45" s="20"/>
      <c r="W45" s="20"/>
      <c r="X45" s="20"/>
    </row>
    <row r="46" ht="13.5" customHeight="1" spans="1:24">
      <c r="A46" s="20"/>
      <c r="B46" s="63">
        <v>31</v>
      </c>
      <c r="C46" s="91">
        <v>37675.1821901045</v>
      </c>
      <c r="D46" s="91">
        <v>27033.99221798</v>
      </c>
      <c r="E46" s="92">
        <v>688394.492114415</v>
      </c>
      <c r="F46" s="93">
        <f t="shared" si="0"/>
        <v>253367.417236556</v>
      </c>
      <c r="G46" s="94">
        <f t="shared" si="1"/>
        <v>33463.6211444507</v>
      </c>
      <c r="H46" s="95">
        <f t="shared" si="2"/>
        <v>219903.796092105</v>
      </c>
      <c r="I46" s="20"/>
      <c r="J46" s="20"/>
      <c r="K46" s="20"/>
      <c r="L46" s="20"/>
      <c r="M46" s="20"/>
      <c r="N46" s="20"/>
      <c r="O46" s="20"/>
      <c r="P46" s="20"/>
      <c r="Q46" s="20"/>
      <c r="R46" s="20"/>
      <c r="S46" s="20"/>
      <c r="T46" s="20"/>
      <c r="U46" s="20"/>
      <c r="V46" s="20"/>
      <c r="W46" s="20"/>
      <c r="X46" s="20"/>
    </row>
    <row r="47" ht="13.5" customHeight="1" spans="1:24">
      <c r="A47" s="20"/>
      <c r="B47" s="63">
        <v>32</v>
      </c>
      <c r="C47" s="91">
        <v>33074.8312442846</v>
      </c>
      <c r="D47" s="91">
        <v>23136.1026150007</v>
      </c>
      <c r="E47" s="92">
        <v>683821.916743885</v>
      </c>
      <c r="F47" s="93">
        <f t="shared" si="0"/>
        <v>189950.532428857</v>
      </c>
      <c r="G47" s="94">
        <f t="shared" si="1"/>
        <v>94975.2662144285</v>
      </c>
      <c r="H47" s="95">
        <f t="shared" si="2"/>
        <v>94975.2662144285</v>
      </c>
      <c r="I47" s="20"/>
      <c r="J47" s="20"/>
      <c r="K47" s="20"/>
      <c r="L47" s="20"/>
      <c r="M47" s="20"/>
      <c r="N47" s="20"/>
      <c r="O47" s="20"/>
      <c r="P47" s="20"/>
      <c r="Q47" s="20"/>
      <c r="R47" s="20"/>
      <c r="S47" s="20"/>
      <c r="T47" s="20"/>
      <c r="U47" s="20"/>
      <c r="V47" s="20"/>
      <c r="W47" s="20"/>
      <c r="X47" s="20"/>
    </row>
    <row r="48" ht="13.5" customHeight="1" spans="1:24">
      <c r="A48" s="20"/>
      <c r="B48" s="63">
        <v>33</v>
      </c>
      <c r="C48" s="91">
        <v>37505.3780560895</v>
      </c>
      <c r="D48" s="91">
        <v>24819.7693127797</v>
      </c>
      <c r="E48" s="92">
        <v>411973.518653791</v>
      </c>
      <c r="F48" s="93">
        <f t="shared" si="0"/>
        <v>148768.215069425</v>
      </c>
      <c r="G48" s="94">
        <f t="shared" si="1"/>
        <v>22887.4177029884</v>
      </c>
      <c r="H48" s="95">
        <f t="shared" si="2"/>
        <v>125880.797366436</v>
      </c>
      <c r="I48" s="20"/>
      <c r="J48" s="20"/>
      <c r="K48" s="20"/>
      <c r="L48" s="20"/>
      <c r="M48" s="20"/>
      <c r="N48" s="20"/>
      <c r="O48" s="20"/>
      <c r="P48" s="20"/>
      <c r="Q48" s="20"/>
      <c r="R48" s="20"/>
      <c r="S48" s="20"/>
      <c r="T48" s="20"/>
      <c r="U48" s="20"/>
      <c r="V48" s="20"/>
      <c r="W48" s="20"/>
      <c r="X48" s="20"/>
    </row>
    <row r="49" ht="13.5" customHeight="1" spans="1:24">
      <c r="A49" s="20"/>
      <c r="B49" s="63">
        <v>34</v>
      </c>
      <c r="C49" s="91">
        <v>33299.8167451025</v>
      </c>
      <c r="D49" s="91">
        <v>20253.1244449181</v>
      </c>
      <c r="E49" s="92">
        <v>582069.421935886</v>
      </c>
      <c r="F49" s="93">
        <f t="shared" si="0"/>
        <v>165728.09930119</v>
      </c>
      <c r="G49" s="94">
        <f t="shared" si="1"/>
        <v>76800.8265054294</v>
      </c>
      <c r="H49" s="95">
        <f t="shared" si="2"/>
        <v>88927.2727957604</v>
      </c>
      <c r="I49" s="20"/>
      <c r="J49" s="20"/>
      <c r="K49" s="20"/>
      <c r="L49" s="20"/>
      <c r="M49" s="20"/>
      <c r="N49" s="20"/>
      <c r="O49" s="20"/>
      <c r="P49" s="20"/>
      <c r="Q49" s="20"/>
      <c r="R49" s="20"/>
      <c r="S49" s="20"/>
      <c r="T49" s="20"/>
      <c r="U49" s="20"/>
      <c r="V49" s="20"/>
      <c r="W49" s="20"/>
      <c r="X49" s="20"/>
    </row>
    <row r="50" ht="13.5" customHeight="1" spans="1:24">
      <c r="A50" s="20"/>
      <c r="B50" s="63">
        <v>35</v>
      </c>
      <c r="C50" s="91">
        <v>36054.602850732</v>
      </c>
      <c r="D50" s="91">
        <v>21570.1550732092</v>
      </c>
      <c r="E50" s="92">
        <v>402614.006902468</v>
      </c>
      <c r="F50" s="93">
        <f t="shared" si="0"/>
        <v>134204.668967489</v>
      </c>
      <c r="G50" s="94">
        <f t="shared" si="1"/>
        <v>33551.1672418724</v>
      </c>
      <c r="H50" s="95">
        <f t="shared" si="2"/>
        <v>100653.501725617</v>
      </c>
      <c r="I50" s="20"/>
      <c r="J50" s="20"/>
      <c r="K50" s="20"/>
      <c r="L50" s="20"/>
      <c r="M50" s="20"/>
      <c r="N50" s="20"/>
      <c r="O50" s="20"/>
      <c r="P50" s="20"/>
      <c r="Q50" s="20"/>
      <c r="R50" s="20"/>
      <c r="S50" s="20"/>
      <c r="T50" s="20"/>
      <c r="U50" s="20"/>
      <c r="V50" s="20"/>
      <c r="W50" s="20"/>
      <c r="X50" s="20"/>
    </row>
    <row r="51" ht="13.5" customHeight="1" spans="1:24">
      <c r="A51" s="20"/>
      <c r="B51" s="63">
        <v>36</v>
      </c>
      <c r="C51" s="91">
        <v>37866.1584872913</v>
      </c>
      <c r="D51" s="91">
        <v>26639.0292172507</v>
      </c>
      <c r="E51" s="92">
        <v>516126.463489851</v>
      </c>
      <c r="F51" s="93">
        <f t="shared" si="0"/>
        <v>189963.212256681</v>
      </c>
      <c r="G51" s="94">
        <f t="shared" si="1"/>
        <v>25089.48086409</v>
      </c>
      <c r="H51" s="95">
        <f t="shared" si="2"/>
        <v>164873.731392591</v>
      </c>
      <c r="I51" s="20"/>
      <c r="J51" s="20"/>
      <c r="K51" s="20"/>
      <c r="L51" s="20"/>
      <c r="M51" s="20"/>
      <c r="N51" s="20"/>
      <c r="O51" s="20"/>
      <c r="P51" s="20"/>
      <c r="Q51" s="20"/>
      <c r="R51" s="20"/>
      <c r="S51" s="20"/>
      <c r="T51" s="20"/>
      <c r="U51" s="20"/>
      <c r="V51" s="20"/>
      <c r="W51" s="20"/>
      <c r="X51" s="20"/>
    </row>
    <row r="52" ht="13.5" customHeight="1" spans="1:24">
      <c r="A52" s="20"/>
      <c r="B52" s="63">
        <v>37</v>
      </c>
      <c r="C52" s="91">
        <v>37800.6767973284</v>
      </c>
      <c r="D52" s="91">
        <v>26797.0243276175</v>
      </c>
      <c r="E52" s="92">
        <v>541326.05173142</v>
      </c>
      <c r="F52" s="93">
        <f t="shared" si="0"/>
        <v>199238.060706703</v>
      </c>
      <c r="G52" s="94">
        <f t="shared" si="1"/>
        <v>26314.4608480551</v>
      </c>
      <c r="H52" s="95">
        <f t="shared" si="2"/>
        <v>172923.599858648</v>
      </c>
      <c r="I52" s="20"/>
      <c r="J52" s="20"/>
      <c r="K52" s="20"/>
      <c r="L52" s="20"/>
      <c r="M52" s="20"/>
      <c r="N52" s="20"/>
      <c r="O52" s="20"/>
      <c r="P52" s="20"/>
      <c r="Q52" s="20"/>
      <c r="R52" s="20"/>
      <c r="S52" s="20"/>
      <c r="T52" s="20"/>
      <c r="U52" s="20"/>
      <c r="V52" s="20"/>
      <c r="W52" s="20"/>
      <c r="X52" s="20"/>
    </row>
    <row r="53" ht="13.5" customHeight="1" spans="1:24">
      <c r="A53" s="20"/>
      <c r="B53" s="63">
        <v>38</v>
      </c>
      <c r="C53" s="91">
        <v>33720.464277228</v>
      </c>
      <c r="D53" s="91">
        <v>23396.684256907</v>
      </c>
      <c r="E53" s="92">
        <v>284177.855166225</v>
      </c>
      <c r="F53" s="93">
        <f t="shared" si="0"/>
        <v>82885.2077568155</v>
      </c>
      <c r="G53" s="94">
        <f t="shared" si="1"/>
        <v>35522.2318957781</v>
      </c>
      <c r="H53" s="95">
        <f t="shared" si="2"/>
        <v>47362.9758610374</v>
      </c>
      <c r="I53" s="20"/>
      <c r="J53" s="20"/>
      <c r="K53" s="20"/>
      <c r="L53" s="20"/>
      <c r="M53" s="20"/>
      <c r="N53" s="20"/>
      <c r="O53" s="20"/>
      <c r="P53" s="20"/>
      <c r="Q53" s="20"/>
      <c r="R53" s="20"/>
      <c r="S53" s="20"/>
      <c r="T53" s="20"/>
      <c r="U53" s="20"/>
      <c r="V53" s="20"/>
      <c r="W53" s="20"/>
      <c r="X53" s="20"/>
    </row>
    <row r="54" ht="13.5" customHeight="1" spans="1:24">
      <c r="A54" s="20"/>
      <c r="B54" s="63">
        <v>39</v>
      </c>
      <c r="C54" s="91">
        <v>33012.1266601317</v>
      </c>
      <c r="D54" s="91">
        <v>21319.2834142917</v>
      </c>
      <c r="E54" s="92">
        <v>585028.026727262</v>
      </c>
      <c r="F54" s="93">
        <f t="shared" si="0"/>
        <v>162507.785202017</v>
      </c>
      <c r="G54" s="94">
        <f t="shared" si="1"/>
        <v>81253.8926010086</v>
      </c>
      <c r="H54" s="95">
        <f t="shared" si="2"/>
        <v>81253.8926010086</v>
      </c>
      <c r="I54" s="20"/>
      <c r="J54" s="20"/>
      <c r="K54" s="20"/>
      <c r="L54" s="20"/>
      <c r="M54" s="20"/>
      <c r="N54" s="20"/>
      <c r="O54" s="20"/>
      <c r="P54" s="20"/>
      <c r="Q54" s="20"/>
      <c r="R54" s="20"/>
      <c r="S54" s="20"/>
      <c r="T54" s="20"/>
      <c r="U54" s="20"/>
      <c r="V54" s="20"/>
      <c r="W54" s="20"/>
      <c r="X54" s="20"/>
    </row>
    <row r="55" ht="13.5" customHeight="1" spans="1:24">
      <c r="A55" s="20"/>
      <c r="B55" s="63">
        <v>40</v>
      </c>
      <c r="C55" s="91">
        <v>35734.2183897355</v>
      </c>
      <c r="D55" s="91">
        <v>21839.8302741446</v>
      </c>
      <c r="E55" s="92">
        <v>483098.372592927</v>
      </c>
      <c r="F55" s="93">
        <f t="shared" si="0"/>
        <v>157677.941054636</v>
      </c>
      <c r="G55" s="94">
        <f t="shared" si="1"/>
        <v>43613.0475257503</v>
      </c>
      <c r="H55" s="95">
        <f t="shared" si="2"/>
        <v>114064.893528885</v>
      </c>
      <c r="I55" s="20"/>
      <c r="J55" s="20"/>
      <c r="K55" s="20"/>
      <c r="L55" s="20"/>
      <c r="M55" s="20"/>
      <c r="N55" s="20"/>
      <c r="O55" s="20"/>
      <c r="P55" s="20"/>
      <c r="Q55" s="20"/>
      <c r="R55" s="20"/>
      <c r="S55" s="20"/>
      <c r="T55" s="20"/>
      <c r="U55" s="20"/>
      <c r="V55" s="20"/>
      <c r="W55" s="20"/>
      <c r="X55" s="20"/>
    </row>
    <row r="56" ht="13.5" customHeight="1" spans="1:24">
      <c r="A56" s="20"/>
      <c r="B56" s="63">
        <v>41</v>
      </c>
      <c r="C56" s="91">
        <v>34139.9030756492</v>
      </c>
      <c r="D56" s="91">
        <v>23145.589951863</v>
      </c>
      <c r="E56" s="92">
        <v>287712.335902961</v>
      </c>
      <c r="F56" s="93">
        <f t="shared" si="0"/>
        <v>85914.1003043564</v>
      </c>
      <c r="G56" s="94">
        <f t="shared" si="1"/>
        <v>33966.0396552107</v>
      </c>
      <c r="H56" s="95">
        <f t="shared" si="2"/>
        <v>51948.0606491457</v>
      </c>
      <c r="I56" s="20"/>
      <c r="J56" s="20"/>
      <c r="K56" s="20"/>
      <c r="L56" s="20"/>
      <c r="M56" s="20"/>
      <c r="N56" s="20"/>
      <c r="O56" s="20"/>
      <c r="P56" s="20"/>
      <c r="Q56" s="20"/>
      <c r="R56" s="20"/>
      <c r="S56" s="20"/>
      <c r="T56" s="20"/>
      <c r="U56" s="20"/>
      <c r="V56" s="20"/>
      <c r="W56" s="20"/>
      <c r="X56" s="20"/>
    </row>
    <row r="57" ht="13.5" customHeight="1" spans="1:24">
      <c r="A57" s="20"/>
      <c r="B57" s="63">
        <v>42</v>
      </c>
      <c r="C57" s="91">
        <v>33592.1440625765</v>
      </c>
      <c r="D57" s="91">
        <v>22407.2068624523</v>
      </c>
      <c r="E57" s="92">
        <v>696708.114058522</v>
      </c>
      <c r="F57" s="93">
        <f t="shared" si="0"/>
        <v>198368.282474996</v>
      </c>
      <c r="G57" s="94">
        <f t="shared" si="1"/>
        <v>91926.7650493883</v>
      </c>
      <c r="H57" s="95">
        <f t="shared" si="2"/>
        <v>106441.517425608</v>
      </c>
      <c r="I57" s="20"/>
      <c r="J57" s="20"/>
      <c r="K57" s="20"/>
      <c r="L57" s="20"/>
      <c r="M57" s="20"/>
      <c r="N57" s="20"/>
      <c r="O57" s="20"/>
      <c r="P57" s="20"/>
      <c r="Q57" s="20"/>
      <c r="R57" s="20"/>
      <c r="S57" s="20"/>
      <c r="T57" s="20"/>
      <c r="U57" s="20"/>
      <c r="V57" s="20"/>
      <c r="W57" s="20"/>
      <c r="X57" s="20"/>
    </row>
    <row r="58" ht="13.5" customHeight="1" spans="1:24">
      <c r="A58" s="20"/>
      <c r="B58" s="63">
        <v>43</v>
      </c>
      <c r="C58" s="91">
        <v>33966.8815332841</v>
      </c>
      <c r="D58" s="91">
        <v>19942.7336633856</v>
      </c>
      <c r="E58" s="92">
        <v>567110.676900479</v>
      </c>
      <c r="F58" s="93">
        <f t="shared" si="0"/>
        <v>165407.28076264</v>
      </c>
      <c r="G58" s="94">
        <f t="shared" si="1"/>
        <v>70888.8346125599</v>
      </c>
      <c r="H58" s="95">
        <f t="shared" si="2"/>
        <v>94518.4461500799</v>
      </c>
      <c r="I58" s="20"/>
      <c r="J58" s="20"/>
      <c r="K58" s="20"/>
      <c r="L58" s="20"/>
      <c r="M58" s="20"/>
      <c r="N58" s="20"/>
      <c r="O58" s="20"/>
      <c r="P58" s="20"/>
      <c r="Q58" s="20"/>
      <c r="R58" s="20"/>
      <c r="S58" s="20"/>
      <c r="T58" s="20"/>
      <c r="U58" s="20"/>
      <c r="V58" s="20"/>
      <c r="W58" s="20"/>
      <c r="X58" s="20"/>
    </row>
    <row r="59" ht="13.5" customHeight="1" spans="1:24">
      <c r="A59" s="20"/>
      <c r="B59" s="63">
        <v>44</v>
      </c>
      <c r="C59" s="91">
        <v>34565.6460742652</v>
      </c>
      <c r="D59" s="91">
        <v>22667.8231600161</v>
      </c>
      <c r="E59" s="92">
        <v>389639.219762662</v>
      </c>
      <c r="F59" s="93">
        <f t="shared" si="0"/>
        <v>119056.428260813</v>
      </c>
      <c r="G59" s="94">
        <f t="shared" si="1"/>
        <v>43293.2466402957</v>
      </c>
      <c r="H59" s="95">
        <f t="shared" si="2"/>
        <v>75763.1816205176</v>
      </c>
      <c r="I59" s="20"/>
      <c r="J59" s="20"/>
      <c r="K59" s="20"/>
      <c r="L59" s="20"/>
      <c r="M59" s="20"/>
      <c r="N59" s="20"/>
      <c r="O59" s="20"/>
      <c r="P59" s="20"/>
      <c r="Q59" s="20"/>
      <c r="R59" s="20"/>
      <c r="S59" s="20"/>
      <c r="T59" s="20"/>
      <c r="U59" s="20"/>
      <c r="V59" s="20"/>
      <c r="W59" s="20"/>
      <c r="X59" s="20"/>
    </row>
    <row r="60" ht="13.5" customHeight="1" spans="1:24">
      <c r="A60" s="20"/>
      <c r="B60" s="63">
        <v>45</v>
      </c>
      <c r="C60" s="91">
        <v>33370.0124018738</v>
      </c>
      <c r="D60" s="91">
        <v>23261.2293015529</v>
      </c>
      <c r="E60" s="92">
        <v>298653.321127841</v>
      </c>
      <c r="F60" s="93">
        <f t="shared" si="0"/>
        <v>85033.2372655657</v>
      </c>
      <c r="G60" s="94">
        <f t="shared" si="1"/>
        <v>39405.6465377012</v>
      </c>
      <c r="H60" s="95">
        <f t="shared" si="2"/>
        <v>45627.5907278645</v>
      </c>
      <c r="I60" s="20"/>
      <c r="J60" s="20"/>
      <c r="K60" s="20"/>
      <c r="L60" s="20"/>
      <c r="M60" s="20"/>
      <c r="N60" s="20"/>
      <c r="O60" s="20"/>
      <c r="P60" s="20"/>
      <c r="Q60" s="20"/>
      <c r="R60" s="20"/>
      <c r="S60" s="20"/>
      <c r="T60" s="20"/>
      <c r="U60" s="20"/>
      <c r="V60" s="20"/>
      <c r="W60" s="20"/>
      <c r="X60" s="20"/>
    </row>
    <row r="61" ht="13.5" customHeight="1" spans="1:24">
      <c r="A61" s="20"/>
      <c r="B61" s="63">
        <v>46</v>
      </c>
      <c r="C61" s="91">
        <v>33473.5412541759</v>
      </c>
      <c r="D61" s="91">
        <v>22236.1872579988</v>
      </c>
      <c r="E61" s="92">
        <v>447951.84033911</v>
      </c>
      <c r="F61" s="93">
        <f t="shared" si="0"/>
        <v>127541.843429886</v>
      </c>
      <c r="G61" s="94">
        <f t="shared" si="1"/>
        <v>59104.7567114104</v>
      </c>
      <c r="H61" s="95">
        <f t="shared" si="2"/>
        <v>68437.0867184752</v>
      </c>
      <c r="I61" s="20"/>
      <c r="J61" s="20"/>
      <c r="K61" s="20"/>
      <c r="L61" s="20"/>
      <c r="M61" s="20"/>
      <c r="N61" s="20"/>
      <c r="O61" s="20"/>
      <c r="P61" s="20"/>
      <c r="Q61" s="20"/>
      <c r="R61" s="20"/>
      <c r="S61" s="20"/>
      <c r="T61" s="20"/>
      <c r="U61" s="20"/>
      <c r="V61" s="20"/>
      <c r="W61" s="20"/>
      <c r="X61" s="20"/>
    </row>
    <row r="62" ht="13.5" customHeight="1" spans="1:24">
      <c r="A62" s="20"/>
      <c r="B62" s="63">
        <v>47</v>
      </c>
      <c r="C62" s="91">
        <v>35814.7568604934</v>
      </c>
      <c r="D62" s="91">
        <v>23713.2149141517</v>
      </c>
      <c r="E62" s="92">
        <v>663041.655771883</v>
      </c>
      <c r="F62" s="93">
        <f t="shared" si="0"/>
        <v>221013.885257294</v>
      </c>
      <c r="G62" s="94">
        <f t="shared" si="1"/>
        <v>55253.4713143236</v>
      </c>
      <c r="H62" s="95">
        <f t="shared" si="2"/>
        <v>165760.413942971</v>
      </c>
      <c r="I62" s="20"/>
      <c r="J62" s="20"/>
      <c r="K62" s="20"/>
      <c r="L62" s="20"/>
      <c r="M62" s="20"/>
      <c r="N62" s="20"/>
      <c r="O62" s="20"/>
      <c r="P62" s="20"/>
      <c r="Q62" s="20"/>
      <c r="R62" s="20"/>
      <c r="S62" s="20"/>
      <c r="T62" s="20"/>
      <c r="U62" s="20"/>
      <c r="V62" s="20"/>
      <c r="W62" s="20"/>
      <c r="X62" s="20"/>
    </row>
    <row r="63" ht="13.5" customHeight="1" spans="1:24">
      <c r="A63" s="20"/>
      <c r="B63" s="63">
        <v>48</v>
      </c>
      <c r="C63" s="91">
        <v>33453.7053030881</v>
      </c>
      <c r="D63" s="91">
        <v>22887.9074222402</v>
      </c>
      <c r="E63" s="92">
        <v>623725.280469113</v>
      </c>
      <c r="F63" s="93">
        <f t="shared" si="0"/>
        <v>177588.447911345</v>
      </c>
      <c r="G63" s="94">
        <f t="shared" si="1"/>
        <v>82297.0856174524</v>
      </c>
      <c r="H63" s="95">
        <f t="shared" si="2"/>
        <v>95291.3622938922</v>
      </c>
      <c r="I63" s="20"/>
      <c r="J63" s="20"/>
      <c r="K63" s="20"/>
      <c r="L63" s="20"/>
      <c r="M63" s="20"/>
      <c r="N63" s="20"/>
      <c r="O63" s="20"/>
      <c r="P63" s="20"/>
      <c r="Q63" s="20"/>
      <c r="R63" s="20"/>
      <c r="S63" s="20"/>
      <c r="T63" s="20"/>
      <c r="U63" s="20"/>
      <c r="V63" s="20"/>
      <c r="W63" s="20"/>
      <c r="X63" s="20"/>
    </row>
    <row r="64" ht="13.5" customHeight="1" spans="1:24">
      <c r="A64" s="20"/>
      <c r="B64" s="63">
        <v>49</v>
      </c>
      <c r="C64" s="91">
        <v>33966.5115553244</v>
      </c>
      <c r="D64" s="91">
        <v>23466.5705174827</v>
      </c>
      <c r="E64" s="92">
        <v>722049.977083873</v>
      </c>
      <c r="F64" s="93">
        <f t="shared" si="0"/>
        <v>210597.909982796</v>
      </c>
      <c r="G64" s="94">
        <f t="shared" si="1"/>
        <v>90256.2471354841</v>
      </c>
      <c r="H64" s="95">
        <f t="shared" si="2"/>
        <v>120341.662847312</v>
      </c>
      <c r="I64" s="20"/>
      <c r="J64" s="20"/>
      <c r="K64" s="20"/>
      <c r="L64" s="20"/>
      <c r="M64" s="20"/>
      <c r="N64" s="20"/>
      <c r="O64" s="20"/>
      <c r="P64" s="20"/>
      <c r="Q64" s="20"/>
      <c r="R64" s="20"/>
      <c r="S64" s="20"/>
      <c r="T64" s="20"/>
      <c r="U64" s="20"/>
      <c r="V64" s="20"/>
      <c r="W64" s="20"/>
      <c r="X64" s="20"/>
    </row>
    <row r="65" ht="13.5" customHeight="1" spans="1:24">
      <c r="A65" s="20"/>
      <c r="B65" s="63">
        <v>50</v>
      </c>
      <c r="C65" s="91">
        <v>34580.0272976791</v>
      </c>
      <c r="D65" s="91">
        <v>24258.6618084143</v>
      </c>
      <c r="E65" s="92">
        <v>780231.187502363</v>
      </c>
      <c r="F65" s="93">
        <f t="shared" si="0"/>
        <v>238403.973959055</v>
      </c>
      <c r="G65" s="94">
        <f t="shared" si="1"/>
        <v>86692.3541669293</v>
      </c>
      <c r="H65" s="95">
        <f t="shared" si="2"/>
        <v>151711.619792126</v>
      </c>
      <c r="I65" s="20"/>
      <c r="J65" s="20"/>
      <c r="K65" s="20"/>
      <c r="L65" s="20"/>
      <c r="M65" s="20"/>
      <c r="N65" s="20"/>
      <c r="O65" s="20"/>
      <c r="P65" s="20"/>
      <c r="Q65" s="20"/>
      <c r="R65" s="20"/>
      <c r="S65" s="20"/>
      <c r="T65" s="20"/>
      <c r="U65" s="20"/>
      <c r="V65" s="20"/>
      <c r="W65" s="20"/>
      <c r="X65" s="20"/>
    </row>
    <row r="66" ht="13.5" customHeight="1" spans="1:24">
      <c r="A66" s="20"/>
      <c r="B66" s="63">
        <v>51</v>
      </c>
      <c r="C66" s="91">
        <v>37196.6913684968</v>
      </c>
      <c r="D66" s="91">
        <v>26332.8211082371</v>
      </c>
      <c r="E66" s="92">
        <v>627232.205521786</v>
      </c>
      <c r="F66" s="93">
        <f t="shared" si="0"/>
        <v>222144.739455632</v>
      </c>
      <c r="G66" s="94">
        <f t="shared" si="1"/>
        <v>39202.0128451116</v>
      </c>
      <c r="H66" s="95">
        <f t="shared" si="2"/>
        <v>182942.726610521</v>
      </c>
      <c r="I66" s="20"/>
      <c r="J66" s="20"/>
      <c r="K66" s="20"/>
      <c r="L66" s="20"/>
      <c r="M66" s="20"/>
      <c r="N66" s="20"/>
      <c r="O66" s="20"/>
      <c r="P66" s="20"/>
      <c r="Q66" s="20"/>
      <c r="R66" s="20"/>
      <c r="S66" s="20"/>
      <c r="T66" s="20"/>
      <c r="U66" s="20"/>
      <c r="V66" s="20"/>
      <c r="W66" s="20"/>
      <c r="X66" s="20"/>
    </row>
    <row r="67" ht="13.5" customHeight="1" spans="1:24">
      <c r="A67" s="20"/>
      <c r="B67" s="63">
        <v>52</v>
      </c>
      <c r="C67" s="91">
        <v>35917.6070736806</v>
      </c>
      <c r="D67" s="91">
        <v>25171.4311371697</v>
      </c>
      <c r="E67" s="92">
        <v>448951.822518254</v>
      </c>
      <c r="F67" s="93">
        <f t="shared" si="0"/>
        <v>149650.607506085</v>
      </c>
      <c r="G67" s="94">
        <f t="shared" si="1"/>
        <v>37412.6518765212</v>
      </c>
      <c r="H67" s="95">
        <f t="shared" si="2"/>
        <v>112237.955629564</v>
      </c>
      <c r="I67" s="20"/>
      <c r="J67" s="20"/>
      <c r="K67" s="20"/>
      <c r="L67" s="20"/>
      <c r="M67" s="20"/>
      <c r="N67" s="20"/>
      <c r="O67" s="20"/>
      <c r="P67" s="20"/>
      <c r="Q67" s="20"/>
      <c r="R67" s="20"/>
      <c r="S67" s="20"/>
      <c r="T67" s="20"/>
      <c r="U67" s="20"/>
      <c r="V67" s="20"/>
      <c r="W67" s="20"/>
      <c r="X67" s="20"/>
    </row>
    <row r="68" ht="13.5" customHeight="1" spans="1:24">
      <c r="A68" s="20"/>
      <c r="B68" s="63">
        <v>53</v>
      </c>
      <c r="C68" s="91">
        <v>35542.513252877</v>
      </c>
      <c r="D68" s="91">
        <v>24721.7357667433</v>
      </c>
      <c r="E68" s="92">
        <v>310754.008215703</v>
      </c>
      <c r="F68" s="93">
        <f t="shared" si="0"/>
        <v>101426.655459292</v>
      </c>
      <c r="G68" s="94">
        <f t="shared" si="1"/>
        <v>28054.181297251</v>
      </c>
      <c r="H68" s="95">
        <f t="shared" si="2"/>
        <v>73372.4741620409</v>
      </c>
      <c r="I68" s="20"/>
      <c r="J68" s="20"/>
      <c r="K68" s="20"/>
      <c r="L68" s="20"/>
      <c r="M68" s="20"/>
      <c r="N68" s="20"/>
      <c r="O68" s="20"/>
      <c r="P68" s="20"/>
      <c r="Q68" s="20"/>
      <c r="R68" s="20"/>
      <c r="S68" s="20"/>
      <c r="T68" s="20"/>
      <c r="U68" s="20"/>
      <c r="V68" s="20"/>
      <c r="W68" s="20"/>
      <c r="X68" s="20"/>
    </row>
    <row r="69" ht="13.5" customHeight="1" spans="1:24">
      <c r="A69" s="20"/>
      <c r="B69" s="63">
        <v>54</v>
      </c>
      <c r="C69" s="91">
        <v>33698.7580038615</v>
      </c>
      <c r="D69" s="91">
        <v>22186.6789970138</v>
      </c>
      <c r="E69" s="92">
        <v>450692.667884799</v>
      </c>
      <c r="F69" s="93">
        <f t="shared" si="0"/>
        <v>131452.028133066</v>
      </c>
      <c r="G69" s="94">
        <f t="shared" si="1"/>
        <v>56336.5834855999</v>
      </c>
      <c r="H69" s="95">
        <f t="shared" si="2"/>
        <v>75115.4446474666</v>
      </c>
      <c r="I69" s="20"/>
      <c r="J69" s="20"/>
      <c r="K69" s="20"/>
      <c r="L69" s="20"/>
      <c r="M69" s="20"/>
      <c r="N69" s="20"/>
      <c r="O69" s="20"/>
      <c r="P69" s="20"/>
      <c r="Q69" s="20"/>
      <c r="R69" s="20"/>
      <c r="S69" s="20"/>
      <c r="T69" s="20"/>
      <c r="U69" s="20"/>
      <c r="V69" s="20"/>
      <c r="W69" s="20"/>
      <c r="X69" s="20"/>
    </row>
    <row r="70" ht="13.5" customHeight="1" spans="1:24">
      <c r="A70" s="20"/>
      <c r="B70" s="63">
        <v>55</v>
      </c>
      <c r="C70" s="91">
        <v>34069.0154724547</v>
      </c>
      <c r="D70" s="91">
        <v>23139.1611429665</v>
      </c>
      <c r="E70" s="92">
        <v>552915.052877252</v>
      </c>
      <c r="F70" s="93">
        <f t="shared" si="0"/>
        <v>165106.578289735</v>
      </c>
      <c r="G70" s="94">
        <f t="shared" si="1"/>
        <v>65274.6937424533</v>
      </c>
      <c r="H70" s="95">
        <f t="shared" si="2"/>
        <v>99831.8845472815</v>
      </c>
      <c r="I70" s="20"/>
      <c r="J70" s="20"/>
      <c r="K70" s="20"/>
      <c r="L70" s="20"/>
      <c r="M70" s="20"/>
      <c r="N70" s="20"/>
      <c r="O70" s="20"/>
      <c r="P70" s="20"/>
      <c r="Q70" s="20"/>
      <c r="R70" s="20"/>
      <c r="S70" s="20"/>
      <c r="T70" s="20"/>
      <c r="U70" s="20"/>
      <c r="V70" s="20"/>
      <c r="W70" s="20"/>
      <c r="X70" s="20"/>
    </row>
    <row r="71" ht="13.5" customHeight="1" spans="1:24">
      <c r="A71" s="20"/>
      <c r="B71" s="63">
        <v>56</v>
      </c>
      <c r="C71" s="91">
        <v>32219.2672805254</v>
      </c>
      <c r="D71" s="91">
        <v>20720.6065588609</v>
      </c>
      <c r="E71" s="92">
        <v>762592.370148889</v>
      </c>
      <c r="F71" s="93">
        <f t="shared" si="0"/>
        <v>201239.653233735</v>
      </c>
      <c r="G71" s="94">
        <f t="shared" si="1"/>
        <v>116507.167661636</v>
      </c>
      <c r="H71" s="95">
        <f t="shared" si="2"/>
        <v>84732.4855720987</v>
      </c>
      <c r="I71" s="20"/>
      <c r="J71" s="20"/>
      <c r="K71" s="20"/>
      <c r="L71" s="20"/>
      <c r="M71" s="20"/>
      <c r="N71" s="20"/>
      <c r="O71" s="20"/>
      <c r="P71" s="20"/>
      <c r="Q71" s="20"/>
      <c r="R71" s="20"/>
      <c r="S71" s="20"/>
      <c r="T71" s="20"/>
      <c r="U71" s="20"/>
      <c r="V71" s="20"/>
      <c r="W71" s="20"/>
      <c r="X71" s="20"/>
    </row>
    <row r="72" ht="13.5" customHeight="1" spans="1:24">
      <c r="A72" s="20"/>
      <c r="B72" s="63">
        <v>57</v>
      </c>
      <c r="C72" s="91">
        <v>31985.9697852753</v>
      </c>
      <c r="D72" s="91">
        <v>21098.1448634982</v>
      </c>
      <c r="E72" s="92">
        <v>730126.54889515</v>
      </c>
      <c r="F72" s="93">
        <f t="shared" si="0"/>
        <v>187601.960480004</v>
      </c>
      <c r="G72" s="94">
        <f t="shared" si="1"/>
        <v>116617.434892975</v>
      </c>
      <c r="H72" s="95">
        <f t="shared" si="2"/>
        <v>70984.5255870285</v>
      </c>
      <c r="I72" s="20"/>
      <c r="J72" s="20"/>
      <c r="K72" s="20"/>
      <c r="L72" s="20"/>
      <c r="M72" s="20"/>
      <c r="N72" s="20"/>
      <c r="O72" s="20"/>
      <c r="P72" s="20"/>
      <c r="Q72" s="20"/>
      <c r="R72" s="20"/>
      <c r="S72" s="20"/>
      <c r="T72" s="20"/>
      <c r="U72" s="20"/>
      <c r="V72" s="20"/>
      <c r="W72" s="20"/>
      <c r="X72" s="20"/>
    </row>
    <row r="73" ht="13.5" customHeight="1" spans="1:24">
      <c r="A73" s="20"/>
      <c r="B73" s="63">
        <v>58</v>
      </c>
      <c r="C73" s="91">
        <v>37565.2081731935</v>
      </c>
      <c r="D73" s="91">
        <v>26167.0427256824</v>
      </c>
      <c r="E73" s="92">
        <v>416974.914243142</v>
      </c>
      <c r="F73" s="93">
        <f t="shared" si="0"/>
        <v>150574.274587801</v>
      </c>
      <c r="G73" s="94">
        <f t="shared" si="1"/>
        <v>23165.2730135079</v>
      </c>
      <c r="H73" s="95">
        <f t="shared" si="2"/>
        <v>127409.001574293</v>
      </c>
      <c r="I73" s="20"/>
      <c r="J73" s="20"/>
      <c r="K73" s="20"/>
      <c r="L73" s="20"/>
      <c r="M73" s="20"/>
      <c r="N73" s="20"/>
      <c r="O73" s="20"/>
      <c r="P73" s="20"/>
      <c r="Q73" s="20"/>
      <c r="R73" s="20"/>
      <c r="S73" s="20"/>
      <c r="T73" s="20"/>
      <c r="U73" s="20"/>
      <c r="V73" s="20"/>
      <c r="W73" s="20"/>
      <c r="X73" s="20"/>
    </row>
    <row r="74" ht="13.5" customHeight="1" spans="1:24">
      <c r="A74" s="20"/>
      <c r="B74" s="63">
        <v>59</v>
      </c>
      <c r="C74" s="91">
        <v>36522.2235297906</v>
      </c>
      <c r="D74" s="91">
        <v>26746.06100389</v>
      </c>
      <c r="E74" s="92">
        <v>668869.520402508</v>
      </c>
      <c r="F74" s="93">
        <f t="shared" si="0"/>
        <v>227601.434025853</v>
      </c>
      <c r="G74" s="94">
        <f t="shared" si="1"/>
        <v>51094.1994751916</v>
      </c>
      <c r="H74" s="95">
        <f t="shared" si="2"/>
        <v>176507.234550662</v>
      </c>
      <c r="I74" s="20"/>
      <c r="J74" s="20"/>
      <c r="K74" s="20"/>
      <c r="L74" s="20"/>
      <c r="M74" s="20"/>
      <c r="N74" s="20"/>
      <c r="O74" s="20"/>
      <c r="P74" s="20"/>
      <c r="Q74" s="20"/>
      <c r="R74" s="20"/>
      <c r="S74" s="20"/>
      <c r="T74" s="20"/>
      <c r="U74" s="20"/>
      <c r="V74" s="20"/>
      <c r="W74" s="20"/>
      <c r="X74" s="20"/>
    </row>
    <row r="75" ht="13.5" customHeight="1" spans="1:24">
      <c r="A75" s="20"/>
      <c r="B75" s="63">
        <v>60</v>
      </c>
      <c r="C75" s="91">
        <v>34414.4823317972</v>
      </c>
      <c r="D75" s="91">
        <v>20839.8426465626</v>
      </c>
      <c r="E75" s="92">
        <v>227370.605655946</v>
      </c>
      <c r="F75" s="93">
        <f t="shared" si="0"/>
        <v>69474.3517282058</v>
      </c>
      <c r="G75" s="94">
        <f t="shared" si="1"/>
        <v>25263.4006284385</v>
      </c>
      <c r="H75" s="95">
        <f t="shared" si="2"/>
        <v>44210.9510997673</v>
      </c>
      <c r="I75" s="20"/>
      <c r="J75" s="20"/>
      <c r="K75" s="20"/>
      <c r="L75" s="20"/>
      <c r="M75" s="20"/>
      <c r="N75" s="20"/>
      <c r="O75" s="20"/>
      <c r="P75" s="20"/>
      <c r="Q75" s="20"/>
      <c r="R75" s="20"/>
      <c r="S75" s="20"/>
      <c r="T75" s="20"/>
      <c r="U75" s="20"/>
      <c r="V75" s="20"/>
      <c r="W75" s="20"/>
      <c r="X75" s="20"/>
    </row>
    <row r="76" ht="13.5" customHeight="1" spans="1:24">
      <c r="A76" s="20"/>
      <c r="B76" s="63">
        <v>61</v>
      </c>
      <c r="C76" s="91">
        <v>32378.5913291337</v>
      </c>
      <c r="D76" s="91">
        <v>20658.9547395644</v>
      </c>
      <c r="E76" s="92">
        <v>727709.207105245</v>
      </c>
      <c r="F76" s="93">
        <f t="shared" si="0"/>
        <v>192034.374097217</v>
      </c>
      <c r="G76" s="94">
        <f t="shared" si="1"/>
        <v>111177.795529968</v>
      </c>
      <c r="H76" s="95">
        <f t="shared" si="2"/>
        <v>80856.5785672494</v>
      </c>
      <c r="I76" s="20"/>
      <c r="J76" s="20"/>
      <c r="K76" s="20"/>
      <c r="L76" s="20"/>
      <c r="M76" s="20"/>
      <c r="N76" s="20"/>
      <c r="O76" s="20"/>
      <c r="P76" s="20"/>
      <c r="Q76" s="20"/>
      <c r="R76" s="20"/>
      <c r="S76" s="20"/>
      <c r="T76" s="20"/>
      <c r="U76" s="20"/>
      <c r="V76" s="20"/>
      <c r="W76" s="20"/>
      <c r="X76" s="20"/>
    </row>
    <row r="77" ht="13.5" customHeight="1" spans="1:24">
      <c r="A77" s="20"/>
      <c r="B77" s="63">
        <v>62</v>
      </c>
      <c r="C77" s="91">
        <v>33460.4027234168</v>
      </c>
      <c r="D77" s="91">
        <v>21168.5432693784</v>
      </c>
      <c r="E77" s="92">
        <v>250220.935536452</v>
      </c>
      <c r="F77" s="93">
        <f t="shared" si="0"/>
        <v>71243.460812462</v>
      </c>
      <c r="G77" s="94">
        <f t="shared" si="1"/>
        <v>33015.2623277263</v>
      </c>
      <c r="H77" s="95">
        <f t="shared" si="2"/>
        <v>38228.1984847357</v>
      </c>
      <c r="I77" s="20"/>
      <c r="J77" s="20"/>
      <c r="K77" s="20"/>
      <c r="L77" s="20"/>
      <c r="M77" s="20"/>
      <c r="N77" s="20"/>
      <c r="O77" s="20"/>
      <c r="P77" s="20"/>
      <c r="Q77" s="20"/>
      <c r="R77" s="20"/>
      <c r="S77" s="20"/>
      <c r="T77" s="20"/>
      <c r="U77" s="20"/>
      <c r="V77" s="20"/>
      <c r="W77" s="20"/>
      <c r="X77" s="20"/>
    </row>
    <row r="78" ht="13.5" customHeight="1" spans="1:24">
      <c r="A78" s="20"/>
      <c r="B78" s="63">
        <v>63</v>
      </c>
      <c r="C78" s="91">
        <v>34789.7286999271</v>
      </c>
      <c r="D78" s="91">
        <v>24632.9840078441</v>
      </c>
      <c r="E78" s="92">
        <v>498038.254460019</v>
      </c>
      <c r="F78" s="93">
        <f t="shared" si="0"/>
        <v>155636.954518756</v>
      </c>
      <c r="G78" s="94">
        <f t="shared" si="1"/>
        <v>51878.9848395853</v>
      </c>
      <c r="H78" s="95">
        <f t="shared" si="2"/>
        <v>103757.969679171</v>
      </c>
      <c r="I78" s="20"/>
      <c r="J78" s="20"/>
      <c r="K78" s="20"/>
      <c r="L78" s="20"/>
      <c r="M78" s="20"/>
      <c r="N78" s="20"/>
      <c r="O78" s="20"/>
      <c r="P78" s="20"/>
      <c r="Q78" s="20"/>
      <c r="R78" s="20"/>
      <c r="S78" s="20"/>
      <c r="T78" s="20"/>
      <c r="U78" s="20"/>
      <c r="V78" s="20"/>
      <c r="W78" s="20"/>
      <c r="X78" s="20"/>
    </row>
    <row r="79" ht="13.5" customHeight="1" spans="1:24">
      <c r="A79" s="20"/>
      <c r="B79" s="63">
        <v>64</v>
      </c>
      <c r="C79" s="91">
        <v>35681.7804861472</v>
      </c>
      <c r="D79" s="91">
        <v>25099.1140687263</v>
      </c>
      <c r="E79" s="92">
        <v>670178.377574602</v>
      </c>
      <c r="F79" s="93">
        <f t="shared" si="0"/>
        <v>218738.776013933</v>
      </c>
      <c r="G79" s="94">
        <f t="shared" si="1"/>
        <v>60502.2146421515</v>
      </c>
      <c r="H79" s="95">
        <f t="shared" si="2"/>
        <v>158236.561371781</v>
      </c>
      <c r="I79" s="20"/>
      <c r="J79" s="20"/>
      <c r="K79" s="20"/>
      <c r="L79" s="20"/>
      <c r="M79" s="20"/>
      <c r="N79" s="20"/>
      <c r="O79" s="20"/>
      <c r="P79" s="20"/>
      <c r="Q79" s="20"/>
      <c r="R79" s="20"/>
      <c r="S79" s="20"/>
      <c r="T79" s="20"/>
      <c r="U79" s="20"/>
      <c r="V79" s="20"/>
      <c r="W79" s="20"/>
      <c r="X79" s="20"/>
    </row>
    <row r="80" ht="13.5" customHeight="1" spans="1:24">
      <c r="A80" s="20"/>
      <c r="B80" s="63">
        <v>65</v>
      </c>
      <c r="C80" s="91">
        <v>37526.5967750496</v>
      </c>
      <c r="D80" s="91">
        <v>26953.7485032938</v>
      </c>
      <c r="E80" s="92">
        <v>208820.608096117</v>
      </c>
      <c r="F80" s="93">
        <f t="shared" si="0"/>
        <v>75407.4418124868</v>
      </c>
      <c r="G80" s="94">
        <f t="shared" si="1"/>
        <v>11601.1448942287</v>
      </c>
      <c r="H80" s="95">
        <f t="shared" si="2"/>
        <v>63806.296918258</v>
      </c>
      <c r="I80" s="20"/>
      <c r="J80" s="20"/>
      <c r="K80" s="20"/>
      <c r="L80" s="20"/>
      <c r="M80" s="20"/>
      <c r="N80" s="20"/>
      <c r="O80" s="20"/>
      <c r="P80" s="20"/>
      <c r="Q80" s="20"/>
      <c r="R80" s="20"/>
      <c r="S80" s="20"/>
      <c r="T80" s="20"/>
      <c r="U80" s="20"/>
      <c r="V80" s="20"/>
      <c r="W80" s="20"/>
      <c r="X80" s="20"/>
    </row>
    <row r="81" ht="13.5" customHeight="1" spans="1:24">
      <c r="A81" s="20"/>
      <c r="B81" s="63">
        <v>66</v>
      </c>
      <c r="C81" s="91">
        <v>34974.9323699641</v>
      </c>
      <c r="D81" s="91">
        <v>23424.9028380953</v>
      </c>
      <c r="E81" s="92">
        <v>782563.021302942</v>
      </c>
      <c r="F81" s="93">
        <f t="shared" si="0"/>
        <v>244550.944157169</v>
      </c>
      <c r="G81" s="94">
        <f t="shared" si="1"/>
        <v>81516.9813857231</v>
      </c>
      <c r="H81" s="95">
        <f t="shared" si="2"/>
        <v>163033.962771446</v>
      </c>
      <c r="I81" s="20"/>
      <c r="J81" s="20"/>
      <c r="K81" s="20"/>
      <c r="L81" s="20"/>
      <c r="M81" s="20"/>
      <c r="N81" s="20"/>
      <c r="O81" s="20"/>
      <c r="P81" s="20"/>
      <c r="Q81" s="20"/>
      <c r="R81" s="20"/>
      <c r="S81" s="20"/>
      <c r="T81" s="20"/>
      <c r="U81" s="20"/>
      <c r="V81" s="20"/>
      <c r="W81" s="20"/>
      <c r="X81" s="20"/>
    </row>
    <row r="82" ht="13.5" customHeight="1" spans="1:24">
      <c r="A82" s="20"/>
      <c r="B82" s="63">
        <v>67</v>
      </c>
      <c r="C82" s="91">
        <v>36818.041837401</v>
      </c>
      <c r="D82" s="91">
        <v>25685.6496647328</v>
      </c>
      <c r="E82" s="92">
        <v>355710.437368659</v>
      </c>
      <c r="F82" s="93">
        <f t="shared" si="0"/>
        <v>123510.568530784</v>
      </c>
      <c r="G82" s="94">
        <f t="shared" si="1"/>
        <v>24702.1137061569</v>
      </c>
      <c r="H82" s="95">
        <f t="shared" si="2"/>
        <v>98808.4548246275</v>
      </c>
      <c r="I82" s="20"/>
      <c r="J82" s="20"/>
      <c r="K82" s="20"/>
      <c r="L82" s="20"/>
      <c r="M82" s="20"/>
      <c r="N82" s="20"/>
      <c r="O82" s="20"/>
      <c r="P82" s="20"/>
      <c r="Q82" s="20"/>
      <c r="R82" s="20"/>
      <c r="S82" s="20"/>
      <c r="T82" s="20"/>
      <c r="U82" s="20"/>
      <c r="V82" s="20"/>
      <c r="W82" s="20"/>
      <c r="X82" s="20"/>
    </row>
    <row r="83" ht="13.5" customHeight="1" spans="1:24">
      <c r="A83" s="20"/>
      <c r="B83" s="63">
        <v>68</v>
      </c>
      <c r="C83" s="91">
        <v>37800.5351772272</v>
      </c>
      <c r="D83" s="91">
        <v>25134.3704427771</v>
      </c>
      <c r="E83" s="92">
        <v>653202.616218638</v>
      </c>
      <c r="F83" s="93">
        <f t="shared" si="0"/>
        <v>240414.851802693</v>
      </c>
      <c r="G83" s="94">
        <f t="shared" si="1"/>
        <v>31752.9049550727</v>
      </c>
      <c r="H83" s="95">
        <f t="shared" si="2"/>
        <v>208661.946847621</v>
      </c>
      <c r="I83" s="20"/>
      <c r="J83" s="20"/>
      <c r="K83" s="20"/>
      <c r="L83" s="20"/>
      <c r="M83" s="20"/>
      <c r="N83" s="20"/>
      <c r="O83" s="20"/>
      <c r="P83" s="20"/>
      <c r="Q83" s="20"/>
      <c r="R83" s="20"/>
      <c r="S83" s="20"/>
      <c r="T83" s="20"/>
      <c r="U83" s="20"/>
      <c r="V83" s="20"/>
      <c r="W83" s="20"/>
      <c r="X83" s="20"/>
    </row>
    <row r="84" ht="13.5" customHeight="1" spans="1:24">
      <c r="A84" s="20"/>
      <c r="B84" s="63">
        <v>69</v>
      </c>
      <c r="C84" s="91">
        <v>35398.6268709238</v>
      </c>
      <c r="D84" s="91">
        <v>23392.4481604222</v>
      </c>
      <c r="E84" s="92">
        <v>577798.35983333</v>
      </c>
      <c r="F84" s="93">
        <f t="shared" si="0"/>
        <v>184574.476057869</v>
      </c>
      <c r="G84" s="94">
        <f t="shared" si="1"/>
        <v>56174.8405393515</v>
      </c>
      <c r="H84" s="95">
        <f t="shared" si="2"/>
        <v>128399.635518518</v>
      </c>
      <c r="I84" s="20"/>
      <c r="J84" s="20"/>
      <c r="K84" s="20"/>
      <c r="L84" s="20"/>
      <c r="M84" s="20"/>
      <c r="N84" s="20"/>
      <c r="O84" s="20"/>
      <c r="P84" s="20"/>
      <c r="Q84" s="20"/>
      <c r="R84" s="20"/>
      <c r="S84" s="20"/>
      <c r="T84" s="20"/>
      <c r="U84" s="20"/>
      <c r="V84" s="20"/>
      <c r="W84" s="20"/>
      <c r="X84" s="20"/>
    </row>
    <row r="85" ht="13.5" customHeight="1" spans="1:24">
      <c r="A85" s="20"/>
      <c r="B85" s="63">
        <v>70</v>
      </c>
      <c r="C85" s="91">
        <v>31789.3355408689</v>
      </c>
      <c r="D85" s="91">
        <v>20169.3689788448</v>
      </c>
      <c r="E85" s="92">
        <v>559820.406479214</v>
      </c>
      <c r="F85" s="93">
        <f t="shared" si="0"/>
        <v>143842.743331465</v>
      </c>
      <c r="G85" s="94">
        <f t="shared" si="1"/>
        <v>89415.7593682077</v>
      </c>
      <c r="H85" s="95">
        <f t="shared" si="2"/>
        <v>54426.9839632569</v>
      </c>
      <c r="I85" s="20"/>
      <c r="J85" s="20"/>
      <c r="K85" s="20"/>
      <c r="L85" s="20"/>
      <c r="M85" s="20"/>
      <c r="N85" s="20"/>
      <c r="O85" s="20"/>
      <c r="P85" s="20"/>
      <c r="Q85" s="20"/>
      <c r="R85" s="20"/>
      <c r="S85" s="20"/>
      <c r="T85" s="20"/>
      <c r="U85" s="20"/>
      <c r="V85" s="20"/>
      <c r="W85" s="20"/>
      <c r="X85" s="20"/>
    </row>
    <row r="86" ht="13.5" customHeight="1" spans="1:24">
      <c r="A86" s="20"/>
      <c r="B86" s="63">
        <v>71</v>
      </c>
      <c r="C86" s="91">
        <v>34198.8046948108</v>
      </c>
      <c r="D86" s="91">
        <v>21750.6261349248</v>
      </c>
      <c r="E86" s="92">
        <v>342507.653025318</v>
      </c>
      <c r="F86" s="93">
        <f t="shared" si="0"/>
        <v>102276.590833949</v>
      </c>
      <c r="G86" s="94">
        <f t="shared" si="1"/>
        <v>40434.9312599334</v>
      </c>
      <c r="H86" s="95">
        <f t="shared" si="2"/>
        <v>61841.6595740157</v>
      </c>
      <c r="I86" s="20"/>
      <c r="J86" s="20"/>
      <c r="K86" s="20"/>
      <c r="L86" s="20"/>
      <c r="M86" s="20"/>
      <c r="N86" s="20"/>
      <c r="O86" s="20"/>
      <c r="P86" s="20"/>
      <c r="Q86" s="20"/>
      <c r="R86" s="20"/>
      <c r="S86" s="20"/>
      <c r="T86" s="20"/>
      <c r="U86" s="20"/>
      <c r="V86" s="20"/>
      <c r="W86" s="20"/>
      <c r="X86" s="20"/>
    </row>
    <row r="87" ht="13.5" customHeight="1" spans="1:24">
      <c r="A87" s="20"/>
      <c r="B87" s="63">
        <v>72</v>
      </c>
      <c r="C87" s="91">
        <v>33978.5534237864</v>
      </c>
      <c r="D87" s="91">
        <v>22427.0775670567</v>
      </c>
      <c r="E87" s="92">
        <v>674914.3429409</v>
      </c>
      <c r="F87" s="93">
        <f t="shared" si="0"/>
        <v>201536.921850407</v>
      </c>
      <c r="G87" s="94">
        <f t="shared" si="1"/>
        <v>79677.3877083007</v>
      </c>
      <c r="H87" s="95">
        <f t="shared" si="2"/>
        <v>121859.534142107</v>
      </c>
      <c r="I87" s="20"/>
      <c r="J87" s="20"/>
      <c r="K87" s="20"/>
      <c r="L87" s="20"/>
      <c r="M87" s="20"/>
      <c r="N87" s="20"/>
      <c r="O87" s="20"/>
      <c r="P87" s="20"/>
      <c r="Q87" s="20"/>
      <c r="R87" s="20"/>
      <c r="S87" s="20"/>
      <c r="T87" s="20"/>
      <c r="U87" s="20"/>
      <c r="V87" s="20"/>
      <c r="W87" s="20"/>
      <c r="X87" s="20"/>
    </row>
    <row r="88" ht="13.5" customHeight="1" spans="1:24">
      <c r="A88" s="20"/>
      <c r="B88" s="63">
        <v>73</v>
      </c>
      <c r="C88" s="91">
        <v>37959.2493018789</v>
      </c>
      <c r="D88" s="91">
        <v>27090.6713160928</v>
      </c>
      <c r="E88" s="92">
        <v>618055.914910265</v>
      </c>
      <c r="F88" s="93">
        <f t="shared" si="0"/>
        <v>227478.913126695</v>
      </c>
      <c r="G88" s="94">
        <f t="shared" si="1"/>
        <v>30044.3847525824</v>
      </c>
      <c r="H88" s="95">
        <f t="shared" si="2"/>
        <v>197434.528374113</v>
      </c>
      <c r="I88" s="20"/>
      <c r="J88" s="20"/>
      <c r="K88" s="20"/>
      <c r="L88" s="20"/>
      <c r="M88" s="20"/>
      <c r="N88" s="20"/>
      <c r="O88" s="20"/>
      <c r="P88" s="20"/>
      <c r="Q88" s="20"/>
      <c r="R88" s="20"/>
      <c r="S88" s="20"/>
      <c r="T88" s="20"/>
      <c r="U88" s="20"/>
      <c r="V88" s="20"/>
      <c r="W88" s="20"/>
      <c r="X88" s="20"/>
    </row>
    <row r="89" ht="13.5" customHeight="1" spans="1:24">
      <c r="A89" s="20"/>
      <c r="B89" s="63">
        <v>74</v>
      </c>
      <c r="C89" s="91">
        <v>33938.5862507884</v>
      </c>
      <c r="D89" s="91">
        <v>20468.6772382429</v>
      </c>
      <c r="E89" s="92">
        <v>551697.950167113</v>
      </c>
      <c r="F89" s="93">
        <f t="shared" si="0"/>
        <v>160911.902132075</v>
      </c>
      <c r="G89" s="94">
        <f t="shared" si="1"/>
        <v>68962.2437708891</v>
      </c>
      <c r="H89" s="95">
        <f t="shared" si="2"/>
        <v>91949.6583611855</v>
      </c>
      <c r="I89" s="20"/>
      <c r="J89" s="20"/>
      <c r="K89" s="20"/>
      <c r="L89" s="20"/>
      <c r="M89" s="20"/>
      <c r="N89" s="20"/>
      <c r="O89" s="20"/>
      <c r="P89" s="20"/>
      <c r="Q89" s="20"/>
      <c r="R89" s="20"/>
      <c r="S89" s="20"/>
      <c r="T89" s="20"/>
      <c r="U89" s="20"/>
      <c r="V89" s="20"/>
      <c r="W89" s="20"/>
      <c r="X89" s="20"/>
    </row>
    <row r="90" ht="13.5" customHeight="1" spans="1:24">
      <c r="A90" s="20"/>
      <c r="B90" s="63">
        <v>75</v>
      </c>
      <c r="C90" s="91">
        <v>33934.4243721755</v>
      </c>
      <c r="D90" s="91">
        <v>20168.6853235445</v>
      </c>
      <c r="E90" s="92">
        <v>525111.570185362</v>
      </c>
      <c r="F90" s="93">
        <f t="shared" si="0"/>
        <v>153157.541304064</v>
      </c>
      <c r="G90" s="94">
        <f t="shared" si="1"/>
        <v>65638.9462731703</v>
      </c>
      <c r="H90" s="95">
        <f t="shared" si="2"/>
        <v>87518.5950308938</v>
      </c>
      <c r="I90" s="20"/>
      <c r="J90" s="20"/>
      <c r="K90" s="20"/>
      <c r="L90" s="20"/>
      <c r="M90" s="20"/>
      <c r="N90" s="20"/>
      <c r="O90" s="20"/>
      <c r="P90" s="20"/>
      <c r="Q90" s="20"/>
      <c r="R90" s="20"/>
      <c r="S90" s="20"/>
      <c r="T90" s="20"/>
      <c r="U90" s="20"/>
      <c r="V90" s="20"/>
      <c r="W90" s="20"/>
      <c r="X90" s="20"/>
    </row>
    <row r="91" ht="13.5" customHeight="1" spans="1:24">
      <c r="A91" s="20"/>
      <c r="B91" s="63">
        <v>76</v>
      </c>
      <c r="C91" s="91">
        <v>35068.9187957309</v>
      </c>
      <c r="D91" s="91">
        <v>24126.2380784423</v>
      </c>
      <c r="E91" s="92">
        <v>323982.428297198</v>
      </c>
      <c r="F91" s="93">
        <f t="shared" si="0"/>
        <v>103494.38681716</v>
      </c>
      <c r="G91" s="94">
        <f t="shared" si="1"/>
        <v>31498.2916400053</v>
      </c>
      <c r="H91" s="95">
        <f t="shared" si="2"/>
        <v>71996.095177155</v>
      </c>
      <c r="I91" s="20"/>
      <c r="J91" s="20"/>
      <c r="K91" s="20"/>
      <c r="L91" s="20"/>
      <c r="M91" s="20"/>
      <c r="N91" s="20"/>
      <c r="O91" s="20"/>
      <c r="P91" s="20"/>
      <c r="Q91" s="20"/>
      <c r="R91" s="20"/>
      <c r="S91" s="20"/>
      <c r="T91" s="20"/>
      <c r="U91" s="20"/>
      <c r="V91" s="20"/>
      <c r="W91" s="20"/>
      <c r="X91" s="20"/>
    </row>
    <row r="92" ht="13.5" customHeight="1" spans="1:24">
      <c r="A92" s="20"/>
      <c r="B92" s="63">
        <v>77</v>
      </c>
      <c r="C92" s="91">
        <v>35219.4683385225</v>
      </c>
      <c r="D92" s="91">
        <v>20336.4069975746</v>
      </c>
      <c r="E92" s="92">
        <v>243140.0462841</v>
      </c>
      <c r="F92" s="93">
        <f t="shared" si="0"/>
        <v>77669.7370074209</v>
      </c>
      <c r="G92" s="94">
        <f t="shared" si="1"/>
        <v>23638.6156109542</v>
      </c>
      <c r="H92" s="95">
        <f t="shared" si="2"/>
        <v>54031.1213964667</v>
      </c>
      <c r="I92" s="20"/>
      <c r="J92" s="20"/>
      <c r="K92" s="20"/>
      <c r="L92" s="20"/>
      <c r="M92" s="20"/>
      <c r="N92" s="20"/>
      <c r="O92" s="20"/>
      <c r="P92" s="20"/>
      <c r="Q92" s="20"/>
      <c r="R92" s="20"/>
      <c r="S92" s="20"/>
      <c r="T92" s="20"/>
      <c r="U92" s="20"/>
      <c r="V92" s="20"/>
      <c r="W92" s="20"/>
      <c r="X92" s="20"/>
    </row>
    <row r="93" ht="13.5" customHeight="1" spans="1:24">
      <c r="A93" s="20"/>
      <c r="B93" s="63">
        <v>78</v>
      </c>
      <c r="C93" s="91">
        <v>36134.266555751</v>
      </c>
      <c r="D93" s="91">
        <v>23686.2472103466</v>
      </c>
      <c r="E93" s="92">
        <v>705005.928073771</v>
      </c>
      <c r="F93" s="93">
        <f t="shared" si="0"/>
        <v>235001.97602459</v>
      </c>
      <c r="G93" s="94">
        <f t="shared" si="1"/>
        <v>58750.4940061476</v>
      </c>
      <c r="H93" s="95">
        <f t="shared" si="2"/>
        <v>176251.482018443</v>
      </c>
      <c r="I93" s="20"/>
      <c r="J93" s="20"/>
      <c r="K93" s="20"/>
      <c r="L93" s="20"/>
      <c r="M93" s="20"/>
      <c r="N93" s="20"/>
      <c r="O93" s="20"/>
      <c r="P93" s="20"/>
      <c r="Q93" s="20"/>
      <c r="R93" s="20"/>
      <c r="S93" s="20"/>
      <c r="T93" s="20"/>
      <c r="U93" s="20"/>
      <c r="V93" s="20"/>
      <c r="W93" s="20"/>
      <c r="X93" s="20"/>
    </row>
    <row r="94" ht="13.5" customHeight="1" spans="1:24">
      <c r="A94" s="20"/>
      <c r="B94" s="63">
        <v>79</v>
      </c>
      <c r="C94" s="91">
        <v>34941.7569353157</v>
      </c>
      <c r="D94" s="91">
        <v>21910.6498066745</v>
      </c>
      <c r="E94" s="92">
        <v>201329.192820758</v>
      </c>
      <c r="F94" s="93">
        <f t="shared" si="0"/>
        <v>62915.3727564868</v>
      </c>
      <c r="G94" s="94">
        <f t="shared" si="1"/>
        <v>20971.7909188289</v>
      </c>
      <c r="H94" s="95">
        <f t="shared" si="2"/>
        <v>41943.5818376579</v>
      </c>
      <c r="I94" s="20"/>
      <c r="J94" s="20"/>
      <c r="K94" s="20"/>
      <c r="L94" s="20"/>
      <c r="M94" s="20"/>
      <c r="N94" s="20"/>
      <c r="O94" s="20"/>
      <c r="P94" s="20"/>
      <c r="Q94" s="20"/>
      <c r="R94" s="20"/>
      <c r="S94" s="20"/>
      <c r="T94" s="20"/>
      <c r="U94" s="20"/>
      <c r="V94" s="20"/>
      <c r="W94" s="20"/>
      <c r="X94" s="20"/>
    </row>
    <row r="95" ht="13.5" customHeight="1" spans="1:24">
      <c r="A95" s="20"/>
      <c r="B95" s="63">
        <v>80</v>
      </c>
      <c r="C95" s="91">
        <v>36427.5943355932</v>
      </c>
      <c r="D95" s="91">
        <v>26633.0340084443</v>
      </c>
      <c r="E95" s="92">
        <v>755997.1861533</v>
      </c>
      <c r="F95" s="93">
        <f t="shared" si="0"/>
        <v>257249.042510498</v>
      </c>
      <c r="G95" s="94">
        <f t="shared" si="1"/>
        <v>57749.7850533771</v>
      </c>
      <c r="H95" s="95">
        <f t="shared" si="2"/>
        <v>199499.257457121</v>
      </c>
      <c r="I95" s="20"/>
      <c r="J95" s="20"/>
      <c r="K95" s="20"/>
      <c r="L95" s="20"/>
      <c r="M95" s="20"/>
      <c r="N95" s="20"/>
      <c r="O95" s="20"/>
      <c r="P95" s="20"/>
      <c r="Q95" s="20"/>
      <c r="R95" s="20"/>
      <c r="S95" s="20"/>
      <c r="T95" s="20"/>
      <c r="U95" s="20"/>
      <c r="V95" s="20"/>
      <c r="W95" s="20"/>
      <c r="X95" s="20"/>
    </row>
    <row r="96" ht="13.5" customHeight="1" spans="1:24">
      <c r="A96" s="20"/>
      <c r="B96" s="63">
        <v>81</v>
      </c>
      <c r="C96" s="91">
        <v>36937.232663027</v>
      </c>
      <c r="D96" s="91">
        <v>25440.5576490363</v>
      </c>
      <c r="E96" s="92">
        <v>217153.610732109</v>
      </c>
      <c r="F96" s="93">
        <f t="shared" si="0"/>
        <v>76908.5704676219</v>
      </c>
      <c r="G96" s="94">
        <f t="shared" si="1"/>
        <v>13572.1006707568</v>
      </c>
      <c r="H96" s="95">
        <f t="shared" si="2"/>
        <v>63336.4697968651</v>
      </c>
      <c r="I96" s="20"/>
      <c r="J96" s="20"/>
      <c r="K96" s="20"/>
      <c r="L96" s="20"/>
      <c r="M96" s="20"/>
      <c r="N96" s="20"/>
      <c r="O96" s="20"/>
      <c r="P96" s="20"/>
      <c r="Q96" s="20"/>
      <c r="R96" s="20"/>
      <c r="S96" s="20"/>
      <c r="T96" s="20"/>
      <c r="U96" s="20"/>
      <c r="V96" s="20"/>
      <c r="W96" s="20"/>
      <c r="X96" s="20"/>
    </row>
    <row r="97" ht="13.5" customHeight="1" spans="1:24">
      <c r="A97" s="20"/>
      <c r="B97" s="63">
        <v>82</v>
      </c>
      <c r="C97" s="91">
        <v>33090.1312503193</v>
      </c>
      <c r="D97" s="91">
        <v>20281.4606915966</v>
      </c>
      <c r="E97" s="92">
        <v>411319.506720363</v>
      </c>
      <c r="F97" s="93">
        <f t="shared" si="0"/>
        <v>114255.418533434</v>
      </c>
      <c r="G97" s="94">
        <f t="shared" si="1"/>
        <v>57127.7092667171</v>
      </c>
      <c r="H97" s="95">
        <f t="shared" si="2"/>
        <v>57127.7092667171</v>
      </c>
      <c r="I97" s="20"/>
      <c r="J97" s="20"/>
      <c r="K97" s="20"/>
      <c r="L97" s="20"/>
      <c r="M97" s="20"/>
      <c r="N97" s="20"/>
      <c r="O97" s="20"/>
      <c r="P97" s="20"/>
      <c r="Q97" s="20"/>
      <c r="R97" s="20"/>
      <c r="S97" s="20"/>
      <c r="T97" s="20"/>
      <c r="U97" s="20"/>
      <c r="V97" s="20"/>
      <c r="W97" s="20"/>
      <c r="X97" s="20"/>
    </row>
    <row r="98" ht="13.5" customHeight="1" spans="1:24">
      <c r="A98" s="20"/>
      <c r="B98" s="63">
        <v>83</v>
      </c>
      <c r="C98" s="91">
        <v>38059.1457500136</v>
      </c>
      <c r="D98" s="91">
        <v>26924.9270081423</v>
      </c>
      <c r="E98" s="92">
        <v>406164.017892281</v>
      </c>
      <c r="F98" s="93">
        <f t="shared" si="0"/>
        <v>152311.506709605</v>
      </c>
      <c r="G98" s="94">
        <f t="shared" si="1"/>
        <v>16923.5007455117</v>
      </c>
      <c r="H98" s="95">
        <f t="shared" si="2"/>
        <v>135388.005964094</v>
      </c>
      <c r="I98" s="20"/>
      <c r="J98" s="20"/>
      <c r="K98" s="20"/>
      <c r="L98" s="20"/>
      <c r="M98" s="20"/>
      <c r="N98" s="20"/>
      <c r="O98" s="20"/>
      <c r="P98" s="20"/>
      <c r="Q98" s="20"/>
      <c r="R98" s="20"/>
      <c r="S98" s="20"/>
      <c r="T98" s="20"/>
      <c r="U98" s="20"/>
      <c r="V98" s="20"/>
      <c r="W98" s="20"/>
      <c r="X98" s="20"/>
    </row>
    <row r="99" ht="13.5" customHeight="1" spans="1:24">
      <c r="A99" s="20"/>
      <c r="B99" s="63">
        <v>84</v>
      </c>
      <c r="C99" s="91">
        <v>35135.6542379617</v>
      </c>
      <c r="D99" s="91">
        <v>22566.4223735358</v>
      </c>
      <c r="E99" s="92">
        <v>223040.721880844</v>
      </c>
      <c r="F99" s="93">
        <f t="shared" si="0"/>
        <v>71249.119489714</v>
      </c>
      <c r="G99" s="94">
        <f t="shared" si="1"/>
        <v>21684.5146273043</v>
      </c>
      <c r="H99" s="95">
        <f t="shared" si="2"/>
        <v>49564.6048624097</v>
      </c>
      <c r="I99" s="20"/>
      <c r="J99" s="20"/>
      <c r="K99" s="20"/>
      <c r="L99" s="20"/>
      <c r="M99" s="20"/>
      <c r="N99" s="20"/>
      <c r="O99" s="20"/>
      <c r="P99" s="20"/>
      <c r="Q99" s="20"/>
      <c r="R99" s="20"/>
      <c r="S99" s="20"/>
      <c r="T99" s="20"/>
      <c r="U99" s="20"/>
      <c r="V99" s="20"/>
      <c r="W99" s="20"/>
      <c r="X99" s="20"/>
    </row>
    <row r="100" ht="13.5" customHeight="1" spans="1:24">
      <c r="A100" s="20"/>
      <c r="B100" s="63">
        <v>85</v>
      </c>
      <c r="C100" s="91">
        <v>35076.9759081683</v>
      </c>
      <c r="D100" s="91">
        <v>23566.2710769896</v>
      </c>
      <c r="E100" s="92">
        <v>583944.471170724</v>
      </c>
      <c r="F100" s="93">
        <f t="shared" si="0"/>
        <v>186537.817179537</v>
      </c>
      <c r="G100" s="94">
        <f t="shared" si="1"/>
        <v>56772.3791415981</v>
      </c>
      <c r="H100" s="95">
        <f t="shared" si="2"/>
        <v>129765.438037939</v>
      </c>
      <c r="I100" s="20"/>
      <c r="J100" s="20"/>
      <c r="K100" s="20"/>
      <c r="L100" s="20"/>
      <c r="M100" s="20"/>
      <c r="N100" s="20"/>
      <c r="O100" s="20"/>
      <c r="P100" s="20"/>
      <c r="Q100" s="20"/>
      <c r="R100" s="20"/>
      <c r="S100" s="20"/>
      <c r="T100" s="20"/>
      <c r="U100" s="20"/>
      <c r="V100" s="20"/>
      <c r="W100" s="20"/>
      <c r="X100" s="20"/>
    </row>
    <row r="101" ht="13.5" customHeight="1" spans="1:24">
      <c r="A101" s="20"/>
      <c r="B101" s="63">
        <v>86</v>
      </c>
      <c r="C101" s="91">
        <v>32558.7116195386</v>
      </c>
      <c r="D101" s="91">
        <v>20305.7493786827</v>
      </c>
      <c r="E101" s="92">
        <v>463255.479798204</v>
      </c>
      <c r="F101" s="93">
        <f t="shared" si="0"/>
        <v>125465.02577868</v>
      </c>
      <c r="G101" s="94">
        <f t="shared" si="1"/>
        <v>67558.0908039048</v>
      </c>
      <c r="H101" s="95">
        <f t="shared" si="2"/>
        <v>57906.9349747755</v>
      </c>
      <c r="I101" s="20"/>
      <c r="J101" s="20"/>
      <c r="K101" s="20"/>
      <c r="L101" s="20"/>
      <c r="M101" s="20"/>
      <c r="N101" s="20"/>
      <c r="O101" s="20"/>
      <c r="P101" s="20"/>
      <c r="Q101" s="20"/>
      <c r="R101" s="20"/>
      <c r="S101" s="20"/>
      <c r="T101" s="20"/>
      <c r="U101" s="20"/>
      <c r="V101" s="20"/>
      <c r="W101" s="20"/>
      <c r="X101" s="20"/>
    </row>
    <row r="102" ht="13.5" customHeight="1" spans="1:24">
      <c r="A102" s="20"/>
      <c r="B102" s="63">
        <v>87</v>
      </c>
      <c r="C102" s="91">
        <v>36650.4045205567</v>
      </c>
      <c r="D102" s="91">
        <v>26496.5621293971</v>
      </c>
      <c r="E102" s="92">
        <v>210690.472730061</v>
      </c>
      <c r="F102" s="93">
        <f t="shared" si="0"/>
        <v>73156.4141423824</v>
      </c>
      <c r="G102" s="94">
        <f t="shared" si="1"/>
        <v>14631.2828284765</v>
      </c>
      <c r="H102" s="95">
        <f t="shared" si="2"/>
        <v>58525.131313906</v>
      </c>
      <c r="I102" s="20"/>
      <c r="J102" s="20"/>
      <c r="K102" s="20"/>
      <c r="L102" s="20"/>
      <c r="M102" s="20"/>
      <c r="N102" s="20"/>
      <c r="O102" s="20"/>
      <c r="P102" s="20"/>
      <c r="Q102" s="20"/>
      <c r="R102" s="20"/>
      <c r="S102" s="20"/>
      <c r="T102" s="20"/>
      <c r="U102" s="20"/>
      <c r="V102" s="20"/>
      <c r="W102" s="20"/>
      <c r="X102" s="20"/>
    </row>
    <row r="103" ht="13.5" customHeight="1" spans="1:24">
      <c r="A103" s="20"/>
      <c r="B103" s="63">
        <v>88</v>
      </c>
      <c r="C103" s="91">
        <v>34302.9886875174</v>
      </c>
      <c r="D103" s="91">
        <v>23690.4002991998</v>
      </c>
      <c r="E103" s="92">
        <v>421836.449489833</v>
      </c>
      <c r="F103" s="93">
        <f t="shared" si="0"/>
        <v>125965.050889325</v>
      </c>
      <c r="G103" s="94">
        <f t="shared" si="1"/>
        <v>49800.1363981052</v>
      </c>
      <c r="H103" s="95">
        <f t="shared" si="2"/>
        <v>76164.9144912198</v>
      </c>
      <c r="I103" s="20"/>
      <c r="J103" s="20"/>
      <c r="K103" s="20"/>
      <c r="L103" s="20"/>
      <c r="M103" s="20"/>
      <c r="N103" s="20"/>
      <c r="O103" s="20"/>
      <c r="P103" s="20"/>
      <c r="Q103" s="20"/>
      <c r="R103" s="20"/>
      <c r="S103" s="20"/>
      <c r="T103" s="20"/>
      <c r="U103" s="20"/>
      <c r="V103" s="20"/>
      <c r="W103" s="20"/>
      <c r="X103" s="20"/>
    </row>
    <row r="104" ht="13.5" customHeight="1" spans="1:24">
      <c r="A104" s="20"/>
      <c r="B104" s="63">
        <v>89</v>
      </c>
      <c r="C104" s="91">
        <v>35561.8016099587</v>
      </c>
      <c r="D104" s="91">
        <v>24935.7735586625</v>
      </c>
      <c r="E104" s="92">
        <v>287018.665330172</v>
      </c>
      <c r="F104" s="93">
        <f t="shared" si="0"/>
        <v>93679.7032674868</v>
      </c>
      <c r="G104" s="94">
        <f t="shared" si="1"/>
        <v>25911.4072867517</v>
      </c>
      <c r="H104" s="95">
        <f t="shared" si="2"/>
        <v>67768.2959807351</v>
      </c>
      <c r="I104" s="20"/>
      <c r="J104" s="20"/>
      <c r="K104" s="20"/>
      <c r="L104" s="20"/>
      <c r="M104" s="20"/>
      <c r="N104" s="20"/>
      <c r="O104" s="20"/>
      <c r="P104" s="20"/>
      <c r="Q104" s="20"/>
      <c r="R104" s="20"/>
      <c r="S104" s="20"/>
      <c r="T104" s="20"/>
      <c r="U104" s="20"/>
      <c r="V104" s="20"/>
      <c r="W104" s="20"/>
      <c r="X104" s="20"/>
    </row>
    <row r="105" ht="13.5" customHeight="1" spans="1:24">
      <c r="A105" s="20"/>
      <c r="B105" s="63">
        <v>90</v>
      </c>
      <c r="C105" s="91">
        <v>33352.493882052</v>
      </c>
      <c r="D105" s="91">
        <v>23195.4109539327</v>
      </c>
      <c r="E105" s="92">
        <v>377256.360954166</v>
      </c>
      <c r="F105" s="93">
        <f t="shared" si="0"/>
        <v>107413.269438339</v>
      </c>
      <c r="G105" s="94">
        <f t="shared" si="1"/>
        <v>49776.8809592303</v>
      </c>
      <c r="H105" s="95">
        <f t="shared" si="2"/>
        <v>57636.3884791088</v>
      </c>
      <c r="I105" s="20"/>
      <c r="J105" s="20"/>
      <c r="K105" s="20"/>
      <c r="L105" s="20"/>
      <c r="M105" s="20"/>
      <c r="N105" s="20"/>
      <c r="O105" s="20"/>
      <c r="P105" s="20"/>
      <c r="Q105" s="20"/>
      <c r="R105" s="20"/>
      <c r="S105" s="20"/>
      <c r="T105" s="20"/>
      <c r="U105" s="20"/>
      <c r="V105" s="20"/>
      <c r="W105" s="20"/>
      <c r="X105" s="20"/>
    </row>
    <row r="106" ht="13.5" customHeight="1" spans="1:24">
      <c r="A106" s="20"/>
      <c r="B106" s="63">
        <v>91</v>
      </c>
      <c r="C106" s="91">
        <v>32577.2186676873</v>
      </c>
      <c r="D106" s="91">
        <v>21619.9186877889</v>
      </c>
      <c r="E106" s="92">
        <v>323378.974955559</v>
      </c>
      <c r="F106" s="93">
        <f t="shared" si="0"/>
        <v>87581.8057171306</v>
      </c>
      <c r="G106" s="94">
        <f t="shared" si="1"/>
        <v>47159.4338476857</v>
      </c>
      <c r="H106" s="95">
        <f t="shared" si="2"/>
        <v>40422.3718694449</v>
      </c>
      <c r="I106" s="20"/>
      <c r="J106" s="20"/>
      <c r="K106" s="20"/>
      <c r="L106" s="20"/>
      <c r="M106" s="20"/>
      <c r="N106" s="20"/>
      <c r="O106" s="20"/>
      <c r="P106" s="20"/>
      <c r="Q106" s="20"/>
      <c r="R106" s="20"/>
      <c r="S106" s="20"/>
      <c r="T106" s="20"/>
      <c r="U106" s="20"/>
      <c r="V106" s="20"/>
      <c r="W106" s="20"/>
      <c r="X106" s="20"/>
    </row>
    <row r="107" ht="13.5" customHeight="1" spans="1:24">
      <c r="A107" s="20"/>
      <c r="B107" s="63">
        <v>92</v>
      </c>
      <c r="C107" s="91">
        <v>36898.7245127845</v>
      </c>
      <c r="D107" s="91">
        <v>24446.9873882879</v>
      </c>
      <c r="E107" s="92">
        <v>690351.987981194</v>
      </c>
      <c r="F107" s="93">
        <f t="shared" si="0"/>
        <v>244499.662410006</v>
      </c>
      <c r="G107" s="94">
        <f t="shared" si="1"/>
        <v>43146.9992488246</v>
      </c>
      <c r="H107" s="95">
        <f t="shared" si="2"/>
        <v>201352.663161182</v>
      </c>
      <c r="I107" s="20"/>
      <c r="J107" s="20"/>
      <c r="K107" s="20"/>
      <c r="L107" s="20"/>
      <c r="M107" s="20"/>
      <c r="N107" s="20"/>
      <c r="O107" s="20"/>
      <c r="P107" s="20"/>
      <c r="Q107" s="20"/>
      <c r="R107" s="20"/>
      <c r="S107" s="20"/>
      <c r="T107" s="20"/>
      <c r="U107" s="20"/>
      <c r="V107" s="20"/>
      <c r="W107" s="20"/>
      <c r="X107" s="20"/>
    </row>
    <row r="108" ht="13.5" customHeight="1" spans="1:24">
      <c r="A108" s="20"/>
      <c r="B108" s="63">
        <v>93</v>
      </c>
      <c r="C108" s="91">
        <v>37249.8400487622</v>
      </c>
      <c r="D108" s="91">
        <v>27061.2869277665</v>
      </c>
      <c r="E108" s="92">
        <v>744391.042024303</v>
      </c>
      <c r="F108" s="93">
        <f t="shared" si="0"/>
        <v>263638.494050274</v>
      </c>
      <c r="G108" s="94">
        <f t="shared" si="1"/>
        <v>46524.4401265189</v>
      </c>
      <c r="H108" s="95">
        <f t="shared" si="2"/>
        <v>217114.053923755</v>
      </c>
      <c r="I108" s="20"/>
      <c r="J108" s="20"/>
      <c r="K108" s="20"/>
      <c r="L108" s="20"/>
      <c r="M108" s="20"/>
      <c r="N108" s="20"/>
      <c r="O108" s="20"/>
      <c r="P108" s="20"/>
      <c r="Q108" s="20"/>
      <c r="R108" s="20"/>
      <c r="S108" s="20"/>
      <c r="T108" s="20"/>
      <c r="U108" s="20"/>
      <c r="V108" s="20"/>
      <c r="W108" s="20"/>
      <c r="X108" s="20"/>
    </row>
    <row r="109" ht="13.5" customHeight="1" spans="1:24">
      <c r="A109" s="20"/>
      <c r="B109" s="63">
        <v>94</v>
      </c>
      <c r="C109" s="91">
        <v>33985.4916511629</v>
      </c>
      <c r="D109" s="91">
        <v>20556.0231950092</v>
      </c>
      <c r="E109" s="92">
        <v>483617.936787295</v>
      </c>
      <c r="F109" s="93">
        <f t="shared" si="0"/>
        <v>144413.689457317</v>
      </c>
      <c r="G109" s="94">
        <f t="shared" si="1"/>
        <v>57093.7842040556</v>
      </c>
      <c r="H109" s="95">
        <f t="shared" si="2"/>
        <v>87319.9052532616</v>
      </c>
      <c r="I109" s="20"/>
      <c r="J109" s="20"/>
      <c r="K109" s="20"/>
      <c r="L109" s="20"/>
      <c r="M109" s="20"/>
      <c r="N109" s="20"/>
      <c r="O109" s="20"/>
      <c r="P109" s="20"/>
      <c r="Q109" s="20"/>
      <c r="R109" s="20"/>
      <c r="S109" s="20"/>
      <c r="T109" s="20"/>
      <c r="U109" s="20"/>
      <c r="V109" s="20"/>
      <c r="W109" s="20"/>
      <c r="X109" s="20"/>
    </row>
    <row r="110" ht="13.5" customHeight="1" spans="1:24">
      <c r="A110" s="20"/>
      <c r="B110" s="63">
        <v>95</v>
      </c>
      <c r="C110" s="91">
        <v>36409.6220527698</v>
      </c>
      <c r="D110" s="91">
        <v>23375.61460514</v>
      </c>
      <c r="E110" s="92">
        <v>319500.418709205</v>
      </c>
      <c r="F110" s="93">
        <f t="shared" si="0"/>
        <v>108718.892477438</v>
      </c>
      <c r="G110" s="94">
        <f t="shared" si="1"/>
        <v>24406.281984731</v>
      </c>
      <c r="H110" s="95">
        <f t="shared" si="2"/>
        <v>84312.610492707</v>
      </c>
      <c r="I110" s="20"/>
      <c r="J110" s="20"/>
      <c r="K110" s="20"/>
      <c r="L110" s="20"/>
      <c r="M110" s="20"/>
      <c r="N110" s="20"/>
      <c r="O110" s="20"/>
      <c r="P110" s="20"/>
      <c r="Q110" s="20"/>
      <c r="R110" s="20"/>
      <c r="S110" s="20"/>
      <c r="T110" s="20"/>
      <c r="U110" s="20"/>
      <c r="V110" s="20"/>
      <c r="W110" s="20"/>
      <c r="X110" s="20"/>
    </row>
    <row r="111" ht="13.5" customHeight="1" spans="1:24">
      <c r="A111" s="20"/>
      <c r="B111" s="63">
        <v>96</v>
      </c>
      <c r="C111" s="91">
        <v>35779.8055942316</v>
      </c>
      <c r="D111" s="91">
        <v>25274.2958699766</v>
      </c>
      <c r="E111" s="92">
        <v>365451.534387546</v>
      </c>
      <c r="F111" s="93">
        <f t="shared" si="0"/>
        <v>119279.320251491</v>
      </c>
      <c r="G111" s="94">
        <f t="shared" si="1"/>
        <v>32992.1524099868</v>
      </c>
      <c r="H111" s="95">
        <f t="shared" si="2"/>
        <v>86287.1678415039</v>
      </c>
      <c r="I111" s="20"/>
      <c r="J111" s="20"/>
      <c r="K111" s="20"/>
      <c r="L111" s="20"/>
      <c r="M111" s="20"/>
      <c r="N111" s="20"/>
      <c r="O111" s="20"/>
      <c r="P111" s="20"/>
      <c r="Q111" s="20"/>
      <c r="R111" s="20"/>
      <c r="S111" s="20"/>
      <c r="T111" s="20"/>
      <c r="U111" s="20"/>
      <c r="V111" s="20"/>
      <c r="W111" s="20"/>
      <c r="X111" s="20"/>
    </row>
    <row r="112" ht="13.5" customHeight="1" spans="1:24">
      <c r="A112" s="20"/>
      <c r="B112" s="63">
        <v>97</v>
      </c>
      <c r="C112" s="91">
        <v>35098.2200131127</v>
      </c>
      <c r="D112" s="91">
        <v>22474.6268780012</v>
      </c>
      <c r="E112" s="92">
        <v>604423.982463349</v>
      </c>
      <c r="F112" s="93">
        <f t="shared" si="0"/>
        <v>193079.883286903</v>
      </c>
      <c r="G112" s="94">
        <f t="shared" si="1"/>
        <v>58763.4427394923</v>
      </c>
      <c r="H112" s="95">
        <f t="shared" si="2"/>
        <v>134316.440547411</v>
      </c>
      <c r="I112" s="20"/>
      <c r="J112" s="20"/>
      <c r="K112" s="20"/>
      <c r="L112" s="20"/>
      <c r="M112" s="20"/>
      <c r="N112" s="20"/>
      <c r="O112" s="20"/>
      <c r="P112" s="20"/>
      <c r="Q112" s="20"/>
      <c r="R112" s="20"/>
      <c r="S112" s="20"/>
      <c r="T112" s="20"/>
      <c r="U112" s="20"/>
      <c r="V112" s="20"/>
      <c r="W112" s="20"/>
      <c r="X112" s="20"/>
    </row>
    <row r="113" ht="13.5" customHeight="1" spans="1:24">
      <c r="A113" s="20"/>
      <c r="B113" s="63">
        <v>98</v>
      </c>
      <c r="C113" s="91">
        <v>35875.9165880228</v>
      </c>
      <c r="D113" s="91">
        <v>21695.4163181557</v>
      </c>
      <c r="E113" s="92">
        <v>203100.978846236</v>
      </c>
      <c r="F113" s="93">
        <f t="shared" si="0"/>
        <v>67700.3262820786</v>
      </c>
      <c r="G113" s="94">
        <f t="shared" si="1"/>
        <v>16925.0815705197</v>
      </c>
      <c r="H113" s="95">
        <f t="shared" si="2"/>
        <v>50775.244711559</v>
      </c>
      <c r="I113" s="20"/>
      <c r="J113" s="20"/>
      <c r="K113" s="20"/>
      <c r="L113" s="20"/>
      <c r="M113" s="20"/>
      <c r="N113" s="20"/>
      <c r="O113" s="20"/>
      <c r="P113" s="20"/>
      <c r="Q113" s="20"/>
      <c r="R113" s="20"/>
      <c r="S113" s="20"/>
      <c r="T113" s="20"/>
      <c r="U113" s="20"/>
      <c r="V113" s="20"/>
      <c r="W113" s="20"/>
      <c r="X113" s="20"/>
    </row>
    <row r="114" ht="13.5" customHeight="1" spans="1:24">
      <c r="A114" s="20"/>
      <c r="B114" s="63">
        <v>99</v>
      </c>
      <c r="C114" s="91">
        <v>35083.2588052305</v>
      </c>
      <c r="D114" s="91">
        <v>25511.1917257295</v>
      </c>
      <c r="E114" s="92">
        <v>622670.53726354</v>
      </c>
      <c r="F114" s="93">
        <f t="shared" si="0"/>
        <v>198908.643848075</v>
      </c>
      <c r="G114" s="94">
        <f t="shared" si="1"/>
        <v>60537.4133450664</v>
      </c>
      <c r="H114" s="95">
        <f t="shared" si="2"/>
        <v>138371.230503009</v>
      </c>
      <c r="I114" s="20"/>
      <c r="J114" s="20"/>
      <c r="K114" s="20"/>
      <c r="L114" s="20"/>
      <c r="M114" s="20"/>
      <c r="N114" s="20"/>
      <c r="O114" s="20"/>
      <c r="P114" s="20"/>
      <c r="Q114" s="20"/>
      <c r="R114" s="20"/>
      <c r="S114" s="20"/>
      <c r="T114" s="20"/>
      <c r="U114" s="20"/>
      <c r="V114" s="20"/>
      <c r="W114" s="20"/>
      <c r="X114" s="20"/>
    </row>
    <row r="115" ht="13.5" customHeight="1" spans="1:24">
      <c r="A115" s="20"/>
      <c r="B115" s="63">
        <v>100</v>
      </c>
      <c r="C115" s="91">
        <v>34949.9188724594</v>
      </c>
      <c r="D115" s="91">
        <v>22671.907720055</v>
      </c>
      <c r="E115" s="92">
        <v>653129.00713182</v>
      </c>
      <c r="F115" s="93">
        <f t="shared" si="0"/>
        <v>204102.814728694</v>
      </c>
      <c r="G115" s="94">
        <f t="shared" si="1"/>
        <v>68034.2715762313</v>
      </c>
      <c r="H115" s="95">
        <f t="shared" si="2"/>
        <v>136068.543152463</v>
      </c>
      <c r="I115" s="20"/>
      <c r="J115" s="20"/>
      <c r="K115" s="20"/>
      <c r="L115" s="20"/>
      <c r="M115" s="20"/>
      <c r="N115" s="20"/>
      <c r="O115" s="20"/>
      <c r="P115" s="20"/>
      <c r="Q115" s="20"/>
      <c r="R115" s="20"/>
      <c r="S115" s="20"/>
      <c r="T115" s="20"/>
      <c r="U115" s="20"/>
      <c r="V115" s="20"/>
      <c r="W115" s="20"/>
      <c r="X115" s="20"/>
    </row>
    <row r="116" ht="13.5" customHeight="1" spans="1:24">
      <c r="A116" s="20"/>
      <c r="B116" s="20" t="s">
        <v>1139</v>
      </c>
      <c r="C116" s="20"/>
      <c r="D116" s="20"/>
      <c r="E116" s="72">
        <f t="shared" ref="E116:G116" si="3">SUM(E16:E115)</f>
        <v>49620986.0256584</v>
      </c>
      <c r="F116" s="72">
        <f t="shared" si="3"/>
        <v>15498165.5767516</v>
      </c>
      <c r="G116" s="72">
        <f t="shared" si="3"/>
        <v>5177245.26727274</v>
      </c>
      <c r="H116" s="72">
        <f t="shared" si="2"/>
        <v>10320920.3094789</v>
      </c>
      <c r="I116" s="20"/>
      <c r="J116" s="20"/>
      <c r="K116" s="20"/>
      <c r="L116" s="20"/>
      <c r="M116" s="20"/>
      <c r="N116" s="20"/>
      <c r="O116" s="20"/>
      <c r="P116" s="20"/>
      <c r="Q116" s="20"/>
      <c r="R116" s="20"/>
      <c r="S116" s="20"/>
      <c r="T116" s="20"/>
      <c r="U116" s="20"/>
      <c r="V116" s="20"/>
      <c r="W116" s="20"/>
      <c r="X116" s="20"/>
    </row>
    <row r="117" ht="13.5" customHeight="1" spans="1:24">
      <c r="A117" s="20"/>
      <c r="B117" s="20"/>
      <c r="C117" s="20"/>
      <c r="D117" s="20"/>
      <c r="E117" s="95"/>
      <c r="F117" s="20"/>
      <c r="G117" s="20"/>
      <c r="H117" s="20"/>
      <c r="I117" s="20"/>
      <c r="J117" s="20"/>
      <c r="K117" s="20"/>
      <c r="L117" s="20"/>
      <c r="M117" s="20"/>
      <c r="N117" s="20"/>
      <c r="O117" s="20"/>
      <c r="P117" s="20"/>
      <c r="Q117" s="20"/>
      <c r="R117" s="20"/>
      <c r="S117" s="20"/>
      <c r="T117" s="20"/>
      <c r="U117" s="20"/>
      <c r="V117" s="20"/>
      <c r="W117" s="20"/>
      <c r="X117" s="20"/>
    </row>
    <row r="118" ht="13.5" customHeight="1" spans="1:24">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row>
    <row r="119" ht="13.5" customHeight="1" spans="1:24">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row>
    <row r="120" ht="13.5" customHeight="1" spans="1:24">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row>
    <row r="121" ht="13.5" customHeight="1" spans="1:24">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row>
    <row r="122" ht="13.5" customHeight="1" spans="1:24">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row>
    <row r="123" ht="13.5" customHeight="1" spans="1:24">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row>
    <row r="124" ht="13.5" customHeight="1" spans="1:24">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row>
    <row r="125" ht="13.5" customHeight="1" spans="1:24">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row>
    <row r="126" ht="13.5" customHeight="1" spans="1:24">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row>
    <row r="127" ht="13.5" customHeight="1" spans="1:24">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row>
    <row r="128" ht="13.5" customHeight="1" spans="1:24">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row>
    <row r="129" ht="13.5" customHeight="1" spans="1:24">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row>
    <row r="130" ht="13.5" customHeight="1" spans="1:24">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row>
    <row r="131" ht="13.5" customHeight="1" spans="1:24">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row>
    <row r="132" ht="13.5" customHeight="1" spans="1:24">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row>
    <row r="133" ht="13.5" customHeight="1" spans="1:24">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row>
    <row r="134" ht="13.5" customHeight="1" spans="1:24">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row>
    <row r="135" ht="13.5" customHeight="1" spans="1:24">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row>
    <row r="136" ht="13.5" customHeight="1" spans="1:24">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row>
    <row r="137" ht="13.5" customHeight="1" spans="1:24">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row>
    <row r="138" ht="13.5" customHeight="1" spans="1:24">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row>
    <row r="139" ht="13.5" customHeight="1" spans="1:24">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row>
    <row r="140" ht="13.5" customHeight="1" spans="1:24">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row>
    <row r="141" ht="13.5" customHeight="1" spans="1:24">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row>
    <row r="142" ht="13.5" customHeight="1" spans="1:24">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row>
    <row r="143" ht="13.5" customHeight="1" spans="1:24">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row>
    <row r="144" ht="13.5" customHeight="1" spans="1:24">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row>
    <row r="145" ht="13.5" customHeight="1" spans="1:24">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row>
    <row r="146" ht="13.5" customHeight="1" spans="1:24">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row>
    <row r="147" ht="13.5" customHeight="1" spans="1:24">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row>
    <row r="148" ht="13.5" customHeight="1" spans="1:24">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row>
    <row r="149" ht="13.5" customHeight="1" spans="1:24">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row>
    <row r="150" ht="13.5" customHeight="1" spans="1:24">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row>
    <row r="151" ht="13.5" customHeight="1" spans="1:24">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row>
    <row r="152" ht="13.5" customHeight="1" spans="1:24">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row>
    <row r="153" ht="13.5" customHeight="1" spans="1:24">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row>
    <row r="154" ht="13.5" customHeight="1" spans="1:24">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row>
    <row r="155" ht="13.5" customHeight="1" spans="1:24">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row>
    <row r="156" ht="13.5" customHeight="1" spans="1:24">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row>
    <row r="157" ht="13.5" customHeight="1" spans="1:24">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row>
    <row r="158" ht="13.5" customHeight="1" spans="1:24">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row>
    <row r="159" ht="13.5" customHeight="1" spans="1:24">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row>
    <row r="160" ht="13.5" customHeight="1" spans="1:24">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row>
    <row r="161" ht="13.5" customHeight="1" spans="1:24">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row>
    <row r="162" ht="13.5" customHeight="1" spans="1:24">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row>
    <row r="163" ht="13.5" customHeight="1" spans="1:24">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row>
    <row r="164" ht="13.5" customHeight="1" spans="1:24">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row>
    <row r="165" ht="13.5" customHeight="1" spans="1:24">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row>
    <row r="166" ht="13.5" customHeight="1" spans="1:24">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row>
    <row r="167" ht="13.5" customHeight="1" spans="1:24">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row>
    <row r="168" ht="13.5" customHeight="1" spans="1:24">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row>
    <row r="169" ht="13.5" customHeight="1" spans="1:24">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row>
    <row r="170" ht="13.5" customHeight="1" spans="1:24">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row>
    <row r="171" ht="13.5" customHeight="1" spans="1:24">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row>
    <row r="172" ht="13.5" customHeight="1" spans="1:24">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row>
    <row r="173" ht="13.5" customHeight="1" spans="1:24">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row>
    <row r="174" ht="13.5" customHeight="1" spans="1:24">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row>
    <row r="175" ht="13.5" customHeight="1" spans="1:24">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row>
    <row r="176" ht="13.5" customHeight="1" spans="1:24">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row>
    <row r="177" ht="13.5" customHeight="1" spans="1:24">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row>
    <row r="178" ht="13.5" customHeight="1" spans="1:24">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row>
    <row r="179" ht="13.5" customHeight="1" spans="1:24">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row>
    <row r="180" ht="13.5" customHeight="1" spans="1:24">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row>
    <row r="181" ht="13.5" customHeight="1" spans="1:24">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row>
    <row r="182" ht="13.5" customHeight="1" spans="1:24">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row>
    <row r="183" ht="13.5" customHeight="1" spans="1:24">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row>
    <row r="184" ht="13.5" customHeight="1" spans="1:24">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row>
    <row r="185" ht="13.5" customHeight="1" spans="1:24">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row>
    <row r="186" ht="13.5" customHeight="1" spans="1:24">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row>
    <row r="187" ht="13.5" customHeight="1" spans="1:24">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row>
    <row r="188" ht="13.5" customHeight="1" spans="1:24">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row>
    <row r="189" ht="13.5" customHeight="1" spans="1:24">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row>
    <row r="190" ht="13.5" customHeight="1" spans="1:24">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row>
    <row r="191" ht="13.5" customHeight="1" spans="1:24">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row>
    <row r="192" ht="13.5" customHeight="1" spans="1:24">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row>
    <row r="193" ht="13.5" customHeight="1" spans="1:24">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row>
    <row r="194" ht="13.5" customHeight="1" spans="1:24">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row>
    <row r="195" ht="13.5" customHeight="1" spans="1:24">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row>
    <row r="196" ht="13.5" customHeight="1" spans="1:24">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row>
    <row r="197" ht="13.5" customHeight="1" spans="1:24">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row>
    <row r="198" ht="13.5" customHeight="1" spans="1:24">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row>
    <row r="199" ht="13.5" customHeight="1" spans="1:24">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row>
    <row r="200" ht="13.5" customHeight="1" spans="1:24">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row>
    <row r="201" ht="13.5" customHeight="1" spans="1:24">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row>
    <row r="202" ht="13.5" customHeight="1" spans="1:24">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row>
    <row r="203" ht="13.5" customHeight="1" spans="1:24">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row>
    <row r="204" ht="13.5" customHeight="1" spans="1:24">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row>
    <row r="205" ht="13.5" customHeight="1" spans="1:24">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row>
    <row r="206" ht="13.5" customHeight="1" spans="1:24">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row>
    <row r="207" ht="13.5" customHeight="1" spans="1:24">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row>
    <row r="208" ht="13.5" customHeight="1" spans="1:24">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row>
    <row r="209" ht="13.5" customHeight="1" spans="1:24">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row>
    <row r="210" ht="13.5" customHeight="1" spans="1:24">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row>
    <row r="211" ht="13.5" customHeight="1" spans="1:24">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row>
    <row r="212" ht="13.5" customHeight="1" spans="1:24">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row>
    <row r="213" ht="13.5" customHeight="1" spans="1:24">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row>
    <row r="214" ht="13.5" customHeight="1" spans="1:24">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row>
    <row r="215" ht="13.5" customHeight="1" spans="1:24">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row>
    <row r="216" ht="13.5" customHeight="1" spans="1:24">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row>
    <row r="217" ht="13.5" customHeight="1" spans="1:24">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row>
    <row r="218" ht="13.5" customHeight="1" spans="1:24">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row>
    <row r="219" ht="13.5" customHeight="1" spans="1:24">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row>
    <row r="220" ht="13.5" customHeight="1" spans="1:24">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row>
    <row r="221" ht="13.5" customHeight="1" spans="1:24">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row>
    <row r="222" ht="13.5" customHeight="1" spans="1:24">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row>
    <row r="223" ht="13.5" customHeight="1" spans="1:24">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row>
    <row r="224" ht="13.5" customHeight="1" spans="1:24">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row>
    <row r="225" ht="13.5" customHeight="1" spans="1:24">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row>
    <row r="226" ht="13.5" customHeight="1" spans="1:24">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row>
    <row r="227" ht="13.5" customHeight="1" spans="1:24">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row>
    <row r="228" ht="13.5" customHeight="1" spans="1:24">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row>
    <row r="229" ht="13.5" customHeight="1" spans="1:24">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row>
    <row r="230" ht="13.5" customHeight="1" spans="1:24">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row>
    <row r="231" ht="13.5" customHeight="1" spans="1:24">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row>
    <row r="232" ht="13.5" customHeight="1" spans="1:24">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row>
    <row r="233" ht="13.5" customHeight="1" spans="1:24">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row>
    <row r="234" ht="13.5" customHeight="1" spans="1:24">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row>
    <row r="235" ht="13.5" customHeight="1" spans="1:24">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row>
    <row r="236" ht="13.5" customHeight="1" spans="1:24">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row>
    <row r="237" ht="13.5" customHeight="1" spans="1:24">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row>
    <row r="238" ht="13.5" customHeight="1" spans="1:24">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row>
    <row r="239" ht="13.5" customHeight="1" spans="1:24">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row>
    <row r="240" ht="13.5" customHeight="1" spans="1:24">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row>
    <row r="241" ht="13.5" customHeight="1" spans="1:24">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row>
    <row r="242" ht="13.5" customHeight="1" spans="1:24">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row>
    <row r="243" ht="13.5" customHeight="1" spans="1:24">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row>
    <row r="244" ht="13.5" customHeight="1" spans="1:24">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row>
    <row r="245" ht="13.5" customHeight="1" spans="1:24">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row>
    <row r="246" ht="13.5" customHeight="1" spans="1:24">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row>
    <row r="247" ht="13.5" customHeight="1" spans="1:24">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row>
    <row r="248" ht="13.5" customHeight="1" spans="1:24">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row>
    <row r="249" ht="13.5" customHeight="1" spans="1:24">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row>
    <row r="250" ht="13.5" customHeight="1" spans="1:24">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row>
    <row r="251" ht="13.5" customHeight="1" spans="1:24">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row>
    <row r="252" ht="13.5" customHeight="1" spans="1:24">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row>
    <row r="253" ht="13.5" customHeight="1" spans="1:24">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row>
    <row r="254" ht="13.5" customHeight="1" spans="1:24">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row>
    <row r="255" ht="13.5" customHeight="1" spans="1:24">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row>
    <row r="256" ht="13.5" customHeight="1" spans="1:24">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row>
    <row r="257" ht="13.5" customHeight="1" spans="1:24">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row>
    <row r="258" ht="13.5" customHeight="1" spans="1:24">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row>
    <row r="259" ht="13.5" customHeight="1" spans="1:24">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row>
    <row r="260" ht="13.5" customHeight="1" spans="1:24">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row>
    <row r="261" ht="13.5" customHeight="1" spans="1:24">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row>
    <row r="262" ht="13.5" customHeight="1" spans="1:24">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row>
    <row r="263" ht="13.5" customHeight="1" spans="1:24">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row>
    <row r="264" ht="13.5" customHeight="1" spans="1:24">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row>
    <row r="265" ht="13.5" customHeight="1" spans="1:24">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row>
    <row r="266" ht="13.5" customHeight="1" spans="1:24">
      <c r="A266" s="20"/>
      <c r="B266" s="20"/>
      <c r="C266" s="20"/>
      <c r="D266" s="20"/>
      <c r="E266" s="20"/>
      <c r="F266" s="20"/>
      <c r="G266" s="20"/>
      <c r="H266" s="20"/>
      <c r="I266" s="20"/>
      <c r="J266" s="20"/>
      <c r="K266" s="20"/>
      <c r="L266" s="20"/>
      <c r="M266" s="20"/>
      <c r="N266" s="20"/>
      <c r="O266" s="20"/>
      <c r="P266" s="20"/>
      <c r="Q266" s="20"/>
      <c r="R266" s="20"/>
      <c r="S266" s="20"/>
      <c r="T266" s="20"/>
      <c r="U266" s="20"/>
      <c r="V266" s="20"/>
      <c r="W266" s="20"/>
      <c r="X266" s="20"/>
    </row>
    <row r="267" ht="13.5" customHeight="1" spans="1:24">
      <c r="A267" s="20"/>
      <c r="B267" s="20"/>
      <c r="C267" s="20"/>
      <c r="D267" s="20"/>
      <c r="E267" s="20"/>
      <c r="F267" s="20"/>
      <c r="G267" s="20"/>
      <c r="H267" s="20"/>
      <c r="I267" s="20"/>
      <c r="J267" s="20"/>
      <c r="K267" s="20"/>
      <c r="L267" s="20"/>
      <c r="M267" s="20"/>
      <c r="N267" s="20"/>
      <c r="O267" s="20"/>
      <c r="P267" s="20"/>
      <c r="Q267" s="20"/>
      <c r="R267" s="20"/>
      <c r="S267" s="20"/>
      <c r="T267" s="20"/>
      <c r="U267" s="20"/>
      <c r="V267" s="20"/>
      <c r="W267" s="20"/>
      <c r="X267" s="20"/>
    </row>
    <row r="268" ht="13.5" customHeight="1" spans="1:24">
      <c r="A268" s="20"/>
      <c r="B268" s="20"/>
      <c r="C268" s="20"/>
      <c r="D268" s="20"/>
      <c r="E268" s="20"/>
      <c r="F268" s="20"/>
      <c r="G268" s="20"/>
      <c r="H268" s="20"/>
      <c r="I268" s="20"/>
      <c r="J268" s="20"/>
      <c r="K268" s="20"/>
      <c r="L268" s="20"/>
      <c r="M268" s="20"/>
      <c r="N268" s="20"/>
      <c r="O268" s="20"/>
      <c r="P268" s="20"/>
      <c r="Q268" s="20"/>
      <c r="R268" s="20"/>
      <c r="S268" s="20"/>
      <c r="T268" s="20"/>
      <c r="U268" s="20"/>
      <c r="V268" s="20"/>
      <c r="W268" s="20"/>
      <c r="X268" s="20"/>
    </row>
    <row r="269" ht="13.5" customHeight="1" spans="1:24">
      <c r="A269" s="20"/>
      <c r="B269" s="20"/>
      <c r="C269" s="20"/>
      <c r="D269" s="20"/>
      <c r="E269" s="20"/>
      <c r="F269" s="20"/>
      <c r="G269" s="20"/>
      <c r="H269" s="20"/>
      <c r="I269" s="20"/>
      <c r="J269" s="20"/>
      <c r="K269" s="20"/>
      <c r="L269" s="20"/>
      <c r="M269" s="20"/>
      <c r="N269" s="20"/>
      <c r="O269" s="20"/>
      <c r="P269" s="20"/>
      <c r="Q269" s="20"/>
      <c r="R269" s="20"/>
      <c r="S269" s="20"/>
      <c r="T269" s="20"/>
      <c r="U269" s="20"/>
      <c r="V269" s="20"/>
      <c r="W269" s="20"/>
      <c r="X269" s="20"/>
    </row>
    <row r="270" ht="13.5" customHeight="1" spans="1:24">
      <c r="A270" s="20"/>
      <c r="B270" s="20"/>
      <c r="C270" s="20"/>
      <c r="D270" s="20"/>
      <c r="E270" s="20"/>
      <c r="F270" s="20"/>
      <c r="G270" s="20"/>
      <c r="H270" s="20"/>
      <c r="I270" s="20"/>
      <c r="J270" s="20"/>
      <c r="K270" s="20"/>
      <c r="L270" s="20"/>
      <c r="M270" s="20"/>
      <c r="N270" s="20"/>
      <c r="O270" s="20"/>
      <c r="P270" s="20"/>
      <c r="Q270" s="20"/>
      <c r="R270" s="20"/>
      <c r="S270" s="20"/>
      <c r="T270" s="20"/>
      <c r="U270" s="20"/>
      <c r="V270" s="20"/>
      <c r="W270" s="20"/>
      <c r="X270" s="20"/>
    </row>
    <row r="271" ht="13.5" customHeight="1" spans="1:24">
      <c r="A271" s="20"/>
      <c r="B271" s="20"/>
      <c r="C271" s="20"/>
      <c r="D271" s="20"/>
      <c r="E271" s="20"/>
      <c r="F271" s="20"/>
      <c r="G271" s="20"/>
      <c r="H271" s="20"/>
      <c r="I271" s="20"/>
      <c r="J271" s="20"/>
      <c r="K271" s="20"/>
      <c r="L271" s="20"/>
      <c r="M271" s="20"/>
      <c r="N271" s="20"/>
      <c r="O271" s="20"/>
      <c r="P271" s="20"/>
      <c r="Q271" s="20"/>
      <c r="R271" s="20"/>
      <c r="S271" s="20"/>
      <c r="T271" s="20"/>
      <c r="U271" s="20"/>
      <c r="V271" s="20"/>
      <c r="W271" s="20"/>
      <c r="X271" s="20"/>
    </row>
    <row r="272" ht="13.5" customHeight="1" spans="1:24">
      <c r="A272" s="20"/>
      <c r="B272" s="20"/>
      <c r="C272" s="20"/>
      <c r="D272" s="20"/>
      <c r="E272" s="20"/>
      <c r="F272" s="20"/>
      <c r="G272" s="20"/>
      <c r="H272" s="20"/>
      <c r="I272" s="20"/>
      <c r="J272" s="20"/>
      <c r="K272" s="20"/>
      <c r="L272" s="20"/>
      <c r="M272" s="20"/>
      <c r="N272" s="20"/>
      <c r="O272" s="20"/>
      <c r="P272" s="20"/>
      <c r="Q272" s="20"/>
      <c r="R272" s="20"/>
      <c r="S272" s="20"/>
      <c r="T272" s="20"/>
      <c r="U272" s="20"/>
      <c r="V272" s="20"/>
      <c r="W272" s="20"/>
      <c r="X272" s="20"/>
    </row>
    <row r="273" ht="13.5" customHeight="1" spans="1:24">
      <c r="A273" s="20"/>
      <c r="B273" s="20"/>
      <c r="C273" s="20"/>
      <c r="D273" s="20"/>
      <c r="E273" s="20"/>
      <c r="F273" s="20"/>
      <c r="G273" s="20"/>
      <c r="H273" s="20"/>
      <c r="I273" s="20"/>
      <c r="J273" s="20"/>
      <c r="K273" s="20"/>
      <c r="L273" s="20"/>
      <c r="M273" s="20"/>
      <c r="N273" s="20"/>
      <c r="O273" s="20"/>
      <c r="P273" s="20"/>
      <c r="Q273" s="20"/>
      <c r="R273" s="20"/>
      <c r="S273" s="20"/>
      <c r="T273" s="20"/>
      <c r="U273" s="20"/>
      <c r="V273" s="20"/>
      <c r="W273" s="20"/>
      <c r="X273" s="20"/>
    </row>
    <row r="274" ht="13.5" customHeight="1" spans="1:24">
      <c r="A274" s="20"/>
      <c r="B274" s="20"/>
      <c r="C274" s="20"/>
      <c r="D274" s="20"/>
      <c r="E274" s="20"/>
      <c r="F274" s="20"/>
      <c r="G274" s="20"/>
      <c r="H274" s="20"/>
      <c r="I274" s="20"/>
      <c r="J274" s="20"/>
      <c r="K274" s="20"/>
      <c r="L274" s="20"/>
      <c r="M274" s="20"/>
      <c r="N274" s="20"/>
      <c r="O274" s="20"/>
      <c r="P274" s="20"/>
      <c r="Q274" s="20"/>
      <c r="R274" s="20"/>
      <c r="S274" s="20"/>
      <c r="T274" s="20"/>
      <c r="U274" s="20"/>
      <c r="V274" s="20"/>
      <c r="W274" s="20"/>
      <c r="X274" s="20"/>
    </row>
    <row r="275" ht="13.5" customHeight="1" spans="1:24">
      <c r="A275" s="20"/>
      <c r="B275" s="20"/>
      <c r="C275" s="20"/>
      <c r="D275" s="20"/>
      <c r="E275" s="20"/>
      <c r="F275" s="20"/>
      <c r="G275" s="20"/>
      <c r="H275" s="20"/>
      <c r="I275" s="20"/>
      <c r="J275" s="20"/>
      <c r="K275" s="20"/>
      <c r="L275" s="20"/>
      <c r="M275" s="20"/>
      <c r="N275" s="20"/>
      <c r="O275" s="20"/>
      <c r="P275" s="20"/>
      <c r="Q275" s="20"/>
      <c r="R275" s="20"/>
      <c r="S275" s="20"/>
      <c r="T275" s="20"/>
      <c r="U275" s="20"/>
      <c r="V275" s="20"/>
      <c r="W275" s="20"/>
      <c r="X275" s="20"/>
    </row>
    <row r="276" ht="13.5" customHeight="1" spans="1:24">
      <c r="A276" s="20"/>
      <c r="B276" s="20"/>
      <c r="C276" s="20"/>
      <c r="D276" s="20"/>
      <c r="E276" s="20"/>
      <c r="F276" s="20"/>
      <c r="G276" s="20"/>
      <c r="H276" s="20"/>
      <c r="I276" s="20"/>
      <c r="J276" s="20"/>
      <c r="K276" s="20"/>
      <c r="L276" s="20"/>
      <c r="M276" s="20"/>
      <c r="N276" s="20"/>
      <c r="O276" s="20"/>
      <c r="P276" s="20"/>
      <c r="Q276" s="20"/>
      <c r="R276" s="20"/>
      <c r="S276" s="20"/>
      <c r="T276" s="20"/>
      <c r="U276" s="20"/>
      <c r="V276" s="20"/>
      <c r="W276" s="20"/>
      <c r="X276" s="20"/>
    </row>
    <row r="277" ht="13.5" customHeight="1" spans="1:24">
      <c r="A277" s="20"/>
      <c r="B277" s="20"/>
      <c r="C277" s="20"/>
      <c r="D277" s="20"/>
      <c r="E277" s="20"/>
      <c r="F277" s="20"/>
      <c r="G277" s="20"/>
      <c r="H277" s="20"/>
      <c r="I277" s="20"/>
      <c r="J277" s="20"/>
      <c r="K277" s="20"/>
      <c r="L277" s="20"/>
      <c r="M277" s="20"/>
      <c r="N277" s="20"/>
      <c r="O277" s="20"/>
      <c r="P277" s="20"/>
      <c r="Q277" s="20"/>
      <c r="R277" s="20"/>
      <c r="S277" s="20"/>
      <c r="T277" s="20"/>
      <c r="U277" s="20"/>
      <c r="V277" s="20"/>
      <c r="W277" s="20"/>
      <c r="X277" s="20"/>
    </row>
    <row r="278" ht="13.5" customHeight="1" spans="1:24">
      <c r="A278" s="20"/>
      <c r="B278" s="20"/>
      <c r="C278" s="20"/>
      <c r="D278" s="20"/>
      <c r="E278" s="20"/>
      <c r="F278" s="20"/>
      <c r="G278" s="20"/>
      <c r="H278" s="20"/>
      <c r="I278" s="20"/>
      <c r="J278" s="20"/>
      <c r="K278" s="20"/>
      <c r="L278" s="20"/>
      <c r="M278" s="20"/>
      <c r="N278" s="20"/>
      <c r="O278" s="20"/>
      <c r="P278" s="20"/>
      <c r="Q278" s="20"/>
      <c r="R278" s="20"/>
      <c r="S278" s="20"/>
      <c r="T278" s="20"/>
      <c r="U278" s="20"/>
      <c r="V278" s="20"/>
      <c r="W278" s="20"/>
      <c r="X278" s="20"/>
    </row>
    <row r="279" ht="13.5" customHeight="1" spans="1:24">
      <c r="A279" s="20"/>
      <c r="B279" s="20"/>
      <c r="C279" s="20"/>
      <c r="D279" s="20"/>
      <c r="E279" s="20"/>
      <c r="F279" s="20"/>
      <c r="G279" s="20"/>
      <c r="H279" s="20"/>
      <c r="I279" s="20"/>
      <c r="J279" s="20"/>
      <c r="K279" s="20"/>
      <c r="L279" s="20"/>
      <c r="M279" s="20"/>
      <c r="N279" s="20"/>
      <c r="O279" s="20"/>
      <c r="P279" s="20"/>
      <c r="Q279" s="20"/>
      <c r="R279" s="20"/>
      <c r="S279" s="20"/>
      <c r="T279" s="20"/>
      <c r="U279" s="20"/>
      <c r="V279" s="20"/>
      <c r="W279" s="20"/>
      <c r="X279" s="20"/>
    </row>
    <row r="280" ht="13.5" customHeight="1" spans="1:24">
      <c r="A280" s="20"/>
      <c r="B280" s="20"/>
      <c r="C280" s="20"/>
      <c r="D280" s="20"/>
      <c r="E280" s="20"/>
      <c r="F280" s="20"/>
      <c r="G280" s="20"/>
      <c r="H280" s="20"/>
      <c r="I280" s="20"/>
      <c r="J280" s="20"/>
      <c r="K280" s="20"/>
      <c r="L280" s="20"/>
      <c r="M280" s="20"/>
      <c r="N280" s="20"/>
      <c r="O280" s="20"/>
      <c r="P280" s="20"/>
      <c r="Q280" s="20"/>
      <c r="R280" s="20"/>
      <c r="S280" s="20"/>
      <c r="T280" s="20"/>
      <c r="U280" s="20"/>
      <c r="V280" s="20"/>
      <c r="W280" s="20"/>
      <c r="X280" s="20"/>
    </row>
    <row r="281" ht="13.5" customHeight="1" spans="1:24">
      <c r="A281" s="20"/>
      <c r="B281" s="20"/>
      <c r="C281" s="20"/>
      <c r="D281" s="20"/>
      <c r="E281" s="20"/>
      <c r="F281" s="20"/>
      <c r="G281" s="20"/>
      <c r="H281" s="20"/>
      <c r="I281" s="20"/>
      <c r="J281" s="20"/>
      <c r="K281" s="20"/>
      <c r="L281" s="20"/>
      <c r="M281" s="20"/>
      <c r="N281" s="20"/>
      <c r="O281" s="20"/>
      <c r="P281" s="20"/>
      <c r="Q281" s="20"/>
      <c r="R281" s="20"/>
      <c r="S281" s="20"/>
      <c r="T281" s="20"/>
      <c r="U281" s="20"/>
      <c r="V281" s="20"/>
      <c r="W281" s="20"/>
      <c r="X281" s="20"/>
    </row>
    <row r="282" ht="13.5" customHeight="1" spans="1:24">
      <c r="A282" s="20"/>
      <c r="B282" s="20"/>
      <c r="C282" s="20"/>
      <c r="D282" s="20"/>
      <c r="E282" s="20"/>
      <c r="F282" s="20"/>
      <c r="G282" s="20"/>
      <c r="H282" s="20"/>
      <c r="I282" s="20"/>
      <c r="J282" s="20"/>
      <c r="K282" s="20"/>
      <c r="L282" s="20"/>
      <c r="M282" s="20"/>
      <c r="N282" s="20"/>
      <c r="O282" s="20"/>
      <c r="P282" s="20"/>
      <c r="Q282" s="20"/>
      <c r="R282" s="20"/>
      <c r="S282" s="20"/>
      <c r="T282" s="20"/>
      <c r="U282" s="20"/>
      <c r="V282" s="20"/>
      <c r="W282" s="20"/>
      <c r="X282" s="20"/>
    </row>
    <row r="283" ht="13.5" customHeight="1" spans="1:24">
      <c r="A283" s="20"/>
      <c r="B283" s="20"/>
      <c r="C283" s="20"/>
      <c r="D283" s="20"/>
      <c r="E283" s="20"/>
      <c r="F283" s="20"/>
      <c r="G283" s="20"/>
      <c r="H283" s="20"/>
      <c r="I283" s="20"/>
      <c r="J283" s="20"/>
      <c r="K283" s="20"/>
      <c r="L283" s="20"/>
      <c r="M283" s="20"/>
      <c r="N283" s="20"/>
      <c r="O283" s="20"/>
      <c r="P283" s="20"/>
      <c r="Q283" s="20"/>
      <c r="R283" s="20"/>
      <c r="S283" s="20"/>
      <c r="T283" s="20"/>
      <c r="U283" s="20"/>
      <c r="V283" s="20"/>
      <c r="W283" s="20"/>
      <c r="X283" s="20"/>
    </row>
    <row r="284" ht="13.5" customHeight="1" spans="1:24">
      <c r="A284" s="20"/>
      <c r="B284" s="20"/>
      <c r="C284" s="20"/>
      <c r="D284" s="20"/>
      <c r="E284" s="20"/>
      <c r="F284" s="20"/>
      <c r="G284" s="20"/>
      <c r="H284" s="20"/>
      <c r="I284" s="20"/>
      <c r="J284" s="20"/>
      <c r="K284" s="20"/>
      <c r="L284" s="20"/>
      <c r="M284" s="20"/>
      <c r="N284" s="20"/>
      <c r="O284" s="20"/>
      <c r="P284" s="20"/>
      <c r="Q284" s="20"/>
      <c r="R284" s="20"/>
      <c r="S284" s="20"/>
      <c r="T284" s="20"/>
      <c r="U284" s="20"/>
      <c r="V284" s="20"/>
      <c r="W284" s="20"/>
      <c r="X284" s="20"/>
    </row>
    <row r="285" ht="13.5" customHeight="1" spans="1:24">
      <c r="A285" s="20"/>
      <c r="B285" s="20"/>
      <c r="C285" s="20"/>
      <c r="D285" s="20"/>
      <c r="E285" s="20"/>
      <c r="F285" s="20"/>
      <c r="G285" s="20"/>
      <c r="H285" s="20"/>
      <c r="I285" s="20"/>
      <c r="J285" s="20"/>
      <c r="K285" s="20"/>
      <c r="L285" s="20"/>
      <c r="M285" s="20"/>
      <c r="N285" s="20"/>
      <c r="O285" s="20"/>
      <c r="P285" s="20"/>
      <c r="Q285" s="20"/>
      <c r="R285" s="20"/>
      <c r="S285" s="20"/>
      <c r="T285" s="20"/>
      <c r="U285" s="20"/>
      <c r="V285" s="20"/>
      <c r="W285" s="20"/>
      <c r="X285" s="20"/>
    </row>
    <row r="286" ht="13.5" customHeight="1" spans="1:24">
      <c r="A286" s="20"/>
      <c r="B286" s="20"/>
      <c r="C286" s="20"/>
      <c r="D286" s="20"/>
      <c r="E286" s="20"/>
      <c r="F286" s="20"/>
      <c r="G286" s="20"/>
      <c r="H286" s="20"/>
      <c r="I286" s="20"/>
      <c r="J286" s="20"/>
      <c r="K286" s="20"/>
      <c r="L286" s="20"/>
      <c r="M286" s="20"/>
      <c r="N286" s="20"/>
      <c r="O286" s="20"/>
      <c r="P286" s="20"/>
      <c r="Q286" s="20"/>
      <c r="R286" s="20"/>
      <c r="S286" s="20"/>
      <c r="T286" s="20"/>
      <c r="U286" s="20"/>
      <c r="V286" s="20"/>
      <c r="W286" s="20"/>
      <c r="X286" s="20"/>
    </row>
    <row r="287" ht="13.5" customHeight="1" spans="1:24">
      <c r="A287" s="20"/>
      <c r="B287" s="20"/>
      <c r="C287" s="20"/>
      <c r="D287" s="20"/>
      <c r="E287" s="20"/>
      <c r="F287" s="20"/>
      <c r="G287" s="20"/>
      <c r="H287" s="20"/>
      <c r="I287" s="20"/>
      <c r="J287" s="20"/>
      <c r="K287" s="20"/>
      <c r="L287" s="20"/>
      <c r="M287" s="20"/>
      <c r="N287" s="20"/>
      <c r="O287" s="20"/>
      <c r="P287" s="20"/>
      <c r="Q287" s="20"/>
      <c r="R287" s="20"/>
      <c r="S287" s="20"/>
      <c r="T287" s="20"/>
      <c r="U287" s="20"/>
      <c r="V287" s="20"/>
      <c r="W287" s="20"/>
      <c r="X287" s="20"/>
    </row>
    <row r="288" ht="13.5" customHeight="1" spans="1:24">
      <c r="A288" s="20"/>
      <c r="B288" s="20"/>
      <c r="C288" s="20"/>
      <c r="D288" s="20"/>
      <c r="E288" s="20"/>
      <c r="F288" s="20"/>
      <c r="G288" s="20"/>
      <c r="H288" s="20"/>
      <c r="I288" s="20"/>
      <c r="J288" s="20"/>
      <c r="K288" s="20"/>
      <c r="L288" s="20"/>
      <c r="M288" s="20"/>
      <c r="N288" s="20"/>
      <c r="O288" s="20"/>
      <c r="P288" s="20"/>
      <c r="Q288" s="20"/>
      <c r="R288" s="20"/>
      <c r="S288" s="20"/>
      <c r="T288" s="20"/>
      <c r="U288" s="20"/>
      <c r="V288" s="20"/>
      <c r="W288" s="20"/>
      <c r="X288" s="20"/>
    </row>
    <row r="289" ht="13.5" customHeight="1" spans="1:24">
      <c r="A289" s="20"/>
      <c r="B289" s="20"/>
      <c r="C289" s="20"/>
      <c r="D289" s="20"/>
      <c r="E289" s="20"/>
      <c r="F289" s="20"/>
      <c r="G289" s="20"/>
      <c r="H289" s="20"/>
      <c r="I289" s="20"/>
      <c r="J289" s="20"/>
      <c r="K289" s="20"/>
      <c r="L289" s="20"/>
      <c r="M289" s="20"/>
      <c r="N289" s="20"/>
      <c r="O289" s="20"/>
      <c r="P289" s="20"/>
      <c r="Q289" s="20"/>
      <c r="R289" s="20"/>
      <c r="S289" s="20"/>
      <c r="T289" s="20"/>
      <c r="U289" s="20"/>
      <c r="V289" s="20"/>
      <c r="W289" s="20"/>
      <c r="X289" s="20"/>
    </row>
    <row r="290" ht="13.5" customHeight="1" spans="1:24">
      <c r="A290" s="20"/>
      <c r="B290" s="20"/>
      <c r="C290" s="20"/>
      <c r="D290" s="20"/>
      <c r="E290" s="20"/>
      <c r="F290" s="20"/>
      <c r="G290" s="20"/>
      <c r="H290" s="20"/>
      <c r="I290" s="20"/>
      <c r="J290" s="20"/>
      <c r="K290" s="20"/>
      <c r="L290" s="20"/>
      <c r="M290" s="20"/>
      <c r="N290" s="20"/>
      <c r="O290" s="20"/>
      <c r="P290" s="20"/>
      <c r="Q290" s="20"/>
      <c r="R290" s="20"/>
      <c r="S290" s="20"/>
      <c r="T290" s="20"/>
      <c r="U290" s="20"/>
      <c r="V290" s="20"/>
      <c r="W290" s="20"/>
      <c r="X290" s="20"/>
    </row>
    <row r="291" ht="13.5" customHeight="1" spans="1:24">
      <c r="A291" s="20"/>
      <c r="B291" s="20"/>
      <c r="C291" s="20"/>
      <c r="D291" s="20"/>
      <c r="E291" s="20"/>
      <c r="F291" s="20"/>
      <c r="G291" s="20"/>
      <c r="H291" s="20"/>
      <c r="I291" s="20"/>
      <c r="J291" s="20"/>
      <c r="K291" s="20"/>
      <c r="L291" s="20"/>
      <c r="M291" s="20"/>
      <c r="N291" s="20"/>
      <c r="O291" s="20"/>
      <c r="P291" s="20"/>
      <c r="Q291" s="20"/>
      <c r="R291" s="20"/>
      <c r="S291" s="20"/>
      <c r="T291" s="20"/>
      <c r="U291" s="20"/>
      <c r="V291" s="20"/>
      <c r="W291" s="20"/>
      <c r="X291" s="20"/>
    </row>
    <row r="292" ht="13.5" customHeight="1" spans="1:24">
      <c r="A292" s="20"/>
      <c r="B292" s="20"/>
      <c r="C292" s="20"/>
      <c r="D292" s="20"/>
      <c r="E292" s="20"/>
      <c r="F292" s="20"/>
      <c r="G292" s="20"/>
      <c r="H292" s="20"/>
      <c r="I292" s="20"/>
      <c r="J292" s="20"/>
      <c r="K292" s="20"/>
      <c r="L292" s="20"/>
      <c r="M292" s="20"/>
      <c r="N292" s="20"/>
      <c r="O292" s="20"/>
      <c r="P292" s="20"/>
      <c r="Q292" s="20"/>
      <c r="R292" s="20"/>
      <c r="S292" s="20"/>
      <c r="T292" s="20"/>
      <c r="U292" s="20"/>
      <c r="V292" s="20"/>
      <c r="W292" s="20"/>
      <c r="X292" s="20"/>
    </row>
    <row r="293" ht="13.5" customHeight="1" spans="1:24">
      <c r="A293" s="20"/>
      <c r="B293" s="20"/>
      <c r="C293" s="20"/>
      <c r="D293" s="20"/>
      <c r="E293" s="20"/>
      <c r="F293" s="20"/>
      <c r="G293" s="20"/>
      <c r="H293" s="20"/>
      <c r="I293" s="20"/>
      <c r="J293" s="20"/>
      <c r="K293" s="20"/>
      <c r="L293" s="20"/>
      <c r="M293" s="20"/>
      <c r="N293" s="20"/>
      <c r="O293" s="20"/>
      <c r="P293" s="20"/>
      <c r="Q293" s="20"/>
      <c r="R293" s="20"/>
      <c r="S293" s="20"/>
      <c r="T293" s="20"/>
      <c r="U293" s="20"/>
      <c r="V293" s="20"/>
      <c r="W293" s="20"/>
      <c r="X293" s="20"/>
    </row>
    <row r="294" ht="13.5" customHeight="1" spans="1:24">
      <c r="A294" s="20"/>
      <c r="B294" s="20"/>
      <c r="C294" s="20"/>
      <c r="D294" s="20"/>
      <c r="E294" s="20"/>
      <c r="F294" s="20"/>
      <c r="G294" s="20"/>
      <c r="H294" s="20"/>
      <c r="I294" s="20"/>
      <c r="J294" s="20"/>
      <c r="K294" s="20"/>
      <c r="L294" s="20"/>
      <c r="M294" s="20"/>
      <c r="N294" s="20"/>
      <c r="O294" s="20"/>
      <c r="P294" s="20"/>
      <c r="Q294" s="20"/>
      <c r="R294" s="20"/>
      <c r="S294" s="20"/>
      <c r="T294" s="20"/>
      <c r="U294" s="20"/>
      <c r="V294" s="20"/>
      <c r="W294" s="20"/>
      <c r="X294" s="20"/>
    </row>
    <row r="295" ht="13.5" customHeight="1" spans="1:24">
      <c r="A295" s="20"/>
      <c r="B295" s="20"/>
      <c r="C295" s="20"/>
      <c r="D295" s="20"/>
      <c r="E295" s="20"/>
      <c r="F295" s="20"/>
      <c r="G295" s="20"/>
      <c r="H295" s="20"/>
      <c r="I295" s="20"/>
      <c r="J295" s="20"/>
      <c r="K295" s="20"/>
      <c r="L295" s="20"/>
      <c r="M295" s="20"/>
      <c r="N295" s="20"/>
      <c r="O295" s="20"/>
      <c r="P295" s="20"/>
      <c r="Q295" s="20"/>
      <c r="R295" s="20"/>
      <c r="S295" s="20"/>
      <c r="T295" s="20"/>
      <c r="U295" s="20"/>
      <c r="V295" s="20"/>
      <c r="W295" s="20"/>
      <c r="X295" s="20"/>
    </row>
    <row r="296" ht="13.5" customHeight="1" spans="1:24">
      <c r="A296" s="20"/>
      <c r="B296" s="20"/>
      <c r="C296" s="20"/>
      <c r="D296" s="20"/>
      <c r="E296" s="20"/>
      <c r="F296" s="20"/>
      <c r="G296" s="20"/>
      <c r="H296" s="20"/>
      <c r="I296" s="20"/>
      <c r="J296" s="20"/>
      <c r="K296" s="20"/>
      <c r="L296" s="20"/>
      <c r="M296" s="20"/>
      <c r="N296" s="20"/>
      <c r="O296" s="20"/>
      <c r="P296" s="20"/>
      <c r="Q296" s="20"/>
      <c r="R296" s="20"/>
      <c r="S296" s="20"/>
      <c r="T296" s="20"/>
      <c r="U296" s="20"/>
      <c r="V296" s="20"/>
      <c r="W296" s="20"/>
      <c r="X296" s="20"/>
    </row>
    <row r="297" ht="13.5" customHeight="1" spans="1:24">
      <c r="A297" s="20"/>
      <c r="B297" s="20"/>
      <c r="C297" s="20"/>
      <c r="D297" s="20"/>
      <c r="E297" s="20"/>
      <c r="F297" s="20"/>
      <c r="G297" s="20"/>
      <c r="H297" s="20"/>
      <c r="I297" s="20"/>
      <c r="J297" s="20"/>
      <c r="K297" s="20"/>
      <c r="L297" s="20"/>
      <c r="M297" s="20"/>
      <c r="N297" s="20"/>
      <c r="O297" s="20"/>
      <c r="P297" s="20"/>
      <c r="Q297" s="20"/>
      <c r="R297" s="20"/>
      <c r="S297" s="20"/>
      <c r="T297" s="20"/>
      <c r="U297" s="20"/>
      <c r="V297" s="20"/>
      <c r="W297" s="20"/>
      <c r="X297" s="20"/>
    </row>
    <row r="298" ht="13.5" customHeight="1" spans="1:24">
      <c r="A298" s="20"/>
      <c r="B298" s="20"/>
      <c r="C298" s="20"/>
      <c r="D298" s="20"/>
      <c r="E298" s="20"/>
      <c r="F298" s="20"/>
      <c r="G298" s="20"/>
      <c r="H298" s="20"/>
      <c r="I298" s="20"/>
      <c r="J298" s="20"/>
      <c r="K298" s="20"/>
      <c r="L298" s="20"/>
      <c r="M298" s="20"/>
      <c r="N298" s="20"/>
      <c r="O298" s="20"/>
      <c r="P298" s="20"/>
      <c r="Q298" s="20"/>
      <c r="R298" s="20"/>
      <c r="S298" s="20"/>
      <c r="T298" s="20"/>
      <c r="U298" s="20"/>
      <c r="V298" s="20"/>
      <c r="W298" s="20"/>
      <c r="X298" s="20"/>
    </row>
    <row r="299" ht="13.5" customHeight="1" spans="1:24">
      <c r="A299" s="20"/>
      <c r="B299" s="20"/>
      <c r="C299" s="20"/>
      <c r="D299" s="20"/>
      <c r="E299" s="20"/>
      <c r="F299" s="20"/>
      <c r="G299" s="20"/>
      <c r="H299" s="20"/>
      <c r="I299" s="20"/>
      <c r="J299" s="20"/>
      <c r="K299" s="20"/>
      <c r="L299" s="20"/>
      <c r="M299" s="20"/>
      <c r="N299" s="20"/>
      <c r="O299" s="20"/>
      <c r="P299" s="20"/>
      <c r="Q299" s="20"/>
      <c r="R299" s="20"/>
      <c r="S299" s="20"/>
      <c r="T299" s="20"/>
      <c r="U299" s="20"/>
      <c r="V299" s="20"/>
      <c r="W299" s="20"/>
      <c r="X299" s="20"/>
    </row>
    <row r="300" ht="13.5" customHeight="1" spans="1:24">
      <c r="A300" s="20"/>
      <c r="B300" s="20"/>
      <c r="C300" s="20"/>
      <c r="D300" s="20"/>
      <c r="E300" s="20"/>
      <c r="F300" s="20"/>
      <c r="G300" s="20"/>
      <c r="H300" s="20"/>
      <c r="I300" s="20"/>
      <c r="J300" s="20"/>
      <c r="K300" s="20"/>
      <c r="L300" s="20"/>
      <c r="M300" s="20"/>
      <c r="N300" s="20"/>
      <c r="O300" s="20"/>
      <c r="P300" s="20"/>
      <c r="Q300" s="20"/>
      <c r="R300" s="20"/>
      <c r="S300" s="20"/>
      <c r="T300" s="20"/>
      <c r="U300" s="20"/>
      <c r="V300" s="20"/>
      <c r="W300" s="20"/>
      <c r="X300" s="20"/>
    </row>
    <row r="301" ht="13.5" customHeight="1" spans="1:24">
      <c r="A301" s="20"/>
      <c r="B301" s="20"/>
      <c r="C301" s="20"/>
      <c r="D301" s="20"/>
      <c r="E301" s="20"/>
      <c r="F301" s="20"/>
      <c r="G301" s="20"/>
      <c r="H301" s="20"/>
      <c r="I301" s="20"/>
      <c r="J301" s="20"/>
      <c r="K301" s="20"/>
      <c r="L301" s="20"/>
      <c r="M301" s="20"/>
      <c r="N301" s="20"/>
      <c r="O301" s="20"/>
      <c r="P301" s="20"/>
      <c r="Q301" s="20"/>
      <c r="R301" s="20"/>
      <c r="S301" s="20"/>
      <c r="T301" s="20"/>
      <c r="U301" s="20"/>
      <c r="V301" s="20"/>
      <c r="W301" s="20"/>
      <c r="X301" s="20"/>
    </row>
    <row r="302" ht="13.5" customHeight="1" spans="1:24">
      <c r="A302" s="20"/>
      <c r="B302" s="20"/>
      <c r="C302" s="20"/>
      <c r="D302" s="20"/>
      <c r="E302" s="20"/>
      <c r="F302" s="20"/>
      <c r="G302" s="20"/>
      <c r="H302" s="20"/>
      <c r="I302" s="20"/>
      <c r="J302" s="20"/>
      <c r="K302" s="20"/>
      <c r="L302" s="20"/>
      <c r="M302" s="20"/>
      <c r="N302" s="20"/>
      <c r="O302" s="20"/>
      <c r="P302" s="20"/>
      <c r="Q302" s="20"/>
      <c r="R302" s="20"/>
      <c r="S302" s="20"/>
      <c r="T302" s="20"/>
      <c r="U302" s="20"/>
      <c r="V302" s="20"/>
      <c r="W302" s="20"/>
      <c r="X302" s="20"/>
    </row>
    <row r="303" ht="13.5" customHeight="1" spans="1:24">
      <c r="A303" s="20"/>
      <c r="B303" s="20"/>
      <c r="C303" s="20"/>
      <c r="D303" s="20"/>
      <c r="E303" s="20"/>
      <c r="F303" s="20"/>
      <c r="G303" s="20"/>
      <c r="H303" s="20"/>
      <c r="I303" s="20"/>
      <c r="J303" s="20"/>
      <c r="K303" s="20"/>
      <c r="L303" s="20"/>
      <c r="M303" s="20"/>
      <c r="N303" s="20"/>
      <c r="O303" s="20"/>
      <c r="P303" s="20"/>
      <c r="Q303" s="20"/>
      <c r="R303" s="20"/>
      <c r="S303" s="20"/>
      <c r="T303" s="20"/>
      <c r="U303" s="20"/>
      <c r="V303" s="20"/>
      <c r="W303" s="20"/>
      <c r="X303" s="20"/>
    </row>
    <row r="304" ht="13.5" customHeight="1" spans="1:24">
      <c r="A304" s="20"/>
      <c r="B304" s="20"/>
      <c r="C304" s="20"/>
      <c r="D304" s="20"/>
      <c r="E304" s="20"/>
      <c r="F304" s="20"/>
      <c r="G304" s="20"/>
      <c r="H304" s="20"/>
      <c r="I304" s="20"/>
      <c r="J304" s="20"/>
      <c r="K304" s="20"/>
      <c r="L304" s="20"/>
      <c r="M304" s="20"/>
      <c r="N304" s="20"/>
      <c r="O304" s="20"/>
      <c r="P304" s="20"/>
      <c r="Q304" s="20"/>
      <c r="R304" s="20"/>
      <c r="S304" s="20"/>
      <c r="T304" s="20"/>
      <c r="U304" s="20"/>
      <c r="V304" s="20"/>
      <c r="W304" s="20"/>
      <c r="X304" s="20"/>
    </row>
    <row r="305" ht="13.5" customHeight="1" spans="1:24">
      <c r="A305" s="20"/>
      <c r="B305" s="20"/>
      <c r="C305" s="20"/>
      <c r="D305" s="20"/>
      <c r="E305" s="20"/>
      <c r="F305" s="20"/>
      <c r="G305" s="20"/>
      <c r="H305" s="20"/>
      <c r="I305" s="20"/>
      <c r="J305" s="20"/>
      <c r="K305" s="20"/>
      <c r="L305" s="20"/>
      <c r="M305" s="20"/>
      <c r="N305" s="20"/>
      <c r="O305" s="20"/>
      <c r="P305" s="20"/>
      <c r="Q305" s="20"/>
      <c r="R305" s="20"/>
      <c r="S305" s="20"/>
      <c r="T305" s="20"/>
      <c r="U305" s="20"/>
      <c r="V305" s="20"/>
      <c r="W305" s="20"/>
      <c r="X305" s="20"/>
    </row>
    <row r="306" ht="13.5" customHeight="1" spans="1:24">
      <c r="A306" s="20"/>
      <c r="B306" s="20"/>
      <c r="C306" s="20"/>
      <c r="D306" s="20"/>
      <c r="E306" s="20"/>
      <c r="F306" s="20"/>
      <c r="G306" s="20"/>
      <c r="H306" s="20"/>
      <c r="I306" s="20"/>
      <c r="J306" s="20"/>
      <c r="K306" s="20"/>
      <c r="L306" s="20"/>
      <c r="M306" s="20"/>
      <c r="N306" s="20"/>
      <c r="O306" s="20"/>
      <c r="P306" s="20"/>
      <c r="Q306" s="20"/>
      <c r="R306" s="20"/>
      <c r="S306" s="20"/>
      <c r="T306" s="20"/>
      <c r="U306" s="20"/>
      <c r="V306" s="20"/>
      <c r="W306" s="20"/>
      <c r="X306" s="20"/>
    </row>
    <row r="307" ht="13.5" customHeight="1" spans="1:24">
      <c r="A307" s="20"/>
      <c r="B307" s="20"/>
      <c r="C307" s="20"/>
      <c r="D307" s="20"/>
      <c r="E307" s="20"/>
      <c r="F307" s="20"/>
      <c r="G307" s="20"/>
      <c r="H307" s="20"/>
      <c r="I307" s="20"/>
      <c r="J307" s="20"/>
      <c r="K307" s="20"/>
      <c r="L307" s="20"/>
      <c r="M307" s="20"/>
      <c r="N307" s="20"/>
      <c r="O307" s="20"/>
      <c r="P307" s="20"/>
      <c r="Q307" s="20"/>
      <c r="R307" s="20"/>
      <c r="S307" s="20"/>
      <c r="T307" s="20"/>
      <c r="U307" s="20"/>
      <c r="V307" s="20"/>
      <c r="W307" s="20"/>
      <c r="X307" s="20"/>
    </row>
    <row r="308" ht="13.5" customHeight="1" spans="1:24">
      <c r="A308" s="20"/>
      <c r="B308" s="20"/>
      <c r="C308" s="20"/>
      <c r="D308" s="20"/>
      <c r="E308" s="20"/>
      <c r="F308" s="20"/>
      <c r="G308" s="20"/>
      <c r="H308" s="20"/>
      <c r="I308" s="20"/>
      <c r="J308" s="20"/>
      <c r="K308" s="20"/>
      <c r="L308" s="20"/>
      <c r="M308" s="20"/>
      <c r="N308" s="20"/>
      <c r="O308" s="20"/>
      <c r="P308" s="20"/>
      <c r="Q308" s="20"/>
      <c r="R308" s="20"/>
      <c r="S308" s="20"/>
      <c r="T308" s="20"/>
      <c r="U308" s="20"/>
      <c r="V308" s="20"/>
      <c r="W308" s="20"/>
      <c r="X308" s="20"/>
    </row>
    <row r="309" ht="13.5" customHeight="1" spans="1:24">
      <c r="A309" s="20"/>
      <c r="B309" s="20"/>
      <c r="C309" s="20"/>
      <c r="D309" s="20"/>
      <c r="E309" s="20"/>
      <c r="F309" s="20"/>
      <c r="G309" s="20"/>
      <c r="H309" s="20"/>
      <c r="I309" s="20"/>
      <c r="J309" s="20"/>
      <c r="K309" s="20"/>
      <c r="L309" s="20"/>
      <c r="M309" s="20"/>
      <c r="N309" s="20"/>
      <c r="O309" s="20"/>
      <c r="P309" s="20"/>
      <c r="Q309" s="20"/>
      <c r="R309" s="20"/>
      <c r="S309" s="20"/>
      <c r="T309" s="20"/>
      <c r="U309" s="20"/>
      <c r="V309" s="20"/>
      <c r="W309" s="20"/>
      <c r="X309" s="20"/>
    </row>
    <row r="310" ht="13.5" customHeight="1" spans="1:24">
      <c r="A310" s="20"/>
      <c r="B310" s="20"/>
      <c r="C310" s="20"/>
      <c r="D310" s="20"/>
      <c r="E310" s="20"/>
      <c r="F310" s="20"/>
      <c r="G310" s="20"/>
      <c r="H310" s="20"/>
      <c r="I310" s="20"/>
      <c r="J310" s="20"/>
      <c r="K310" s="20"/>
      <c r="L310" s="20"/>
      <c r="M310" s="20"/>
      <c r="N310" s="20"/>
      <c r="O310" s="20"/>
      <c r="P310" s="20"/>
      <c r="Q310" s="20"/>
      <c r="R310" s="20"/>
      <c r="S310" s="20"/>
      <c r="T310" s="20"/>
      <c r="U310" s="20"/>
      <c r="V310" s="20"/>
      <c r="W310" s="20"/>
      <c r="X310" s="20"/>
    </row>
    <row r="311" ht="13.5" customHeight="1" spans="1:24">
      <c r="A311" s="20"/>
      <c r="B311" s="20"/>
      <c r="C311" s="20"/>
      <c r="D311" s="20"/>
      <c r="E311" s="20"/>
      <c r="F311" s="20"/>
      <c r="G311" s="20"/>
      <c r="H311" s="20"/>
      <c r="I311" s="20"/>
      <c r="J311" s="20"/>
      <c r="K311" s="20"/>
      <c r="L311" s="20"/>
      <c r="M311" s="20"/>
      <c r="N311" s="20"/>
      <c r="O311" s="20"/>
      <c r="P311" s="20"/>
      <c r="Q311" s="20"/>
      <c r="R311" s="20"/>
      <c r="S311" s="20"/>
      <c r="T311" s="20"/>
      <c r="U311" s="20"/>
      <c r="V311" s="20"/>
      <c r="W311" s="20"/>
      <c r="X311" s="20"/>
    </row>
    <row r="312" ht="13.5" customHeight="1" spans="1:24">
      <c r="A312" s="20"/>
      <c r="B312" s="20"/>
      <c r="C312" s="20"/>
      <c r="D312" s="20"/>
      <c r="E312" s="20"/>
      <c r="F312" s="20"/>
      <c r="G312" s="20"/>
      <c r="H312" s="20"/>
      <c r="I312" s="20"/>
      <c r="J312" s="20"/>
      <c r="K312" s="20"/>
      <c r="L312" s="20"/>
      <c r="M312" s="20"/>
      <c r="N312" s="20"/>
      <c r="O312" s="20"/>
      <c r="P312" s="20"/>
      <c r="Q312" s="20"/>
      <c r="R312" s="20"/>
      <c r="S312" s="20"/>
      <c r="T312" s="20"/>
      <c r="U312" s="20"/>
      <c r="V312" s="20"/>
      <c r="W312" s="20"/>
      <c r="X312" s="20"/>
    </row>
    <row r="313" ht="13.5" customHeight="1" spans="1:24">
      <c r="A313" s="20"/>
      <c r="B313" s="20"/>
      <c r="C313" s="20"/>
      <c r="D313" s="20"/>
      <c r="E313" s="20"/>
      <c r="F313" s="20"/>
      <c r="G313" s="20"/>
      <c r="H313" s="20"/>
      <c r="I313" s="20"/>
      <c r="J313" s="20"/>
      <c r="K313" s="20"/>
      <c r="L313" s="20"/>
      <c r="M313" s="20"/>
      <c r="N313" s="20"/>
      <c r="O313" s="20"/>
      <c r="P313" s="20"/>
      <c r="Q313" s="20"/>
      <c r="R313" s="20"/>
      <c r="S313" s="20"/>
      <c r="T313" s="20"/>
      <c r="U313" s="20"/>
      <c r="V313" s="20"/>
      <c r="W313" s="20"/>
      <c r="X313" s="20"/>
    </row>
    <row r="314" ht="13.5" customHeight="1" spans="1:24">
      <c r="A314" s="20"/>
      <c r="B314" s="20"/>
      <c r="C314" s="20"/>
      <c r="D314" s="20"/>
      <c r="E314" s="20"/>
      <c r="F314" s="20"/>
      <c r="G314" s="20"/>
      <c r="H314" s="20"/>
      <c r="I314" s="20"/>
      <c r="J314" s="20"/>
      <c r="K314" s="20"/>
      <c r="L314" s="20"/>
      <c r="M314" s="20"/>
      <c r="N314" s="20"/>
      <c r="O314" s="20"/>
      <c r="P314" s="20"/>
      <c r="Q314" s="20"/>
      <c r="R314" s="20"/>
      <c r="S314" s="20"/>
      <c r="T314" s="20"/>
      <c r="U314" s="20"/>
      <c r="V314" s="20"/>
      <c r="W314" s="20"/>
      <c r="X314" s="20"/>
    </row>
    <row r="315" ht="13.5" customHeight="1" spans="1:24">
      <c r="A315" s="20"/>
      <c r="B315" s="20"/>
      <c r="C315" s="20"/>
      <c r="D315" s="20"/>
      <c r="E315" s="20"/>
      <c r="F315" s="20"/>
      <c r="G315" s="20"/>
      <c r="H315" s="20"/>
      <c r="I315" s="20"/>
      <c r="J315" s="20"/>
      <c r="K315" s="20"/>
      <c r="L315" s="20"/>
      <c r="M315" s="20"/>
      <c r="N315" s="20"/>
      <c r="O315" s="20"/>
      <c r="P315" s="20"/>
      <c r="Q315" s="20"/>
      <c r="R315" s="20"/>
      <c r="S315" s="20"/>
      <c r="T315" s="20"/>
      <c r="U315" s="20"/>
      <c r="V315" s="20"/>
      <c r="W315" s="20"/>
      <c r="X315" s="20"/>
    </row>
    <row r="316" ht="13.5" customHeight="1" spans="1:24">
      <c r="A316" s="20"/>
      <c r="B316" s="20"/>
      <c r="C316" s="20"/>
      <c r="D316" s="20"/>
      <c r="E316" s="20"/>
      <c r="F316" s="20"/>
      <c r="G316" s="20"/>
      <c r="H316" s="20"/>
      <c r="I316" s="20"/>
      <c r="J316" s="20"/>
      <c r="K316" s="20"/>
      <c r="L316" s="20"/>
      <c r="M316" s="20"/>
      <c r="N316" s="20"/>
      <c r="O316" s="20"/>
      <c r="P316" s="20"/>
      <c r="Q316" s="20"/>
      <c r="R316" s="20"/>
      <c r="S316" s="20"/>
      <c r="T316" s="20"/>
      <c r="U316" s="20"/>
      <c r="V316" s="20"/>
      <c r="W316" s="20"/>
      <c r="X316" s="20"/>
    </row>
    <row r="317" ht="13.5" customHeight="1" spans="1:24">
      <c r="A317" s="20"/>
      <c r="B317" s="20"/>
      <c r="C317" s="20"/>
      <c r="D317" s="20"/>
      <c r="E317" s="20"/>
      <c r="F317" s="20"/>
      <c r="G317" s="20"/>
      <c r="H317" s="20"/>
      <c r="I317" s="20"/>
      <c r="J317" s="20"/>
      <c r="K317" s="20"/>
      <c r="L317" s="20"/>
      <c r="M317" s="20"/>
      <c r="N317" s="20"/>
      <c r="O317" s="20"/>
      <c r="P317" s="20"/>
      <c r="Q317" s="20"/>
      <c r="R317" s="20"/>
      <c r="S317" s="20"/>
      <c r="T317" s="20"/>
      <c r="U317" s="20"/>
      <c r="V317" s="20"/>
      <c r="W317" s="20"/>
      <c r="X317" s="20"/>
    </row>
    <row r="318" ht="13.5" customHeight="1" spans="1:24">
      <c r="A318" s="20"/>
      <c r="B318" s="20"/>
      <c r="C318" s="20"/>
      <c r="D318" s="20"/>
      <c r="E318" s="20"/>
      <c r="F318" s="20"/>
      <c r="G318" s="20"/>
      <c r="H318" s="20"/>
      <c r="I318" s="20"/>
      <c r="J318" s="20"/>
      <c r="K318" s="20"/>
      <c r="L318" s="20"/>
      <c r="M318" s="20"/>
      <c r="N318" s="20"/>
      <c r="O318" s="20"/>
      <c r="P318" s="20"/>
      <c r="Q318" s="20"/>
      <c r="R318" s="20"/>
      <c r="S318" s="20"/>
      <c r="T318" s="20"/>
      <c r="U318" s="20"/>
      <c r="V318" s="20"/>
      <c r="W318" s="20"/>
      <c r="X318" s="20"/>
    </row>
    <row r="319" ht="13.5" customHeight="1" spans="1:24">
      <c r="A319" s="20"/>
      <c r="B319" s="20"/>
      <c r="C319" s="20"/>
      <c r="D319" s="20"/>
      <c r="E319" s="20"/>
      <c r="F319" s="20"/>
      <c r="G319" s="20"/>
      <c r="H319" s="20"/>
      <c r="I319" s="20"/>
      <c r="J319" s="20"/>
      <c r="K319" s="20"/>
      <c r="L319" s="20"/>
      <c r="M319" s="20"/>
      <c r="N319" s="20"/>
      <c r="O319" s="20"/>
      <c r="P319" s="20"/>
      <c r="Q319" s="20"/>
      <c r="R319" s="20"/>
      <c r="S319" s="20"/>
      <c r="T319" s="20"/>
      <c r="U319" s="20"/>
      <c r="V319" s="20"/>
      <c r="W319" s="20"/>
      <c r="X319" s="20"/>
    </row>
    <row r="320" ht="13.5" customHeight="1" spans="1:24">
      <c r="A320" s="20"/>
      <c r="B320" s="20"/>
      <c r="C320" s="20"/>
      <c r="D320" s="20"/>
      <c r="E320" s="20"/>
      <c r="F320" s="20"/>
      <c r="G320" s="20"/>
      <c r="H320" s="20"/>
      <c r="I320" s="20"/>
      <c r="J320" s="20"/>
      <c r="K320" s="20"/>
      <c r="L320" s="20"/>
      <c r="M320" s="20"/>
      <c r="N320" s="20"/>
      <c r="O320" s="20"/>
      <c r="P320" s="20"/>
      <c r="Q320" s="20"/>
      <c r="R320" s="20"/>
      <c r="S320" s="20"/>
      <c r="T320" s="20"/>
      <c r="U320" s="20"/>
      <c r="V320" s="20"/>
      <c r="W320" s="20"/>
      <c r="X320" s="20"/>
    </row>
    <row r="321" ht="13.5" customHeight="1" spans="1:24">
      <c r="A321" s="20"/>
      <c r="B321" s="20"/>
      <c r="C321" s="20"/>
      <c r="D321" s="20"/>
      <c r="E321" s="20"/>
      <c r="F321" s="20"/>
      <c r="G321" s="20"/>
      <c r="H321" s="20"/>
      <c r="I321" s="20"/>
      <c r="J321" s="20"/>
      <c r="K321" s="20"/>
      <c r="L321" s="20"/>
      <c r="M321" s="20"/>
      <c r="N321" s="20"/>
      <c r="O321" s="20"/>
      <c r="P321" s="20"/>
      <c r="Q321" s="20"/>
      <c r="R321" s="20"/>
      <c r="S321" s="20"/>
      <c r="T321" s="20"/>
      <c r="U321" s="20"/>
      <c r="V321" s="20"/>
      <c r="W321" s="20"/>
      <c r="X321" s="20"/>
    </row>
    <row r="322" ht="13.5" customHeight="1" spans="1:24">
      <c r="A322" s="20"/>
      <c r="B322" s="20"/>
      <c r="C322" s="20"/>
      <c r="D322" s="20"/>
      <c r="E322" s="20"/>
      <c r="F322" s="20"/>
      <c r="G322" s="20"/>
      <c r="H322" s="20"/>
      <c r="I322" s="20"/>
      <c r="J322" s="20"/>
      <c r="K322" s="20"/>
      <c r="L322" s="20"/>
      <c r="M322" s="20"/>
      <c r="N322" s="20"/>
      <c r="O322" s="20"/>
      <c r="P322" s="20"/>
      <c r="Q322" s="20"/>
      <c r="R322" s="20"/>
      <c r="S322" s="20"/>
      <c r="T322" s="20"/>
      <c r="U322" s="20"/>
      <c r="V322" s="20"/>
      <c r="W322" s="20"/>
      <c r="X322" s="20"/>
    </row>
    <row r="323" ht="13.5" customHeight="1" spans="1:24">
      <c r="A323" s="20"/>
      <c r="B323" s="20"/>
      <c r="C323" s="20"/>
      <c r="D323" s="20"/>
      <c r="E323" s="20"/>
      <c r="F323" s="20"/>
      <c r="G323" s="20"/>
      <c r="H323" s="20"/>
      <c r="I323" s="20"/>
      <c r="J323" s="20"/>
      <c r="K323" s="20"/>
      <c r="L323" s="20"/>
      <c r="M323" s="20"/>
      <c r="N323" s="20"/>
      <c r="O323" s="20"/>
      <c r="P323" s="20"/>
      <c r="Q323" s="20"/>
      <c r="R323" s="20"/>
      <c r="S323" s="20"/>
      <c r="T323" s="20"/>
      <c r="U323" s="20"/>
      <c r="V323" s="20"/>
      <c r="W323" s="20"/>
      <c r="X323" s="20"/>
    </row>
    <row r="324" ht="13.5" customHeight="1" spans="1:24">
      <c r="A324" s="20"/>
      <c r="B324" s="20"/>
      <c r="C324" s="20"/>
      <c r="D324" s="20"/>
      <c r="E324" s="20"/>
      <c r="F324" s="20"/>
      <c r="G324" s="20"/>
      <c r="H324" s="20"/>
      <c r="I324" s="20"/>
      <c r="J324" s="20"/>
      <c r="K324" s="20"/>
      <c r="L324" s="20"/>
      <c r="M324" s="20"/>
      <c r="N324" s="20"/>
      <c r="O324" s="20"/>
      <c r="P324" s="20"/>
      <c r="Q324" s="20"/>
      <c r="R324" s="20"/>
      <c r="S324" s="20"/>
      <c r="T324" s="20"/>
      <c r="U324" s="20"/>
      <c r="V324" s="20"/>
      <c r="W324" s="20"/>
      <c r="X324" s="20"/>
    </row>
    <row r="325" ht="13.5" customHeight="1" spans="1:24">
      <c r="A325" s="20"/>
      <c r="B325" s="20"/>
      <c r="C325" s="20"/>
      <c r="D325" s="20"/>
      <c r="E325" s="20"/>
      <c r="F325" s="20"/>
      <c r="G325" s="20"/>
      <c r="H325" s="20"/>
      <c r="I325" s="20"/>
      <c r="J325" s="20"/>
      <c r="K325" s="20"/>
      <c r="L325" s="20"/>
      <c r="M325" s="20"/>
      <c r="N325" s="20"/>
      <c r="O325" s="20"/>
      <c r="P325" s="20"/>
      <c r="Q325" s="20"/>
      <c r="R325" s="20"/>
      <c r="S325" s="20"/>
      <c r="T325" s="20"/>
      <c r="U325" s="20"/>
      <c r="V325" s="20"/>
      <c r="W325" s="20"/>
      <c r="X325" s="20"/>
    </row>
    <row r="326" ht="13.5" customHeight="1" spans="1:24">
      <c r="A326" s="20"/>
      <c r="B326" s="20"/>
      <c r="C326" s="20"/>
      <c r="D326" s="20"/>
      <c r="E326" s="20"/>
      <c r="F326" s="20"/>
      <c r="G326" s="20"/>
      <c r="H326" s="20"/>
      <c r="I326" s="20"/>
      <c r="J326" s="20"/>
      <c r="K326" s="20"/>
      <c r="L326" s="20"/>
      <c r="M326" s="20"/>
      <c r="N326" s="20"/>
      <c r="O326" s="20"/>
      <c r="P326" s="20"/>
      <c r="Q326" s="20"/>
      <c r="R326" s="20"/>
      <c r="S326" s="20"/>
      <c r="T326" s="20"/>
      <c r="U326" s="20"/>
      <c r="V326" s="20"/>
      <c r="W326" s="20"/>
      <c r="X326" s="20"/>
    </row>
    <row r="327" ht="13.5" customHeight="1" spans="1:24">
      <c r="A327" s="20"/>
      <c r="B327" s="20"/>
      <c r="C327" s="20"/>
      <c r="D327" s="20"/>
      <c r="E327" s="20"/>
      <c r="F327" s="20"/>
      <c r="G327" s="20"/>
      <c r="H327" s="20"/>
      <c r="I327" s="20"/>
      <c r="J327" s="20"/>
      <c r="K327" s="20"/>
      <c r="L327" s="20"/>
      <c r="M327" s="20"/>
      <c r="N327" s="20"/>
      <c r="O327" s="20"/>
      <c r="P327" s="20"/>
      <c r="Q327" s="20"/>
      <c r="R327" s="20"/>
      <c r="S327" s="20"/>
      <c r="T327" s="20"/>
      <c r="U327" s="20"/>
      <c r="V327" s="20"/>
      <c r="W327" s="20"/>
      <c r="X327" s="20"/>
    </row>
    <row r="328" ht="13.5" customHeight="1" spans="1:24">
      <c r="A328" s="20"/>
      <c r="B328" s="20"/>
      <c r="C328" s="20"/>
      <c r="D328" s="20"/>
      <c r="E328" s="20"/>
      <c r="F328" s="20"/>
      <c r="G328" s="20"/>
      <c r="H328" s="20"/>
      <c r="I328" s="20"/>
      <c r="J328" s="20"/>
      <c r="K328" s="20"/>
      <c r="L328" s="20"/>
      <c r="M328" s="20"/>
      <c r="N328" s="20"/>
      <c r="O328" s="20"/>
      <c r="P328" s="20"/>
      <c r="Q328" s="20"/>
      <c r="R328" s="20"/>
      <c r="S328" s="20"/>
      <c r="T328" s="20"/>
      <c r="U328" s="20"/>
      <c r="V328" s="20"/>
      <c r="W328" s="20"/>
      <c r="X328" s="20"/>
    </row>
    <row r="329" ht="13.5" customHeight="1" spans="1:24">
      <c r="A329" s="20"/>
      <c r="B329" s="20"/>
      <c r="C329" s="20"/>
      <c r="D329" s="20"/>
      <c r="E329" s="20"/>
      <c r="F329" s="20"/>
      <c r="G329" s="20"/>
      <c r="H329" s="20"/>
      <c r="I329" s="20"/>
      <c r="J329" s="20"/>
      <c r="K329" s="20"/>
      <c r="L329" s="20"/>
      <c r="M329" s="20"/>
      <c r="N329" s="20"/>
      <c r="O329" s="20"/>
      <c r="P329" s="20"/>
      <c r="Q329" s="20"/>
      <c r="R329" s="20"/>
      <c r="S329" s="20"/>
      <c r="T329" s="20"/>
      <c r="U329" s="20"/>
      <c r="V329" s="20"/>
      <c r="W329" s="20"/>
      <c r="X329" s="20"/>
    </row>
    <row r="330" ht="13.5" customHeight="1" spans="1:24">
      <c r="A330" s="20"/>
      <c r="B330" s="20"/>
      <c r="C330" s="20"/>
      <c r="D330" s="20"/>
      <c r="E330" s="20"/>
      <c r="F330" s="20"/>
      <c r="G330" s="20"/>
      <c r="H330" s="20"/>
      <c r="I330" s="20"/>
      <c r="J330" s="20"/>
      <c r="K330" s="20"/>
      <c r="L330" s="20"/>
      <c r="M330" s="20"/>
      <c r="N330" s="20"/>
      <c r="O330" s="20"/>
      <c r="P330" s="20"/>
      <c r="Q330" s="20"/>
      <c r="R330" s="20"/>
      <c r="S330" s="20"/>
      <c r="T330" s="20"/>
      <c r="U330" s="20"/>
      <c r="V330" s="20"/>
      <c r="W330" s="20"/>
      <c r="X330" s="20"/>
    </row>
    <row r="331" ht="13.5" customHeight="1" spans="1:24">
      <c r="A331" s="20"/>
      <c r="B331" s="20"/>
      <c r="C331" s="20"/>
      <c r="D331" s="20"/>
      <c r="E331" s="20"/>
      <c r="F331" s="20"/>
      <c r="G331" s="20"/>
      <c r="H331" s="20"/>
      <c r="I331" s="20"/>
      <c r="J331" s="20"/>
      <c r="K331" s="20"/>
      <c r="L331" s="20"/>
      <c r="M331" s="20"/>
      <c r="N331" s="20"/>
      <c r="O331" s="20"/>
      <c r="P331" s="20"/>
      <c r="Q331" s="20"/>
      <c r="R331" s="20"/>
      <c r="S331" s="20"/>
      <c r="T331" s="20"/>
      <c r="U331" s="20"/>
      <c r="V331" s="20"/>
      <c r="W331" s="20"/>
      <c r="X331" s="20"/>
    </row>
    <row r="332" ht="13.5" customHeight="1" spans="1:24">
      <c r="A332" s="20"/>
      <c r="B332" s="20"/>
      <c r="C332" s="20"/>
      <c r="D332" s="20"/>
      <c r="E332" s="20"/>
      <c r="F332" s="20"/>
      <c r="G332" s="20"/>
      <c r="H332" s="20"/>
      <c r="I332" s="20"/>
      <c r="J332" s="20"/>
      <c r="K332" s="20"/>
      <c r="L332" s="20"/>
      <c r="M332" s="20"/>
      <c r="N332" s="20"/>
      <c r="O332" s="20"/>
      <c r="P332" s="20"/>
      <c r="Q332" s="20"/>
      <c r="R332" s="20"/>
      <c r="S332" s="20"/>
      <c r="T332" s="20"/>
      <c r="U332" s="20"/>
      <c r="V332" s="20"/>
      <c r="W332" s="20"/>
      <c r="X332" s="20"/>
    </row>
    <row r="333" ht="13.5" customHeight="1" spans="1:24">
      <c r="A333" s="20"/>
      <c r="B333" s="20"/>
      <c r="C333" s="20"/>
      <c r="D333" s="20"/>
      <c r="E333" s="20"/>
      <c r="F333" s="20"/>
      <c r="G333" s="20"/>
      <c r="H333" s="20"/>
      <c r="I333" s="20"/>
      <c r="J333" s="20"/>
      <c r="K333" s="20"/>
      <c r="L333" s="20"/>
      <c r="M333" s="20"/>
      <c r="N333" s="20"/>
      <c r="O333" s="20"/>
      <c r="P333" s="20"/>
      <c r="Q333" s="20"/>
      <c r="R333" s="20"/>
      <c r="S333" s="20"/>
      <c r="T333" s="20"/>
      <c r="U333" s="20"/>
      <c r="V333" s="20"/>
      <c r="W333" s="20"/>
      <c r="X333" s="20"/>
    </row>
    <row r="334" ht="13.5" customHeight="1" spans="1:24">
      <c r="A334" s="20"/>
      <c r="B334" s="20"/>
      <c r="C334" s="20"/>
      <c r="D334" s="20"/>
      <c r="E334" s="20"/>
      <c r="F334" s="20"/>
      <c r="G334" s="20"/>
      <c r="H334" s="20"/>
      <c r="I334" s="20"/>
      <c r="J334" s="20"/>
      <c r="K334" s="20"/>
      <c r="L334" s="20"/>
      <c r="M334" s="20"/>
      <c r="N334" s="20"/>
      <c r="O334" s="20"/>
      <c r="P334" s="20"/>
      <c r="Q334" s="20"/>
      <c r="R334" s="20"/>
      <c r="S334" s="20"/>
      <c r="T334" s="20"/>
      <c r="U334" s="20"/>
      <c r="V334" s="20"/>
      <c r="W334" s="20"/>
      <c r="X334" s="20"/>
    </row>
    <row r="335" ht="13.5" customHeight="1" spans="1:24">
      <c r="A335" s="20"/>
      <c r="B335" s="20"/>
      <c r="C335" s="20"/>
      <c r="D335" s="20"/>
      <c r="E335" s="20"/>
      <c r="F335" s="20"/>
      <c r="G335" s="20"/>
      <c r="H335" s="20"/>
      <c r="I335" s="20"/>
      <c r="J335" s="20"/>
      <c r="K335" s="20"/>
      <c r="L335" s="20"/>
      <c r="M335" s="20"/>
      <c r="N335" s="20"/>
      <c r="O335" s="20"/>
      <c r="P335" s="20"/>
      <c r="Q335" s="20"/>
      <c r="R335" s="20"/>
      <c r="S335" s="20"/>
      <c r="T335" s="20"/>
      <c r="U335" s="20"/>
      <c r="V335" s="20"/>
      <c r="W335" s="20"/>
      <c r="X335" s="20"/>
    </row>
    <row r="336" ht="13.5" customHeight="1" spans="1:24">
      <c r="A336" s="20"/>
      <c r="B336" s="20"/>
      <c r="C336" s="20"/>
      <c r="D336" s="20"/>
      <c r="E336" s="20"/>
      <c r="F336" s="20"/>
      <c r="G336" s="20"/>
      <c r="H336" s="20"/>
      <c r="I336" s="20"/>
      <c r="J336" s="20"/>
      <c r="K336" s="20"/>
      <c r="L336" s="20"/>
      <c r="M336" s="20"/>
      <c r="N336" s="20"/>
      <c r="O336" s="20"/>
      <c r="P336" s="20"/>
      <c r="Q336" s="20"/>
      <c r="R336" s="20"/>
      <c r="S336" s="20"/>
      <c r="T336" s="20"/>
      <c r="U336" s="20"/>
      <c r="V336" s="20"/>
      <c r="W336" s="20"/>
      <c r="X336" s="20"/>
    </row>
    <row r="337" ht="13.5" customHeight="1" spans="1:24">
      <c r="A337" s="20"/>
      <c r="B337" s="20"/>
      <c r="C337" s="20"/>
      <c r="D337" s="20"/>
      <c r="E337" s="20"/>
      <c r="F337" s="20"/>
      <c r="G337" s="20"/>
      <c r="H337" s="20"/>
      <c r="I337" s="20"/>
      <c r="J337" s="20"/>
      <c r="K337" s="20"/>
      <c r="L337" s="20"/>
      <c r="M337" s="20"/>
      <c r="N337" s="20"/>
      <c r="O337" s="20"/>
      <c r="P337" s="20"/>
      <c r="Q337" s="20"/>
      <c r="R337" s="20"/>
      <c r="S337" s="20"/>
      <c r="T337" s="20"/>
      <c r="U337" s="20"/>
      <c r="V337" s="20"/>
      <c r="W337" s="20"/>
      <c r="X337" s="20"/>
    </row>
    <row r="338" ht="13.5" customHeight="1" spans="1:24">
      <c r="A338" s="20"/>
      <c r="B338" s="20"/>
      <c r="C338" s="20"/>
      <c r="D338" s="20"/>
      <c r="E338" s="20"/>
      <c r="F338" s="20"/>
      <c r="G338" s="20"/>
      <c r="H338" s="20"/>
      <c r="I338" s="20"/>
      <c r="J338" s="20"/>
      <c r="K338" s="20"/>
      <c r="L338" s="20"/>
      <c r="M338" s="20"/>
      <c r="N338" s="20"/>
      <c r="O338" s="20"/>
      <c r="P338" s="20"/>
      <c r="Q338" s="20"/>
      <c r="R338" s="20"/>
      <c r="S338" s="20"/>
      <c r="T338" s="20"/>
      <c r="U338" s="20"/>
      <c r="V338" s="20"/>
      <c r="W338" s="20"/>
      <c r="X338" s="20"/>
    </row>
    <row r="339" ht="13.5" customHeight="1" spans="1:24">
      <c r="A339" s="20"/>
      <c r="B339" s="20"/>
      <c r="C339" s="20"/>
      <c r="D339" s="20"/>
      <c r="E339" s="20"/>
      <c r="F339" s="20"/>
      <c r="G339" s="20"/>
      <c r="H339" s="20"/>
      <c r="I339" s="20"/>
      <c r="J339" s="20"/>
      <c r="K339" s="20"/>
      <c r="L339" s="20"/>
      <c r="M339" s="20"/>
      <c r="N339" s="20"/>
      <c r="O339" s="20"/>
      <c r="P339" s="20"/>
      <c r="Q339" s="20"/>
      <c r="R339" s="20"/>
      <c r="S339" s="20"/>
      <c r="T339" s="20"/>
      <c r="U339" s="20"/>
      <c r="V339" s="20"/>
      <c r="W339" s="20"/>
      <c r="X339" s="20"/>
    </row>
    <row r="340" ht="13.5" customHeight="1" spans="1:24">
      <c r="A340" s="20"/>
      <c r="B340" s="20"/>
      <c r="C340" s="20"/>
      <c r="D340" s="20"/>
      <c r="E340" s="20"/>
      <c r="F340" s="20"/>
      <c r="G340" s="20"/>
      <c r="H340" s="20"/>
      <c r="I340" s="20"/>
      <c r="J340" s="20"/>
      <c r="K340" s="20"/>
      <c r="L340" s="20"/>
      <c r="M340" s="20"/>
      <c r="N340" s="20"/>
      <c r="O340" s="20"/>
      <c r="P340" s="20"/>
      <c r="Q340" s="20"/>
      <c r="R340" s="20"/>
      <c r="S340" s="20"/>
      <c r="T340" s="20"/>
      <c r="U340" s="20"/>
      <c r="V340" s="20"/>
      <c r="W340" s="20"/>
      <c r="X340" s="20"/>
    </row>
    <row r="341" ht="13.5" customHeight="1" spans="1:24">
      <c r="A341" s="20"/>
      <c r="B341" s="20"/>
      <c r="C341" s="20"/>
      <c r="D341" s="20"/>
      <c r="E341" s="20"/>
      <c r="F341" s="20"/>
      <c r="G341" s="20"/>
      <c r="H341" s="20"/>
      <c r="I341" s="20"/>
      <c r="J341" s="20"/>
      <c r="K341" s="20"/>
      <c r="L341" s="20"/>
      <c r="M341" s="20"/>
      <c r="N341" s="20"/>
      <c r="O341" s="20"/>
      <c r="P341" s="20"/>
      <c r="Q341" s="20"/>
      <c r="R341" s="20"/>
      <c r="S341" s="20"/>
      <c r="T341" s="20"/>
      <c r="U341" s="20"/>
      <c r="V341" s="20"/>
      <c r="W341" s="20"/>
      <c r="X341" s="20"/>
    </row>
    <row r="342" ht="13.5" customHeight="1" spans="1:24">
      <c r="A342" s="20"/>
      <c r="B342" s="20"/>
      <c r="C342" s="20"/>
      <c r="D342" s="20"/>
      <c r="E342" s="20"/>
      <c r="F342" s="20"/>
      <c r="G342" s="20"/>
      <c r="H342" s="20"/>
      <c r="I342" s="20"/>
      <c r="J342" s="20"/>
      <c r="K342" s="20"/>
      <c r="L342" s="20"/>
      <c r="M342" s="20"/>
      <c r="N342" s="20"/>
      <c r="O342" s="20"/>
      <c r="P342" s="20"/>
      <c r="Q342" s="20"/>
      <c r="R342" s="20"/>
      <c r="S342" s="20"/>
      <c r="T342" s="20"/>
      <c r="U342" s="20"/>
      <c r="V342" s="20"/>
      <c r="W342" s="20"/>
      <c r="X342" s="20"/>
    </row>
    <row r="343" ht="13.5" customHeight="1" spans="1:24">
      <c r="A343" s="20"/>
      <c r="B343" s="20"/>
      <c r="C343" s="20"/>
      <c r="D343" s="20"/>
      <c r="E343" s="20"/>
      <c r="F343" s="20"/>
      <c r="G343" s="20"/>
      <c r="H343" s="20"/>
      <c r="I343" s="20"/>
      <c r="J343" s="20"/>
      <c r="K343" s="20"/>
      <c r="L343" s="20"/>
      <c r="M343" s="20"/>
      <c r="N343" s="20"/>
      <c r="O343" s="20"/>
      <c r="P343" s="20"/>
      <c r="Q343" s="20"/>
      <c r="R343" s="20"/>
      <c r="S343" s="20"/>
      <c r="T343" s="20"/>
      <c r="U343" s="20"/>
      <c r="V343" s="20"/>
      <c r="W343" s="20"/>
      <c r="X343" s="20"/>
    </row>
    <row r="344" ht="13.5" customHeight="1" spans="1:24">
      <c r="A344" s="20"/>
      <c r="B344" s="20"/>
      <c r="C344" s="20"/>
      <c r="D344" s="20"/>
      <c r="E344" s="20"/>
      <c r="F344" s="20"/>
      <c r="G344" s="20"/>
      <c r="H344" s="20"/>
      <c r="I344" s="20"/>
      <c r="J344" s="20"/>
      <c r="K344" s="20"/>
      <c r="L344" s="20"/>
      <c r="M344" s="20"/>
      <c r="N344" s="20"/>
      <c r="O344" s="20"/>
      <c r="P344" s="20"/>
      <c r="Q344" s="20"/>
      <c r="R344" s="20"/>
      <c r="S344" s="20"/>
      <c r="T344" s="20"/>
      <c r="U344" s="20"/>
      <c r="V344" s="20"/>
      <c r="W344" s="20"/>
      <c r="X344" s="20"/>
    </row>
    <row r="345" ht="13.5" customHeight="1" spans="1:24">
      <c r="A345" s="20"/>
      <c r="B345" s="20"/>
      <c r="C345" s="20"/>
      <c r="D345" s="20"/>
      <c r="E345" s="20"/>
      <c r="F345" s="20"/>
      <c r="G345" s="20"/>
      <c r="H345" s="20"/>
      <c r="I345" s="20"/>
      <c r="J345" s="20"/>
      <c r="K345" s="20"/>
      <c r="L345" s="20"/>
      <c r="M345" s="20"/>
      <c r="N345" s="20"/>
      <c r="O345" s="20"/>
      <c r="P345" s="20"/>
      <c r="Q345" s="20"/>
      <c r="R345" s="20"/>
      <c r="S345" s="20"/>
      <c r="T345" s="20"/>
      <c r="U345" s="20"/>
      <c r="V345" s="20"/>
      <c r="W345" s="20"/>
      <c r="X345" s="20"/>
    </row>
    <row r="346" ht="13.5" customHeight="1" spans="1:24">
      <c r="A346" s="20"/>
      <c r="B346" s="20"/>
      <c r="C346" s="20"/>
      <c r="D346" s="20"/>
      <c r="E346" s="20"/>
      <c r="F346" s="20"/>
      <c r="G346" s="20"/>
      <c r="H346" s="20"/>
      <c r="I346" s="20"/>
      <c r="J346" s="20"/>
      <c r="K346" s="20"/>
      <c r="L346" s="20"/>
      <c r="M346" s="20"/>
      <c r="N346" s="20"/>
      <c r="O346" s="20"/>
      <c r="P346" s="20"/>
      <c r="Q346" s="20"/>
      <c r="R346" s="20"/>
      <c r="S346" s="20"/>
      <c r="T346" s="20"/>
      <c r="U346" s="20"/>
      <c r="V346" s="20"/>
      <c r="W346" s="20"/>
      <c r="X346" s="20"/>
    </row>
    <row r="347" ht="13.5" customHeight="1" spans="1:24">
      <c r="A347" s="20"/>
      <c r="B347" s="20"/>
      <c r="C347" s="20"/>
      <c r="D347" s="20"/>
      <c r="E347" s="20"/>
      <c r="F347" s="20"/>
      <c r="G347" s="20"/>
      <c r="H347" s="20"/>
      <c r="I347" s="20"/>
      <c r="J347" s="20"/>
      <c r="K347" s="20"/>
      <c r="L347" s="20"/>
      <c r="M347" s="20"/>
      <c r="N347" s="20"/>
      <c r="O347" s="20"/>
      <c r="P347" s="20"/>
      <c r="Q347" s="20"/>
      <c r="R347" s="20"/>
      <c r="S347" s="20"/>
      <c r="T347" s="20"/>
      <c r="U347" s="20"/>
      <c r="V347" s="20"/>
      <c r="W347" s="20"/>
      <c r="X347" s="20"/>
    </row>
    <row r="348" ht="13.5" customHeight="1" spans="1:24">
      <c r="A348" s="20"/>
      <c r="B348" s="20"/>
      <c r="C348" s="20"/>
      <c r="D348" s="20"/>
      <c r="E348" s="20"/>
      <c r="F348" s="20"/>
      <c r="G348" s="20"/>
      <c r="H348" s="20"/>
      <c r="I348" s="20"/>
      <c r="J348" s="20"/>
      <c r="K348" s="20"/>
      <c r="L348" s="20"/>
      <c r="M348" s="20"/>
      <c r="N348" s="20"/>
      <c r="O348" s="20"/>
      <c r="P348" s="20"/>
      <c r="Q348" s="20"/>
      <c r="R348" s="20"/>
      <c r="S348" s="20"/>
      <c r="T348" s="20"/>
      <c r="U348" s="20"/>
      <c r="V348" s="20"/>
      <c r="W348" s="20"/>
      <c r="X348" s="20"/>
    </row>
    <row r="349" ht="13.5" customHeight="1" spans="1:24">
      <c r="A349" s="20"/>
      <c r="B349" s="20"/>
      <c r="C349" s="20"/>
      <c r="D349" s="20"/>
      <c r="E349" s="20"/>
      <c r="F349" s="20"/>
      <c r="G349" s="20"/>
      <c r="H349" s="20"/>
      <c r="I349" s="20"/>
      <c r="J349" s="20"/>
      <c r="K349" s="20"/>
      <c r="L349" s="20"/>
      <c r="M349" s="20"/>
      <c r="N349" s="20"/>
      <c r="O349" s="20"/>
      <c r="P349" s="20"/>
      <c r="Q349" s="20"/>
      <c r="R349" s="20"/>
      <c r="S349" s="20"/>
      <c r="T349" s="20"/>
      <c r="U349" s="20"/>
      <c r="V349" s="20"/>
      <c r="W349" s="20"/>
      <c r="X349" s="20"/>
    </row>
    <row r="350" ht="13.5" customHeight="1" spans="1:24">
      <c r="A350" s="20"/>
      <c r="B350" s="20"/>
      <c r="C350" s="20"/>
      <c r="D350" s="20"/>
      <c r="E350" s="20"/>
      <c r="F350" s="20"/>
      <c r="G350" s="20"/>
      <c r="H350" s="20"/>
      <c r="I350" s="20"/>
      <c r="J350" s="20"/>
      <c r="K350" s="20"/>
      <c r="L350" s="20"/>
      <c r="M350" s="20"/>
      <c r="N350" s="20"/>
      <c r="O350" s="20"/>
      <c r="P350" s="20"/>
      <c r="Q350" s="20"/>
      <c r="R350" s="20"/>
      <c r="S350" s="20"/>
      <c r="T350" s="20"/>
      <c r="U350" s="20"/>
      <c r="V350" s="20"/>
      <c r="W350" s="20"/>
      <c r="X350" s="20"/>
    </row>
    <row r="351" ht="13.5" customHeight="1" spans="1:24">
      <c r="A351" s="20"/>
      <c r="B351" s="20"/>
      <c r="C351" s="20"/>
      <c r="D351" s="20"/>
      <c r="E351" s="20"/>
      <c r="F351" s="20"/>
      <c r="G351" s="20"/>
      <c r="H351" s="20"/>
      <c r="I351" s="20"/>
      <c r="J351" s="20"/>
      <c r="K351" s="20"/>
      <c r="L351" s="20"/>
      <c r="M351" s="20"/>
      <c r="N351" s="20"/>
      <c r="O351" s="20"/>
      <c r="P351" s="20"/>
      <c r="Q351" s="20"/>
      <c r="R351" s="20"/>
      <c r="S351" s="20"/>
      <c r="T351" s="20"/>
      <c r="U351" s="20"/>
      <c r="V351" s="20"/>
      <c r="W351" s="20"/>
      <c r="X351" s="20"/>
    </row>
    <row r="352" ht="13.5" customHeight="1" spans="1:24">
      <c r="A352" s="20"/>
      <c r="B352" s="20"/>
      <c r="C352" s="20"/>
      <c r="D352" s="20"/>
      <c r="E352" s="20"/>
      <c r="F352" s="20"/>
      <c r="G352" s="20"/>
      <c r="H352" s="20"/>
      <c r="I352" s="20"/>
      <c r="J352" s="20"/>
      <c r="K352" s="20"/>
      <c r="L352" s="20"/>
      <c r="M352" s="20"/>
      <c r="N352" s="20"/>
      <c r="O352" s="20"/>
      <c r="P352" s="20"/>
      <c r="Q352" s="20"/>
      <c r="R352" s="20"/>
      <c r="S352" s="20"/>
      <c r="T352" s="20"/>
      <c r="U352" s="20"/>
      <c r="V352" s="20"/>
      <c r="W352" s="20"/>
      <c r="X352" s="20"/>
    </row>
    <row r="353" ht="13.5" customHeight="1" spans="1:24">
      <c r="A353" s="20"/>
      <c r="B353" s="20"/>
      <c r="C353" s="20"/>
      <c r="D353" s="20"/>
      <c r="E353" s="20"/>
      <c r="F353" s="20"/>
      <c r="G353" s="20"/>
      <c r="H353" s="20"/>
      <c r="I353" s="20"/>
      <c r="J353" s="20"/>
      <c r="K353" s="20"/>
      <c r="L353" s="20"/>
      <c r="M353" s="20"/>
      <c r="N353" s="20"/>
      <c r="O353" s="20"/>
      <c r="P353" s="20"/>
      <c r="Q353" s="20"/>
      <c r="R353" s="20"/>
      <c r="S353" s="20"/>
      <c r="T353" s="20"/>
      <c r="U353" s="20"/>
      <c r="V353" s="20"/>
      <c r="W353" s="20"/>
      <c r="X353" s="20"/>
    </row>
    <row r="354" ht="13.5" customHeight="1" spans="1:24">
      <c r="A354" s="20"/>
      <c r="B354" s="20"/>
      <c r="C354" s="20"/>
      <c r="D354" s="20"/>
      <c r="E354" s="20"/>
      <c r="F354" s="20"/>
      <c r="G354" s="20"/>
      <c r="H354" s="20"/>
      <c r="I354" s="20"/>
      <c r="J354" s="20"/>
      <c r="K354" s="20"/>
      <c r="L354" s="20"/>
      <c r="M354" s="20"/>
      <c r="N354" s="20"/>
      <c r="O354" s="20"/>
      <c r="P354" s="20"/>
      <c r="Q354" s="20"/>
      <c r="R354" s="20"/>
      <c r="S354" s="20"/>
      <c r="T354" s="20"/>
      <c r="U354" s="20"/>
      <c r="V354" s="20"/>
      <c r="W354" s="20"/>
      <c r="X354" s="20"/>
    </row>
    <row r="355" ht="13.5" customHeight="1" spans="1:24">
      <c r="A355" s="20"/>
      <c r="B355" s="20"/>
      <c r="C355" s="20"/>
      <c r="D355" s="20"/>
      <c r="E355" s="20"/>
      <c r="F355" s="20"/>
      <c r="G355" s="20"/>
      <c r="H355" s="20"/>
      <c r="I355" s="20"/>
      <c r="J355" s="20"/>
      <c r="K355" s="20"/>
      <c r="L355" s="20"/>
      <c r="M355" s="20"/>
      <c r="N355" s="20"/>
      <c r="O355" s="20"/>
      <c r="P355" s="20"/>
      <c r="Q355" s="20"/>
      <c r="R355" s="20"/>
      <c r="S355" s="20"/>
      <c r="T355" s="20"/>
      <c r="U355" s="20"/>
      <c r="V355" s="20"/>
      <c r="W355" s="20"/>
      <c r="X355" s="20"/>
    </row>
    <row r="356" ht="13.5" customHeight="1" spans="1:24">
      <c r="A356" s="20"/>
      <c r="B356" s="20"/>
      <c r="C356" s="20"/>
      <c r="D356" s="20"/>
      <c r="E356" s="20"/>
      <c r="F356" s="20"/>
      <c r="G356" s="20"/>
      <c r="H356" s="20"/>
      <c r="I356" s="20"/>
      <c r="J356" s="20"/>
      <c r="K356" s="20"/>
      <c r="L356" s="20"/>
      <c r="M356" s="20"/>
      <c r="N356" s="20"/>
      <c r="O356" s="20"/>
      <c r="P356" s="20"/>
      <c r="Q356" s="20"/>
      <c r="R356" s="20"/>
      <c r="S356" s="20"/>
      <c r="T356" s="20"/>
      <c r="U356" s="20"/>
      <c r="V356" s="20"/>
      <c r="W356" s="20"/>
      <c r="X356" s="20"/>
    </row>
    <row r="357" ht="13.5" customHeight="1" spans="1:24">
      <c r="A357" s="20"/>
      <c r="B357" s="20"/>
      <c r="C357" s="20"/>
      <c r="D357" s="20"/>
      <c r="E357" s="20"/>
      <c r="F357" s="20"/>
      <c r="G357" s="20"/>
      <c r="H357" s="20"/>
      <c r="I357" s="20"/>
      <c r="J357" s="20"/>
      <c r="K357" s="20"/>
      <c r="L357" s="20"/>
      <c r="M357" s="20"/>
      <c r="N357" s="20"/>
      <c r="O357" s="20"/>
      <c r="P357" s="20"/>
      <c r="Q357" s="20"/>
      <c r="R357" s="20"/>
      <c r="S357" s="20"/>
      <c r="T357" s="20"/>
      <c r="U357" s="20"/>
      <c r="V357" s="20"/>
      <c r="W357" s="20"/>
      <c r="X357" s="20"/>
    </row>
    <row r="358" ht="13.5" customHeight="1" spans="1:24">
      <c r="A358" s="20"/>
      <c r="B358" s="20"/>
      <c r="C358" s="20"/>
      <c r="D358" s="20"/>
      <c r="E358" s="20"/>
      <c r="F358" s="20"/>
      <c r="G358" s="20"/>
      <c r="H358" s="20"/>
      <c r="I358" s="20"/>
      <c r="J358" s="20"/>
      <c r="K358" s="20"/>
      <c r="L358" s="20"/>
      <c r="M358" s="20"/>
      <c r="N358" s="20"/>
      <c r="O358" s="20"/>
      <c r="P358" s="20"/>
      <c r="Q358" s="20"/>
      <c r="R358" s="20"/>
      <c r="S358" s="20"/>
      <c r="T358" s="20"/>
      <c r="U358" s="20"/>
      <c r="V358" s="20"/>
      <c r="W358" s="20"/>
      <c r="X358" s="20"/>
    </row>
    <row r="359" ht="13.5" customHeight="1" spans="1:24">
      <c r="A359" s="20"/>
      <c r="B359" s="20"/>
      <c r="C359" s="20"/>
      <c r="D359" s="20"/>
      <c r="E359" s="20"/>
      <c r="F359" s="20"/>
      <c r="G359" s="20"/>
      <c r="H359" s="20"/>
      <c r="I359" s="20"/>
      <c r="J359" s="20"/>
      <c r="K359" s="20"/>
      <c r="L359" s="20"/>
      <c r="M359" s="20"/>
      <c r="N359" s="20"/>
      <c r="O359" s="20"/>
      <c r="P359" s="20"/>
      <c r="Q359" s="20"/>
      <c r="R359" s="20"/>
      <c r="S359" s="20"/>
      <c r="T359" s="20"/>
      <c r="U359" s="20"/>
      <c r="V359" s="20"/>
      <c r="W359" s="20"/>
      <c r="X359" s="20"/>
    </row>
    <row r="360" ht="13.5" customHeight="1" spans="1:24">
      <c r="A360" s="20"/>
      <c r="B360" s="20"/>
      <c r="C360" s="20"/>
      <c r="D360" s="20"/>
      <c r="E360" s="20"/>
      <c r="F360" s="20"/>
      <c r="G360" s="20"/>
      <c r="H360" s="20"/>
      <c r="I360" s="20"/>
      <c r="J360" s="20"/>
      <c r="K360" s="20"/>
      <c r="L360" s="20"/>
      <c r="M360" s="20"/>
      <c r="N360" s="20"/>
      <c r="O360" s="20"/>
      <c r="P360" s="20"/>
      <c r="Q360" s="20"/>
      <c r="R360" s="20"/>
      <c r="S360" s="20"/>
      <c r="T360" s="20"/>
      <c r="U360" s="20"/>
      <c r="V360" s="20"/>
      <c r="W360" s="20"/>
      <c r="X360" s="20"/>
    </row>
    <row r="361" ht="13.5" customHeight="1" spans="1:24">
      <c r="A361" s="20"/>
      <c r="B361" s="20"/>
      <c r="C361" s="20"/>
      <c r="D361" s="20"/>
      <c r="E361" s="20"/>
      <c r="F361" s="20"/>
      <c r="G361" s="20"/>
      <c r="H361" s="20"/>
      <c r="I361" s="20"/>
      <c r="J361" s="20"/>
      <c r="K361" s="20"/>
      <c r="L361" s="20"/>
      <c r="M361" s="20"/>
      <c r="N361" s="20"/>
      <c r="O361" s="20"/>
      <c r="P361" s="20"/>
      <c r="Q361" s="20"/>
      <c r="R361" s="20"/>
      <c r="S361" s="20"/>
      <c r="T361" s="20"/>
      <c r="U361" s="20"/>
      <c r="V361" s="20"/>
      <c r="W361" s="20"/>
      <c r="X361" s="20"/>
    </row>
    <row r="362" ht="13.5" customHeight="1" spans="1:24">
      <c r="A362" s="20"/>
      <c r="B362" s="20"/>
      <c r="C362" s="20"/>
      <c r="D362" s="20"/>
      <c r="E362" s="20"/>
      <c r="F362" s="20"/>
      <c r="G362" s="20"/>
      <c r="H362" s="20"/>
      <c r="I362" s="20"/>
      <c r="J362" s="20"/>
      <c r="K362" s="20"/>
      <c r="L362" s="20"/>
      <c r="M362" s="20"/>
      <c r="N362" s="20"/>
      <c r="O362" s="20"/>
      <c r="P362" s="20"/>
      <c r="Q362" s="20"/>
      <c r="R362" s="20"/>
      <c r="S362" s="20"/>
      <c r="T362" s="20"/>
      <c r="U362" s="20"/>
      <c r="V362" s="20"/>
      <c r="W362" s="20"/>
      <c r="X362" s="20"/>
    </row>
    <row r="363" ht="13.5" customHeight="1" spans="1:24">
      <c r="A363" s="20"/>
      <c r="B363" s="20"/>
      <c r="C363" s="20"/>
      <c r="D363" s="20"/>
      <c r="E363" s="20"/>
      <c r="F363" s="20"/>
      <c r="G363" s="20"/>
      <c r="H363" s="20"/>
      <c r="I363" s="20"/>
      <c r="J363" s="20"/>
      <c r="K363" s="20"/>
      <c r="L363" s="20"/>
      <c r="M363" s="20"/>
      <c r="N363" s="20"/>
      <c r="O363" s="20"/>
      <c r="P363" s="20"/>
      <c r="Q363" s="20"/>
      <c r="R363" s="20"/>
      <c r="S363" s="20"/>
      <c r="T363" s="20"/>
      <c r="U363" s="20"/>
      <c r="V363" s="20"/>
      <c r="W363" s="20"/>
      <c r="X363" s="20"/>
    </row>
    <row r="364" ht="13.5" customHeight="1" spans="1:24">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row>
    <row r="365" ht="13.5" customHeight="1" spans="1:24">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row>
    <row r="366" ht="13.5" customHeight="1" spans="1:24">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row>
    <row r="367" ht="13.5" customHeight="1" spans="1:24">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row>
    <row r="368" ht="13.5" customHeight="1" spans="1:24">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row>
    <row r="369" ht="13.5" customHeight="1" spans="1:24">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row>
    <row r="370" ht="13.5" customHeight="1" spans="1:24">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row>
    <row r="371" ht="13.5" customHeight="1" spans="1:24">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row>
    <row r="372" ht="13.5" customHeight="1" spans="1:24">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row>
    <row r="373" ht="13.5" customHeight="1" spans="1:24">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row>
    <row r="374" ht="13.5" customHeight="1" spans="1:24">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row>
    <row r="375" ht="13.5" customHeight="1" spans="1:24">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row>
    <row r="376" ht="13.5" customHeight="1" spans="1:24">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row>
    <row r="377" ht="13.5" customHeight="1" spans="1:24">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row>
    <row r="378" ht="13.5" customHeight="1" spans="1:24">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row>
    <row r="379" ht="13.5" customHeight="1" spans="1:24">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row>
    <row r="380" ht="13.5" customHeight="1" spans="1:24">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row>
    <row r="381" ht="13.5" customHeight="1" spans="1:24">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row>
    <row r="382" ht="13.5" customHeight="1" spans="1:24">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row>
    <row r="383" ht="13.5" customHeight="1" spans="1:24">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row>
    <row r="384" ht="13.5" customHeight="1" spans="1:24">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row>
    <row r="385" ht="13.5" customHeight="1" spans="1:24">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row>
    <row r="386" ht="13.5" customHeight="1" spans="1:24">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row>
    <row r="387" ht="13.5" customHeight="1" spans="1:24">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row>
    <row r="388" ht="13.5" customHeight="1" spans="1:24">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row>
    <row r="389" ht="13.5" customHeight="1" spans="1:24">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row>
    <row r="390" ht="13.5" customHeight="1" spans="1:24">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row>
    <row r="391" ht="13.5" customHeight="1" spans="1:24">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row>
    <row r="392" ht="13.5" customHeight="1" spans="1:24">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row>
    <row r="393" ht="13.5" customHeight="1" spans="1:24">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row>
    <row r="394" ht="13.5" customHeight="1" spans="1:24">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row>
    <row r="395" ht="13.5" customHeight="1" spans="1:24">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row>
    <row r="396" ht="13.5" customHeight="1" spans="1:24">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row>
    <row r="397" ht="13.5" customHeight="1" spans="1:24">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row>
    <row r="398" ht="13.5" customHeight="1" spans="1:24">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row>
    <row r="399" ht="13.5" customHeight="1" spans="1:24">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row>
    <row r="400" ht="13.5" customHeight="1" spans="1:24">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row>
    <row r="401" ht="13.5" customHeight="1" spans="1:24">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row>
    <row r="402" ht="13.5" customHeight="1" spans="1:24">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row>
    <row r="403" ht="13.5" customHeight="1" spans="1:24">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row>
    <row r="404" ht="13.5" customHeight="1" spans="1:24">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row>
    <row r="405" ht="13.5" customHeight="1" spans="1:24">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row>
    <row r="406" ht="13.5" customHeight="1" spans="1:24">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row>
    <row r="407" ht="13.5" customHeight="1" spans="1:24">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row>
    <row r="408" ht="13.5" customHeight="1" spans="1:24">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row>
    <row r="409" ht="13.5" customHeight="1" spans="1:24">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row>
    <row r="410" ht="13.5" customHeight="1" spans="1:24">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row>
    <row r="411" ht="13.5" customHeight="1" spans="1:24">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row>
    <row r="412" ht="13.5" customHeight="1" spans="1:24">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row>
    <row r="413" ht="13.5" customHeight="1" spans="1:24">
      <c r="A413" s="20"/>
      <c r="B413" s="20"/>
      <c r="C413" s="20"/>
      <c r="D413" s="20"/>
      <c r="E413" s="20"/>
      <c r="F413" s="20"/>
      <c r="G413" s="20"/>
      <c r="H413" s="20"/>
      <c r="I413" s="20"/>
      <c r="J413" s="20"/>
      <c r="K413" s="20"/>
      <c r="L413" s="20"/>
      <c r="M413" s="20"/>
      <c r="N413" s="20"/>
      <c r="O413" s="20"/>
      <c r="P413" s="20"/>
      <c r="Q413" s="20"/>
      <c r="R413" s="20"/>
      <c r="S413" s="20"/>
      <c r="T413" s="20"/>
      <c r="U413" s="20"/>
      <c r="V413" s="20"/>
      <c r="W413" s="20"/>
      <c r="X413" s="20"/>
    </row>
    <row r="414" ht="13.5" customHeight="1" spans="1:24">
      <c r="A414" s="20"/>
      <c r="B414" s="20"/>
      <c r="C414" s="20"/>
      <c r="D414" s="20"/>
      <c r="E414" s="20"/>
      <c r="F414" s="20"/>
      <c r="G414" s="20"/>
      <c r="H414" s="20"/>
      <c r="I414" s="20"/>
      <c r="J414" s="20"/>
      <c r="K414" s="20"/>
      <c r="L414" s="20"/>
      <c r="M414" s="20"/>
      <c r="N414" s="20"/>
      <c r="O414" s="20"/>
      <c r="P414" s="20"/>
      <c r="Q414" s="20"/>
      <c r="R414" s="20"/>
      <c r="S414" s="20"/>
      <c r="T414" s="20"/>
      <c r="U414" s="20"/>
      <c r="V414" s="20"/>
      <c r="W414" s="20"/>
      <c r="X414" s="20"/>
    </row>
    <row r="415" ht="13.5" customHeight="1" spans="1:24">
      <c r="A415" s="20"/>
      <c r="B415" s="20"/>
      <c r="C415" s="20"/>
      <c r="D415" s="20"/>
      <c r="E415" s="20"/>
      <c r="F415" s="20"/>
      <c r="G415" s="20"/>
      <c r="H415" s="20"/>
      <c r="I415" s="20"/>
      <c r="J415" s="20"/>
      <c r="K415" s="20"/>
      <c r="L415" s="20"/>
      <c r="M415" s="20"/>
      <c r="N415" s="20"/>
      <c r="O415" s="20"/>
      <c r="P415" s="20"/>
      <c r="Q415" s="20"/>
      <c r="R415" s="20"/>
      <c r="S415" s="20"/>
      <c r="T415" s="20"/>
      <c r="U415" s="20"/>
      <c r="V415" s="20"/>
      <c r="W415" s="20"/>
      <c r="X415" s="20"/>
    </row>
    <row r="416" ht="13.5" customHeight="1" spans="1:24">
      <c r="A416" s="20"/>
      <c r="B416" s="20"/>
      <c r="C416" s="20"/>
      <c r="D416" s="20"/>
      <c r="E416" s="20"/>
      <c r="F416" s="20"/>
      <c r="G416" s="20"/>
      <c r="H416" s="20"/>
      <c r="I416" s="20"/>
      <c r="J416" s="20"/>
      <c r="K416" s="20"/>
      <c r="L416" s="20"/>
      <c r="M416" s="20"/>
      <c r="N416" s="20"/>
      <c r="O416" s="20"/>
      <c r="P416" s="20"/>
      <c r="Q416" s="20"/>
      <c r="R416" s="20"/>
      <c r="S416" s="20"/>
      <c r="T416" s="20"/>
      <c r="U416" s="20"/>
      <c r="V416" s="20"/>
      <c r="W416" s="20"/>
      <c r="X416" s="20"/>
    </row>
    <row r="417" ht="13.5" customHeight="1" spans="1:24">
      <c r="A417" s="20"/>
      <c r="B417" s="20"/>
      <c r="C417" s="20"/>
      <c r="D417" s="20"/>
      <c r="E417" s="20"/>
      <c r="F417" s="20"/>
      <c r="G417" s="20"/>
      <c r="H417" s="20"/>
      <c r="I417" s="20"/>
      <c r="J417" s="20"/>
      <c r="K417" s="20"/>
      <c r="L417" s="20"/>
      <c r="M417" s="20"/>
      <c r="N417" s="20"/>
      <c r="O417" s="20"/>
      <c r="P417" s="20"/>
      <c r="Q417" s="20"/>
      <c r="R417" s="20"/>
      <c r="S417" s="20"/>
      <c r="T417" s="20"/>
      <c r="U417" s="20"/>
      <c r="V417" s="20"/>
      <c r="W417" s="20"/>
      <c r="X417" s="20"/>
    </row>
    <row r="418" ht="13.5" customHeight="1" spans="1:24">
      <c r="A418" s="20"/>
      <c r="B418" s="20"/>
      <c r="C418" s="20"/>
      <c r="D418" s="20"/>
      <c r="E418" s="20"/>
      <c r="F418" s="20"/>
      <c r="G418" s="20"/>
      <c r="H418" s="20"/>
      <c r="I418" s="20"/>
      <c r="J418" s="20"/>
      <c r="K418" s="20"/>
      <c r="L418" s="20"/>
      <c r="M418" s="20"/>
      <c r="N418" s="20"/>
      <c r="O418" s="20"/>
      <c r="P418" s="20"/>
      <c r="Q418" s="20"/>
      <c r="R418" s="20"/>
      <c r="S418" s="20"/>
      <c r="T418" s="20"/>
      <c r="U418" s="20"/>
      <c r="V418" s="20"/>
      <c r="W418" s="20"/>
      <c r="X418" s="20"/>
    </row>
    <row r="419" ht="13.5" customHeight="1" spans="1:24">
      <c r="A419" s="20"/>
      <c r="B419" s="20"/>
      <c r="C419" s="20"/>
      <c r="D419" s="20"/>
      <c r="E419" s="20"/>
      <c r="F419" s="20"/>
      <c r="G419" s="20"/>
      <c r="H419" s="20"/>
      <c r="I419" s="20"/>
      <c r="J419" s="20"/>
      <c r="K419" s="20"/>
      <c r="L419" s="20"/>
      <c r="M419" s="20"/>
      <c r="N419" s="20"/>
      <c r="O419" s="20"/>
      <c r="P419" s="20"/>
      <c r="Q419" s="20"/>
      <c r="R419" s="20"/>
      <c r="S419" s="20"/>
      <c r="T419" s="20"/>
      <c r="U419" s="20"/>
      <c r="V419" s="20"/>
      <c r="W419" s="20"/>
      <c r="X419" s="20"/>
    </row>
    <row r="420" ht="13.5" customHeight="1" spans="1:24">
      <c r="A420" s="20"/>
      <c r="B420" s="20"/>
      <c r="C420" s="20"/>
      <c r="D420" s="20"/>
      <c r="E420" s="20"/>
      <c r="F420" s="20"/>
      <c r="G420" s="20"/>
      <c r="H420" s="20"/>
      <c r="I420" s="20"/>
      <c r="J420" s="20"/>
      <c r="K420" s="20"/>
      <c r="L420" s="20"/>
      <c r="M420" s="20"/>
      <c r="N420" s="20"/>
      <c r="O420" s="20"/>
      <c r="P420" s="20"/>
      <c r="Q420" s="20"/>
      <c r="R420" s="20"/>
      <c r="S420" s="20"/>
      <c r="T420" s="20"/>
      <c r="U420" s="20"/>
      <c r="V420" s="20"/>
      <c r="W420" s="20"/>
      <c r="X420" s="20"/>
    </row>
    <row r="421" ht="13.5" customHeight="1" spans="1:24">
      <c r="A421" s="20"/>
      <c r="B421" s="20"/>
      <c r="C421" s="20"/>
      <c r="D421" s="20"/>
      <c r="E421" s="20"/>
      <c r="F421" s="20"/>
      <c r="G421" s="20"/>
      <c r="H421" s="20"/>
      <c r="I421" s="20"/>
      <c r="J421" s="20"/>
      <c r="K421" s="20"/>
      <c r="L421" s="20"/>
      <c r="M421" s="20"/>
      <c r="N421" s="20"/>
      <c r="O421" s="20"/>
      <c r="P421" s="20"/>
      <c r="Q421" s="20"/>
      <c r="R421" s="20"/>
      <c r="S421" s="20"/>
      <c r="T421" s="20"/>
      <c r="U421" s="20"/>
      <c r="V421" s="20"/>
      <c r="W421" s="20"/>
      <c r="X421" s="20"/>
    </row>
    <row r="422" ht="13.5" customHeight="1" spans="1:24">
      <c r="A422" s="20"/>
      <c r="B422" s="20"/>
      <c r="C422" s="20"/>
      <c r="D422" s="20"/>
      <c r="E422" s="20"/>
      <c r="F422" s="20"/>
      <c r="G422" s="20"/>
      <c r="H422" s="20"/>
      <c r="I422" s="20"/>
      <c r="J422" s="20"/>
      <c r="K422" s="20"/>
      <c r="L422" s="20"/>
      <c r="M422" s="20"/>
      <c r="N422" s="20"/>
      <c r="O422" s="20"/>
      <c r="P422" s="20"/>
      <c r="Q422" s="20"/>
      <c r="R422" s="20"/>
      <c r="S422" s="20"/>
      <c r="T422" s="20"/>
      <c r="U422" s="20"/>
      <c r="V422" s="20"/>
      <c r="W422" s="20"/>
      <c r="X422" s="20"/>
    </row>
    <row r="423" ht="13.5" customHeight="1" spans="1:24">
      <c r="A423" s="20"/>
      <c r="B423" s="20"/>
      <c r="C423" s="20"/>
      <c r="D423" s="20"/>
      <c r="E423" s="20"/>
      <c r="F423" s="20"/>
      <c r="G423" s="20"/>
      <c r="H423" s="20"/>
      <c r="I423" s="20"/>
      <c r="J423" s="20"/>
      <c r="K423" s="20"/>
      <c r="L423" s="20"/>
      <c r="M423" s="20"/>
      <c r="N423" s="20"/>
      <c r="O423" s="20"/>
      <c r="P423" s="20"/>
      <c r="Q423" s="20"/>
      <c r="R423" s="20"/>
      <c r="S423" s="20"/>
      <c r="T423" s="20"/>
      <c r="U423" s="20"/>
      <c r="V423" s="20"/>
      <c r="W423" s="20"/>
      <c r="X423" s="20"/>
    </row>
    <row r="424" ht="13.5" customHeight="1" spans="1:24">
      <c r="A424" s="20"/>
      <c r="B424" s="20"/>
      <c r="C424" s="20"/>
      <c r="D424" s="20"/>
      <c r="E424" s="20"/>
      <c r="F424" s="20"/>
      <c r="G424" s="20"/>
      <c r="H424" s="20"/>
      <c r="I424" s="20"/>
      <c r="J424" s="20"/>
      <c r="K424" s="20"/>
      <c r="L424" s="20"/>
      <c r="M424" s="20"/>
      <c r="N424" s="20"/>
      <c r="O424" s="20"/>
      <c r="P424" s="20"/>
      <c r="Q424" s="20"/>
      <c r="R424" s="20"/>
      <c r="S424" s="20"/>
      <c r="T424" s="20"/>
      <c r="U424" s="20"/>
      <c r="V424" s="20"/>
      <c r="W424" s="20"/>
      <c r="X424" s="20"/>
    </row>
    <row r="425" ht="13.5" customHeight="1" spans="1:24">
      <c r="A425" s="20"/>
      <c r="B425" s="20"/>
      <c r="C425" s="20"/>
      <c r="D425" s="20"/>
      <c r="E425" s="20"/>
      <c r="F425" s="20"/>
      <c r="G425" s="20"/>
      <c r="H425" s="20"/>
      <c r="I425" s="20"/>
      <c r="J425" s="20"/>
      <c r="K425" s="20"/>
      <c r="L425" s="20"/>
      <c r="M425" s="20"/>
      <c r="N425" s="20"/>
      <c r="O425" s="20"/>
      <c r="P425" s="20"/>
      <c r="Q425" s="20"/>
      <c r="R425" s="20"/>
      <c r="S425" s="20"/>
      <c r="T425" s="20"/>
      <c r="U425" s="20"/>
      <c r="V425" s="20"/>
      <c r="W425" s="20"/>
      <c r="X425" s="20"/>
    </row>
    <row r="426" ht="13.5" customHeight="1" spans="1:24">
      <c r="A426" s="20"/>
      <c r="B426" s="20"/>
      <c r="C426" s="20"/>
      <c r="D426" s="20"/>
      <c r="E426" s="20"/>
      <c r="F426" s="20"/>
      <c r="G426" s="20"/>
      <c r="H426" s="20"/>
      <c r="I426" s="20"/>
      <c r="J426" s="20"/>
      <c r="K426" s="20"/>
      <c r="L426" s="20"/>
      <c r="M426" s="20"/>
      <c r="N426" s="20"/>
      <c r="O426" s="20"/>
      <c r="P426" s="20"/>
      <c r="Q426" s="20"/>
      <c r="R426" s="20"/>
      <c r="S426" s="20"/>
      <c r="T426" s="20"/>
      <c r="U426" s="20"/>
      <c r="V426" s="20"/>
      <c r="W426" s="20"/>
      <c r="X426" s="20"/>
    </row>
    <row r="427" ht="13.5" customHeight="1" spans="1:24">
      <c r="A427" s="20"/>
      <c r="B427" s="20"/>
      <c r="C427" s="20"/>
      <c r="D427" s="20"/>
      <c r="E427" s="20"/>
      <c r="F427" s="20"/>
      <c r="G427" s="20"/>
      <c r="H427" s="20"/>
      <c r="I427" s="20"/>
      <c r="J427" s="20"/>
      <c r="K427" s="20"/>
      <c r="L427" s="20"/>
      <c r="M427" s="20"/>
      <c r="N427" s="20"/>
      <c r="O427" s="20"/>
      <c r="P427" s="20"/>
      <c r="Q427" s="20"/>
      <c r="R427" s="20"/>
      <c r="S427" s="20"/>
      <c r="T427" s="20"/>
      <c r="U427" s="20"/>
      <c r="V427" s="20"/>
      <c r="W427" s="20"/>
      <c r="X427" s="20"/>
    </row>
    <row r="428" ht="13.5" customHeight="1" spans="1:24">
      <c r="A428" s="20"/>
      <c r="B428" s="20"/>
      <c r="C428" s="20"/>
      <c r="D428" s="20"/>
      <c r="E428" s="20"/>
      <c r="F428" s="20"/>
      <c r="G428" s="20"/>
      <c r="H428" s="20"/>
      <c r="I428" s="20"/>
      <c r="J428" s="20"/>
      <c r="K428" s="20"/>
      <c r="L428" s="20"/>
      <c r="M428" s="20"/>
      <c r="N428" s="20"/>
      <c r="O428" s="20"/>
      <c r="P428" s="20"/>
      <c r="Q428" s="20"/>
      <c r="R428" s="20"/>
      <c r="S428" s="20"/>
      <c r="T428" s="20"/>
      <c r="U428" s="20"/>
      <c r="V428" s="20"/>
      <c r="W428" s="20"/>
      <c r="X428" s="20"/>
    </row>
    <row r="429" ht="13.5" customHeight="1" spans="1:24">
      <c r="A429" s="20"/>
      <c r="B429" s="20"/>
      <c r="C429" s="20"/>
      <c r="D429" s="20"/>
      <c r="E429" s="20"/>
      <c r="F429" s="20"/>
      <c r="G429" s="20"/>
      <c r="H429" s="20"/>
      <c r="I429" s="20"/>
      <c r="J429" s="20"/>
      <c r="K429" s="20"/>
      <c r="L429" s="20"/>
      <c r="M429" s="20"/>
      <c r="N429" s="20"/>
      <c r="O429" s="20"/>
      <c r="P429" s="20"/>
      <c r="Q429" s="20"/>
      <c r="R429" s="20"/>
      <c r="S429" s="20"/>
      <c r="T429" s="20"/>
      <c r="U429" s="20"/>
      <c r="V429" s="20"/>
      <c r="W429" s="20"/>
      <c r="X429" s="20"/>
    </row>
    <row r="430" ht="13.5" customHeight="1" spans="1:24">
      <c r="A430" s="20"/>
      <c r="B430" s="20"/>
      <c r="C430" s="20"/>
      <c r="D430" s="20"/>
      <c r="E430" s="20"/>
      <c r="F430" s="20"/>
      <c r="G430" s="20"/>
      <c r="H430" s="20"/>
      <c r="I430" s="20"/>
      <c r="J430" s="20"/>
      <c r="K430" s="20"/>
      <c r="L430" s="20"/>
      <c r="M430" s="20"/>
      <c r="N430" s="20"/>
      <c r="O430" s="20"/>
      <c r="P430" s="20"/>
      <c r="Q430" s="20"/>
      <c r="R430" s="20"/>
      <c r="S430" s="20"/>
      <c r="T430" s="20"/>
      <c r="U430" s="20"/>
      <c r="V430" s="20"/>
      <c r="W430" s="20"/>
      <c r="X430" s="20"/>
    </row>
    <row r="431" ht="13.5" customHeight="1" spans="1:24">
      <c r="A431" s="20"/>
      <c r="B431" s="20"/>
      <c r="C431" s="20"/>
      <c r="D431" s="20"/>
      <c r="E431" s="20"/>
      <c r="F431" s="20"/>
      <c r="G431" s="20"/>
      <c r="H431" s="20"/>
      <c r="I431" s="20"/>
      <c r="J431" s="20"/>
      <c r="K431" s="20"/>
      <c r="L431" s="20"/>
      <c r="M431" s="20"/>
      <c r="N431" s="20"/>
      <c r="O431" s="20"/>
      <c r="P431" s="20"/>
      <c r="Q431" s="20"/>
      <c r="R431" s="20"/>
      <c r="S431" s="20"/>
      <c r="T431" s="20"/>
      <c r="U431" s="20"/>
      <c r="V431" s="20"/>
      <c r="W431" s="20"/>
      <c r="X431" s="20"/>
    </row>
    <row r="432" ht="13.5" customHeight="1" spans="1:24">
      <c r="A432" s="20"/>
      <c r="B432" s="20"/>
      <c r="C432" s="20"/>
      <c r="D432" s="20"/>
      <c r="E432" s="20"/>
      <c r="F432" s="20"/>
      <c r="G432" s="20"/>
      <c r="H432" s="20"/>
      <c r="I432" s="20"/>
      <c r="J432" s="20"/>
      <c r="K432" s="20"/>
      <c r="L432" s="20"/>
      <c r="M432" s="20"/>
      <c r="N432" s="20"/>
      <c r="O432" s="20"/>
      <c r="P432" s="20"/>
      <c r="Q432" s="20"/>
      <c r="R432" s="20"/>
      <c r="S432" s="20"/>
      <c r="T432" s="20"/>
      <c r="U432" s="20"/>
      <c r="V432" s="20"/>
      <c r="W432" s="20"/>
      <c r="X432" s="20"/>
    </row>
    <row r="433" ht="13.5" customHeight="1" spans="1:24">
      <c r="A433" s="20"/>
      <c r="B433" s="20"/>
      <c r="C433" s="20"/>
      <c r="D433" s="20"/>
      <c r="E433" s="20"/>
      <c r="F433" s="20"/>
      <c r="G433" s="20"/>
      <c r="H433" s="20"/>
      <c r="I433" s="20"/>
      <c r="J433" s="20"/>
      <c r="K433" s="20"/>
      <c r="L433" s="20"/>
      <c r="M433" s="20"/>
      <c r="N433" s="20"/>
      <c r="O433" s="20"/>
      <c r="P433" s="20"/>
      <c r="Q433" s="20"/>
      <c r="R433" s="20"/>
      <c r="S433" s="20"/>
      <c r="T433" s="20"/>
      <c r="U433" s="20"/>
      <c r="V433" s="20"/>
      <c r="W433" s="20"/>
      <c r="X433" s="20"/>
    </row>
    <row r="434" ht="13.5" customHeight="1" spans="1:24">
      <c r="A434" s="20"/>
      <c r="B434" s="20"/>
      <c r="C434" s="20"/>
      <c r="D434" s="20"/>
      <c r="E434" s="20"/>
      <c r="F434" s="20"/>
      <c r="G434" s="20"/>
      <c r="H434" s="20"/>
      <c r="I434" s="20"/>
      <c r="J434" s="20"/>
      <c r="K434" s="20"/>
      <c r="L434" s="20"/>
      <c r="M434" s="20"/>
      <c r="N434" s="20"/>
      <c r="O434" s="20"/>
      <c r="P434" s="20"/>
      <c r="Q434" s="20"/>
      <c r="R434" s="20"/>
      <c r="S434" s="20"/>
      <c r="T434" s="20"/>
      <c r="U434" s="20"/>
      <c r="V434" s="20"/>
      <c r="W434" s="20"/>
      <c r="X434" s="20"/>
    </row>
    <row r="435" ht="13.5" customHeight="1" spans="1:24">
      <c r="A435" s="20"/>
      <c r="B435" s="20"/>
      <c r="C435" s="20"/>
      <c r="D435" s="20"/>
      <c r="E435" s="20"/>
      <c r="F435" s="20"/>
      <c r="G435" s="20"/>
      <c r="H435" s="20"/>
      <c r="I435" s="20"/>
      <c r="J435" s="20"/>
      <c r="K435" s="20"/>
      <c r="L435" s="20"/>
      <c r="M435" s="20"/>
      <c r="N435" s="20"/>
      <c r="O435" s="20"/>
      <c r="P435" s="20"/>
      <c r="Q435" s="20"/>
      <c r="R435" s="20"/>
      <c r="S435" s="20"/>
      <c r="T435" s="20"/>
      <c r="U435" s="20"/>
      <c r="V435" s="20"/>
      <c r="W435" s="20"/>
      <c r="X435" s="20"/>
    </row>
    <row r="436" ht="13.5" customHeight="1" spans="1:24">
      <c r="A436" s="20"/>
      <c r="B436" s="20"/>
      <c r="C436" s="20"/>
      <c r="D436" s="20"/>
      <c r="E436" s="20"/>
      <c r="F436" s="20"/>
      <c r="G436" s="20"/>
      <c r="H436" s="20"/>
      <c r="I436" s="20"/>
      <c r="J436" s="20"/>
      <c r="K436" s="20"/>
      <c r="L436" s="20"/>
      <c r="M436" s="20"/>
      <c r="N436" s="20"/>
      <c r="O436" s="20"/>
      <c r="P436" s="20"/>
      <c r="Q436" s="20"/>
      <c r="R436" s="20"/>
      <c r="S436" s="20"/>
      <c r="T436" s="20"/>
      <c r="U436" s="20"/>
      <c r="V436" s="20"/>
      <c r="W436" s="20"/>
      <c r="X436" s="20"/>
    </row>
    <row r="437" ht="13.5" customHeight="1" spans="1:24">
      <c r="A437" s="20"/>
      <c r="B437" s="20"/>
      <c r="C437" s="20"/>
      <c r="D437" s="20"/>
      <c r="E437" s="20"/>
      <c r="F437" s="20"/>
      <c r="G437" s="20"/>
      <c r="H437" s="20"/>
      <c r="I437" s="20"/>
      <c r="J437" s="20"/>
      <c r="K437" s="20"/>
      <c r="L437" s="20"/>
      <c r="M437" s="20"/>
      <c r="N437" s="20"/>
      <c r="O437" s="20"/>
      <c r="P437" s="20"/>
      <c r="Q437" s="20"/>
      <c r="R437" s="20"/>
      <c r="S437" s="20"/>
      <c r="T437" s="20"/>
      <c r="U437" s="20"/>
      <c r="V437" s="20"/>
      <c r="W437" s="20"/>
      <c r="X437" s="20"/>
    </row>
    <row r="438" ht="13.5" customHeight="1" spans="1:24">
      <c r="A438" s="20"/>
      <c r="B438" s="20"/>
      <c r="C438" s="20"/>
      <c r="D438" s="20"/>
      <c r="E438" s="20"/>
      <c r="F438" s="20"/>
      <c r="G438" s="20"/>
      <c r="H438" s="20"/>
      <c r="I438" s="20"/>
      <c r="J438" s="20"/>
      <c r="K438" s="20"/>
      <c r="L438" s="20"/>
      <c r="M438" s="20"/>
      <c r="N438" s="20"/>
      <c r="O438" s="20"/>
      <c r="P438" s="20"/>
      <c r="Q438" s="20"/>
      <c r="R438" s="20"/>
      <c r="S438" s="20"/>
      <c r="T438" s="20"/>
      <c r="U438" s="20"/>
      <c r="V438" s="20"/>
      <c r="W438" s="20"/>
      <c r="X438" s="20"/>
    </row>
    <row r="439" ht="13.5" customHeight="1" spans="1:24">
      <c r="A439" s="20"/>
      <c r="B439" s="20"/>
      <c r="C439" s="20"/>
      <c r="D439" s="20"/>
      <c r="E439" s="20"/>
      <c r="F439" s="20"/>
      <c r="G439" s="20"/>
      <c r="H439" s="20"/>
      <c r="I439" s="20"/>
      <c r="J439" s="20"/>
      <c r="K439" s="20"/>
      <c r="L439" s="20"/>
      <c r="M439" s="20"/>
      <c r="N439" s="20"/>
      <c r="O439" s="20"/>
      <c r="P439" s="20"/>
      <c r="Q439" s="20"/>
      <c r="R439" s="20"/>
      <c r="S439" s="20"/>
      <c r="T439" s="20"/>
      <c r="U439" s="20"/>
      <c r="V439" s="20"/>
      <c r="W439" s="20"/>
      <c r="X439" s="20"/>
    </row>
    <row r="440" ht="13.5" customHeight="1" spans="1:24">
      <c r="A440" s="20"/>
      <c r="B440" s="20"/>
      <c r="C440" s="20"/>
      <c r="D440" s="20"/>
      <c r="E440" s="20"/>
      <c r="F440" s="20"/>
      <c r="G440" s="20"/>
      <c r="H440" s="20"/>
      <c r="I440" s="20"/>
      <c r="J440" s="20"/>
      <c r="K440" s="20"/>
      <c r="L440" s="20"/>
      <c r="M440" s="20"/>
      <c r="N440" s="20"/>
      <c r="O440" s="20"/>
      <c r="P440" s="20"/>
      <c r="Q440" s="20"/>
      <c r="R440" s="20"/>
      <c r="S440" s="20"/>
      <c r="T440" s="20"/>
      <c r="U440" s="20"/>
      <c r="V440" s="20"/>
      <c r="W440" s="20"/>
      <c r="X440" s="20"/>
    </row>
    <row r="441" ht="13.5" customHeight="1" spans="1:24">
      <c r="A441" s="20"/>
      <c r="B441" s="20"/>
      <c r="C441" s="20"/>
      <c r="D441" s="20"/>
      <c r="E441" s="20"/>
      <c r="F441" s="20"/>
      <c r="G441" s="20"/>
      <c r="H441" s="20"/>
      <c r="I441" s="20"/>
      <c r="J441" s="20"/>
      <c r="K441" s="20"/>
      <c r="L441" s="20"/>
      <c r="M441" s="20"/>
      <c r="N441" s="20"/>
      <c r="O441" s="20"/>
      <c r="P441" s="20"/>
      <c r="Q441" s="20"/>
      <c r="R441" s="20"/>
      <c r="S441" s="20"/>
      <c r="T441" s="20"/>
      <c r="U441" s="20"/>
      <c r="V441" s="20"/>
      <c r="W441" s="20"/>
      <c r="X441" s="20"/>
    </row>
    <row r="442" ht="13.5" customHeight="1" spans="1:24">
      <c r="A442" s="20"/>
      <c r="B442" s="20"/>
      <c r="C442" s="20"/>
      <c r="D442" s="20"/>
      <c r="E442" s="20"/>
      <c r="F442" s="20"/>
      <c r="G442" s="20"/>
      <c r="H442" s="20"/>
      <c r="I442" s="20"/>
      <c r="J442" s="20"/>
      <c r="K442" s="20"/>
      <c r="L442" s="20"/>
      <c r="M442" s="20"/>
      <c r="N442" s="20"/>
      <c r="O442" s="20"/>
      <c r="P442" s="20"/>
      <c r="Q442" s="20"/>
      <c r="R442" s="20"/>
      <c r="S442" s="20"/>
      <c r="T442" s="20"/>
      <c r="U442" s="20"/>
      <c r="V442" s="20"/>
      <c r="W442" s="20"/>
      <c r="X442" s="20"/>
    </row>
    <row r="443" ht="13.5" customHeight="1" spans="1:24">
      <c r="A443" s="20"/>
      <c r="B443" s="20"/>
      <c r="C443" s="20"/>
      <c r="D443" s="20"/>
      <c r="E443" s="20"/>
      <c r="F443" s="20"/>
      <c r="G443" s="20"/>
      <c r="H443" s="20"/>
      <c r="I443" s="20"/>
      <c r="J443" s="20"/>
      <c r="K443" s="20"/>
      <c r="L443" s="20"/>
      <c r="M443" s="20"/>
      <c r="N443" s="20"/>
      <c r="O443" s="20"/>
      <c r="P443" s="20"/>
      <c r="Q443" s="20"/>
      <c r="R443" s="20"/>
      <c r="S443" s="20"/>
      <c r="T443" s="20"/>
      <c r="U443" s="20"/>
      <c r="V443" s="20"/>
      <c r="W443" s="20"/>
      <c r="X443" s="20"/>
    </row>
    <row r="444" ht="13.5" customHeight="1" spans="1:24">
      <c r="A444" s="20"/>
      <c r="B444" s="20"/>
      <c r="C444" s="20"/>
      <c r="D444" s="20"/>
      <c r="E444" s="20"/>
      <c r="F444" s="20"/>
      <c r="G444" s="20"/>
      <c r="H444" s="20"/>
      <c r="I444" s="20"/>
      <c r="J444" s="20"/>
      <c r="K444" s="20"/>
      <c r="L444" s="20"/>
      <c r="M444" s="20"/>
      <c r="N444" s="20"/>
      <c r="O444" s="20"/>
      <c r="P444" s="20"/>
      <c r="Q444" s="20"/>
      <c r="R444" s="20"/>
      <c r="S444" s="20"/>
      <c r="T444" s="20"/>
      <c r="U444" s="20"/>
      <c r="V444" s="20"/>
      <c r="W444" s="20"/>
      <c r="X444" s="20"/>
    </row>
    <row r="445" ht="13.5" customHeight="1" spans="1:24">
      <c r="A445" s="20"/>
      <c r="B445" s="20"/>
      <c r="C445" s="20"/>
      <c r="D445" s="20"/>
      <c r="E445" s="20"/>
      <c r="F445" s="20"/>
      <c r="G445" s="20"/>
      <c r="H445" s="20"/>
      <c r="I445" s="20"/>
      <c r="J445" s="20"/>
      <c r="K445" s="20"/>
      <c r="L445" s="20"/>
      <c r="M445" s="20"/>
      <c r="N445" s="20"/>
      <c r="O445" s="20"/>
      <c r="P445" s="20"/>
      <c r="Q445" s="20"/>
      <c r="R445" s="20"/>
      <c r="S445" s="20"/>
      <c r="T445" s="20"/>
      <c r="U445" s="20"/>
      <c r="V445" s="20"/>
      <c r="W445" s="20"/>
      <c r="X445" s="20"/>
    </row>
    <row r="446" ht="13.5" customHeight="1" spans="1:24">
      <c r="A446" s="20"/>
      <c r="B446" s="20"/>
      <c r="C446" s="20"/>
      <c r="D446" s="20"/>
      <c r="E446" s="20"/>
      <c r="F446" s="20"/>
      <c r="G446" s="20"/>
      <c r="H446" s="20"/>
      <c r="I446" s="20"/>
      <c r="J446" s="20"/>
      <c r="K446" s="20"/>
      <c r="L446" s="20"/>
      <c r="M446" s="20"/>
      <c r="N446" s="20"/>
      <c r="O446" s="20"/>
      <c r="P446" s="20"/>
      <c r="Q446" s="20"/>
      <c r="R446" s="20"/>
      <c r="S446" s="20"/>
      <c r="T446" s="20"/>
      <c r="U446" s="20"/>
      <c r="V446" s="20"/>
      <c r="W446" s="20"/>
      <c r="X446" s="20"/>
    </row>
    <row r="447" ht="13.5" customHeight="1" spans="1:24">
      <c r="A447" s="20"/>
      <c r="B447" s="20"/>
      <c r="C447" s="20"/>
      <c r="D447" s="20"/>
      <c r="E447" s="20"/>
      <c r="F447" s="20"/>
      <c r="G447" s="20"/>
      <c r="H447" s="20"/>
      <c r="I447" s="20"/>
      <c r="J447" s="20"/>
      <c r="K447" s="20"/>
      <c r="L447" s="20"/>
      <c r="M447" s="20"/>
      <c r="N447" s="20"/>
      <c r="O447" s="20"/>
      <c r="P447" s="20"/>
      <c r="Q447" s="20"/>
      <c r="R447" s="20"/>
      <c r="S447" s="20"/>
      <c r="T447" s="20"/>
      <c r="U447" s="20"/>
      <c r="V447" s="20"/>
      <c r="W447" s="20"/>
      <c r="X447" s="20"/>
    </row>
    <row r="448" ht="13.5" customHeight="1" spans="1:24">
      <c r="A448" s="20"/>
      <c r="B448" s="20"/>
      <c r="C448" s="20"/>
      <c r="D448" s="20"/>
      <c r="E448" s="20"/>
      <c r="F448" s="20"/>
      <c r="G448" s="20"/>
      <c r="H448" s="20"/>
      <c r="I448" s="20"/>
      <c r="J448" s="20"/>
      <c r="K448" s="20"/>
      <c r="L448" s="20"/>
      <c r="M448" s="20"/>
      <c r="N448" s="20"/>
      <c r="O448" s="20"/>
      <c r="P448" s="20"/>
      <c r="Q448" s="20"/>
      <c r="R448" s="20"/>
      <c r="S448" s="20"/>
      <c r="T448" s="20"/>
      <c r="U448" s="20"/>
      <c r="V448" s="20"/>
      <c r="W448" s="20"/>
      <c r="X448" s="20"/>
    </row>
    <row r="449" ht="13.5" customHeight="1" spans="1:24">
      <c r="A449" s="20"/>
      <c r="B449" s="20"/>
      <c r="C449" s="20"/>
      <c r="D449" s="20"/>
      <c r="E449" s="20"/>
      <c r="F449" s="20"/>
      <c r="G449" s="20"/>
      <c r="H449" s="20"/>
      <c r="I449" s="20"/>
      <c r="J449" s="20"/>
      <c r="K449" s="20"/>
      <c r="L449" s="20"/>
      <c r="M449" s="20"/>
      <c r="N449" s="20"/>
      <c r="O449" s="20"/>
      <c r="P449" s="20"/>
      <c r="Q449" s="20"/>
      <c r="R449" s="20"/>
      <c r="S449" s="20"/>
      <c r="T449" s="20"/>
      <c r="U449" s="20"/>
      <c r="V449" s="20"/>
      <c r="W449" s="20"/>
      <c r="X449" s="20"/>
    </row>
    <row r="450" ht="13.5" customHeight="1" spans="1:24">
      <c r="A450" s="20"/>
      <c r="B450" s="20"/>
      <c r="C450" s="20"/>
      <c r="D450" s="20"/>
      <c r="E450" s="20"/>
      <c r="F450" s="20"/>
      <c r="G450" s="20"/>
      <c r="H450" s="20"/>
      <c r="I450" s="20"/>
      <c r="J450" s="20"/>
      <c r="K450" s="20"/>
      <c r="L450" s="20"/>
      <c r="M450" s="20"/>
      <c r="N450" s="20"/>
      <c r="O450" s="20"/>
      <c r="P450" s="20"/>
      <c r="Q450" s="20"/>
      <c r="R450" s="20"/>
      <c r="S450" s="20"/>
      <c r="T450" s="20"/>
      <c r="U450" s="20"/>
      <c r="V450" s="20"/>
      <c r="W450" s="20"/>
      <c r="X450" s="20"/>
    </row>
    <row r="451" ht="13.5" customHeight="1" spans="1:24">
      <c r="A451" s="20"/>
      <c r="B451" s="20"/>
      <c r="C451" s="20"/>
      <c r="D451" s="20"/>
      <c r="E451" s="20"/>
      <c r="F451" s="20"/>
      <c r="G451" s="20"/>
      <c r="H451" s="20"/>
      <c r="I451" s="20"/>
      <c r="J451" s="20"/>
      <c r="K451" s="20"/>
      <c r="L451" s="20"/>
      <c r="M451" s="20"/>
      <c r="N451" s="20"/>
      <c r="O451" s="20"/>
      <c r="P451" s="20"/>
      <c r="Q451" s="20"/>
      <c r="R451" s="20"/>
      <c r="S451" s="20"/>
      <c r="T451" s="20"/>
      <c r="U451" s="20"/>
      <c r="V451" s="20"/>
      <c r="W451" s="20"/>
      <c r="X451" s="20"/>
    </row>
    <row r="452" ht="13.5" customHeight="1" spans="1:24">
      <c r="A452" s="20"/>
      <c r="B452" s="20"/>
      <c r="C452" s="20"/>
      <c r="D452" s="20"/>
      <c r="E452" s="20"/>
      <c r="F452" s="20"/>
      <c r="G452" s="20"/>
      <c r="H452" s="20"/>
      <c r="I452" s="20"/>
      <c r="J452" s="20"/>
      <c r="K452" s="20"/>
      <c r="L452" s="20"/>
      <c r="M452" s="20"/>
      <c r="N452" s="20"/>
      <c r="O452" s="20"/>
      <c r="P452" s="20"/>
      <c r="Q452" s="20"/>
      <c r="R452" s="20"/>
      <c r="S452" s="20"/>
      <c r="T452" s="20"/>
      <c r="U452" s="20"/>
      <c r="V452" s="20"/>
      <c r="W452" s="20"/>
      <c r="X452" s="20"/>
    </row>
    <row r="453" ht="13.5" customHeight="1" spans="1:24">
      <c r="A453" s="20"/>
      <c r="B453" s="20"/>
      <c r="C453" s="20"/>
      <c r="D453" s="20"/>
      <c r="E453" s="20"/>
      <c r="F453" s="20"/>
      <c r="G453" s="20"/>
      <c r="H453" s="20"/>
      <c r="I453" s="20"/>
      <c r="J453" s="20"/>
      <c r="K453" s="20"/>
      <c r="L453" s="20"/>
      <c r="M453" s="20"/>
      <c r="N453" s="20"/>
      <c r="O453" s="20"/>
      <c r="P453" s="20"/>
      <c r="Q453" s="20"/>
      <c r="R453" s="20"/>
      <c r="S453" s="20"/>
      <c r="T453" s="20"/>
      <c r="U453" s="20"/>
      <c r="V453" s="20"/>
      <c r="W453" s="20"/>
      <c r="X453" s="20"/>
    </row>
    <row r="454" ht="13.5" customHeight="1" spans="1:24">
      <c r="A454" s="20"/>
      <c r="B454" s="20"/>
      <c r="C454" s="20"/>
      <c r="D454" s="20"/>
      <c r="E454" s="20"/>
      <c r="F454" s="20"/>
      <c r="G454" s="20"/>
      <c r="H454" s="20"/>
      <c r="I454" s="20"/>
      <c r="J454" s="20"/>
      <c r="K454" s="20"/>
      <c r="L454" s="20"/>
      <c r="M454" s="20"/>
      <c r="N454" s="20"/>
      <c r="O454" s="20"/>
      <c r="P454" s="20"/>
      <c r="Q454" s="20"/>
      <c r="R454" s="20"/>
      <c r="S454" s="20"/>
      <c r="T454" s="20"/>
      <c r="U454" s="20"/>
      <c r="V454" s="20"/>
      <c r="W454" s="20"/>
      <c r="X454" s="20"/>
    </row>
    <row r="455" ht="13.5" customHeight="1" spans="1:24">
      <c r="A455" s="20"/>
      <c r="B455" s="20"/>
      <c r="C455" s="20"/>
      <c r="D455" s="20"/>
      <c r="E455" s="20"/>
      <c r="F455" s="20"/>
      <c r="G455" s="20"/>
      <c r="H455" s="20"/>
      <c r="I455" s="20"/>
      <c r="J455" s="20"/>
      <c r="K455" s="20"/>
      <c r="L455" s="20"/>
      <c r="M455" s="20"/>
      <c r="N455" s="20"/>
      <c r="O455" s="20"/>
      <c r="P455" s="20"/>
      <c r="Q455" s="20"/>
      <c r="R455" s="20"/>
      <c r="S455" s="20"/>
      <c r="T455" s="20"/>
      <c r="U455" s="20"/>
      <c r="V455" s="20"/>
      <c r="W455" s="20"/>
      <c r="X455" s="20"/>
    </row>
    <row r="456" ht="13.5" customHeight="1" spans="1:24">
      <c r="A456" s="20"/>
      <c r="B456" s="20"/>
      <c r="C456" s="20"/>
      <c r="D456" s="20"/>
      <c r="E456" s="20"/>
      <c r="F456" s="20"/>
      <c r="G456" s="20"/>
      <c r="H456" s="20"/>
      <c r="I456" s="20"/>
      <c r="J456" s="20"/>
      <c r="K456" s="20"/>
      <c r="L456" s="20"/>
      <c r="M456" s="20"/>
      <c r="N456" s="20"/>
      <c r="O456" s="20"/>
      <c r="P456" s="20"/>
      <c r="Q456" s="20"/>
      <c r="R456" s="20"/>
      <c r="S456" s="20"/>
      <c r="T456" s="20"/>
      <c r="U456" s="20"/>
      <c r="V456" s="20"/>
      <c r="W456" s="20"/>
      <c r="X456" s="20"/>
    </row>
    <row r="457" ht="13.5" customHeight="1" spans="1:24">
      <c r="A457" s="20"/>
      <c r="B457" s="20"/>
      <c r="C457" s="20"/>
      <c r="D457" s="20"/>
      <c r="E457" s="20"/>
      <c r="F457" s="20"/>
      <c r="G457" s="20"/>
      <c r="H457" s="20"/>
      <c r="I457" s="20"/>
      <c r="J457" s="20"/>
      <c r="K457" s="20"/>
      <c r="L457" s="20"/>
      <c r="M457" s="20"/>
      <c r="N457" s="20"/>
      <c r="O457" s="20"/>
      <c r="P457" s="20"/>
      <c r="Q457" s="20"/>
      <c r="R457" s="20"/>
      <c r="S457" s="20"/>
      <c r="T457" s="20"/>
      <c r="U457" s="20"/>
      <c r="V457" s="20"/>
      <c r="W457" s="20"/>
      <c r="X457" s="20"/>
    </row>
    <row r="458" ht="13.5" customHeight="1" spans="1:24">
      <c r="A458" s="20"/>
      <c r="B458" s="20"/>
      <c r="C458" s="20"/>
      <c r="D458" s="20"/>
      <c r="E458" s="20"/>
      <c r="F458" s="20"/>
      <c r="G458" s="20"/>
      <c r="H458" s="20"/>
      <c r="I458" s="20"/>
      <c r="J458" s="20"/>
      <c r="K458" s="20"/>
      <c r="L458" s="20"/>
      <c r="M458" s="20"/>
      <c r="N458" s="20"/>
      <c r="O458" s="20"/>
      <c r="P458" s="20"/>
      <c r="Q458" s="20"/>
      <c r="R458" s="20"/>
      <c r="S458" s="20"/>
      <c r="T458" s="20"/>
      <c r="U458" s="20"/>
      <c r="V458" s="20"/>
      <c r="W458" s="20"/>
      <c r="X458" s="20"/>
    </row>
    <row r="459" ht="13.5" customHeight="1" spans="1:24">
      <c r="A459" s="20"/>
      <c r="B459" s="20"/>
      <c r="C459" s="20"/>
      <c r="D459" s="20"/>
      <c r="E459" s="20"/>
      <c r="F459" s="20"/>
      <c r="G459" s="20"/>
      <c r="H459" s="20"/>
      <c r="I459" s="20"/>
      <c r="J459" s="20"/>
      <c r="K459" s="20"/>
      <c r="L459" s="20"/>
      <c r="M459" s="20"/>
      <c r="N459" s="20"/>
      <c r="O459" s="20"/>
      <c r="P459" s="20"/>
      <c r="Q459" s="20"/>
      <c r="R459" s="20"/>
      <c r="S459" s="20"/>
      <c r="T459" s="20"/>
      <c r="U459" s="20"/>
      <c r="V459" s="20"/>
      <c r="W459" s="20"/>
      <c r="X459" s="20"/>
    </row>
    <row r="460" ht="13.5" customHeight="1" spans="1:24">
      <c r="A460" s="20"/>
      <c r="B460" s="20"/>
      <c r="C460" s="20"/>
      <c r="D460" s="20"/>
      <c r="E460" s="20"/>
      <c r="F460" s="20"/>
      <c r="G460" s="20"/>
      <c r="H460" s="20"/>
      <c r="I460" s="20"/>
      <c r="J460" s="20"/>
      <c r="K460" s="20"/>
      <c r="L460" s="20"/>
      <c r="M460" s="20"/>
      <c r="N460" s="20"/>
      <c r="O460" s="20"/>
      <c r="P460" s="20"/>
      <c r="Q460" s="20"/>
      <c r="R460" s="20"/>
      <c r="S460" s="20"/>
      <c r="T460" s="20"/>
      <c r="U460" s="20"/>
      <c r="V460" s="20"/>
      <c r="W460" s="20"/>
      <c r="X460" s="20"/>
    </row>
    <row r="461" ht="13.5" customHeight="1" spans="1:24">
      <c r="A461" s="20"/>
      <c r="B461" s="20"/>
      <c r="C461" s="20"/>
      <c r="D461" s="20"/>
      <c r="E461" s="20"/>
      <c r="F461" s="20"/>
      <c r="G461" s="20"/>
      <c r="H461" s="20"/>
      <c r="I461" s="20"/>
      <c r="J461" s="20"/>
      <c r="K461" s="20"/>
      <c r="L461" s="20"/>
      <c r="M461" s="20"/>
      <c r="N461" s="20"/>
      <c r="O461" s="20"/>
      <c r="P461" s="20"/>
      <c r="Q461" s="20"/>
      <c r="R461" s="20"/>
      <c r="S461" s="20"/>
      <c r="T461" s="20"/>
      <c r="U461" s="20"/>
      <c r="V461" s="20"/>
      <c r="W461" s="20"/>
      <c r="X461" s="20"/>
    </row>
    <row r="462" ht="13.5" customHeight="1" spans="1:24">
      <c r="A462" s="20"/>
      <c r="B462" s="20"/>
      <c r="C462" s="20"/>
      <c r="D462" s="20"/>
      <c r="E462" s="20"/>
      <c r="F462" s="20"/>
      <c r="G462" s="20"/>
      <c r="H462" s="20"/>
      <c r="I462" s="20"/>
      <c r="J462" s="20"/>
      <c r="K462" s="20"/>
      <c r="L462" s="20"/>
      <c r="M462" s="20"/>
      <c r="N462" s="20"/>
      <c r="O462" s="20"/>
      <c r="P462" s="20"/>
      <c r="Q462" s="20"/>
      <c r="R462" s="20"/>
      <c r="S462" s="20"/>
      <c r="T462" s="20"/>
      <c r="U462" s="20"/>
      <c r="V462" s="20"/>
      <c r="W462" s="20"/>
      <c r="X462" s="20"/>
    </row>
    <row r="463" ht="13.5" customHeight="1" spans="1:24">
      <c r="A463" s="20"/>
      <c r="B463" s="20"/>
      <c r="C463" s="20"/>
      <c r="D463" s="20"/>
      <c r="E463" s="20"/>
      <c r="F463" s="20"/>
      <c r="G463" s="20"/>
      <c r="H463" s="20"/>
      <c r="I463" s="20"/>
      <c r="J463" s="20"/>
      <c r="K463" s="20"/>
      <c r="L463" s="20"/>
      <c r="M463" s="20"/>
      <c r="N463" s="20"/>
      <c r="O463" s="20"/>
      <c r="P463" s="20"/>
      <c r="Q463" s="20"/>
      <c r="R463" s="20"/>
      <c r="S463" s="20"/>
      <c r="T463" s="20"/>
      <c r="U463" s="20"/>
      <c r="V463" s="20"/>
      <c r="W463" s="20"/>
      <c r="X463" s="20"/>
    </row>
    <row r="464" ht="13.5" customHeight="1" spans="1:24">
      <c r="A464" s="20"/>
      <c r="B464" s="20"/>
      <c r="C464" s="20"/>
      <c r="D464" s="20"/>
      <c r="E464" s="20"/>
      <c r="F464" s="20"/>
      <c r="G464" s="20"/>
      <c r="H464" s="20"/>
      <c r="I464" s="20"/>
      <c r="J464" s="20"/>
      <c r="K464" s="20"/>
      <c r="L464" s="20"/>
      <c r="M464" s="20"/>
      <c r="N464" s="20"/>
      <c r="O464" s="20"/>
      <c r="P464" s="20"/>
      <c r="Q464" s="20"/>
      <c r="R464" s="20"/>
      <c r="S464" s="20"/>
      <c r="T464" s="20"/>
      <c r="U464" s="20"/>
      <c r="V464" s="20"/>
      <c r="W464" s="20"/>
      <c r="X464" s="20"/>
    </row>
    <row r="465" ht="13.5" customHeight="1" spans="1:24">
      <c r="A465" s="20"/>
      <c r="B465" s="20"/>
      <c r="C465" s="20"/>
      <c r="D465" s="20"/>
      <c r="E465" s="20"/>
      <c r="F465" s="20"/>
      <c r="G465" s="20"/>
      <c r="H465" s="20"/>
      <c r="I465" s="20"/>
      <c r="J465" s="20"/>
      <c r="K465" s="20"/>
      <c r="L465" s="20"/>
      <c r="M465" s="20"/>
      <c r="N465" s="20"/>
      <c r="O465" s="20"/>
      <c r="P465" s="20"/>
      <c r="Q465" s="20"/>
      <c r="R465" s="20"/>
      <c r="S465" s="20"/>
      <c r="T465" s="20"/>
      <c r="U465" s="20"/>
      <c r="V465" s="20"/>
      <c r="W465" s="20"/>
      <c r="X465" s="20"/>
    </row>
    <row r="466" ht="13.5" customHeight="1" spans="1:24">
      <c r="A466" s="20"/>
      <c r="B466" s="20"/>
      <c r="C466" s="20"/>
      <c r="D466" s="20"/>
      <c r="E466" s="20"/>
      <c r="F466" s="20"/>
      <c r="G466" s="20"/>
      <c r="H466" s="20"/>
      <c r="I466" s="20"/>
      <c r="J466" s="20"/>
      <c r="K466" s="20"/>
      <c r="L466" s="20"/>
      <c r="M466" s="20"/>
      <c r="N466" s="20"/>
      <c r="O466" s="20"/>
      <c r="P466" s="20"/>
      <c r="Q466" s="20"/>
      <c r="R466" s="20"/>
      <c r="S466" s="20"/>
      <c r="T466" s="20"/>
      <c r="U466" s="20"/>
      <c r="V466" s="20"/>
      <c r="W466" s="20"/>
      <c r="X466" s="20"/>
    </row>
    <row r="467" ht="13.5" customHeight="1" spans="1:24">
      <c r="A467" s="20"/>
      <c r="B467" s="20"/>
      <c r="C467" s="20"/>
      <c r="D467" s="20"/>
      <c r="E467" s="20"/>
      <c r="F467" s="20"/>
      <c r="G467" s="20"/>
      <c r="H467" s="20"/>
      <c r="I467" s="20"/>
      <c r="J467" s="20"/>
      <c r="K467" s="20"/>
      <c r="L467" s="20"/>
      <c r="M467" s="20"/>
      <c r="N467" s="20"/>
      <c r="O467" s="20"/>
      <c r="P467" s="20"/>
      <c r="Q467" s="20"/>
      <c r="R467" s="20"/>
      <c r="S467" s="20"/>
      <c r="T467" s="20"/>
      <c r="U467" s="20"/>
      <c r="V467" s="20"/>
      <c r="W467" s="20"/>
      <c r="X467" s="20"/>
    </row>
    <row r="468" ht="13.5" customHeight="1" spans="1:24">
      <c r="A468" s="20"/>
      <c r="B468" s="20"/>
      <c r="C468" s="20"/>
      <c r="D468" s="20"/>
      <c r="E468" s="20"/>
      <c r="F468" s="20"/>
      <c r="G468" s="20"/>
      <c r="H468" s="20"/>
      <c r="I468" s="20"/>
      <c r="J468" s="20"/>
      <c r="K468" s="20"/>
      <c r="L468" s="20"/>
      <c r="M468" s="20"/>
      <c r="N468" s="20"/>
      <c r="O468" s="20"/>
      <c r="P468" s="20"/>
      <c r="Q468" s="20"/>
      <c r="R468" s="20"/>
      <c r="S468" s="20"/>
      <c r="T468" s="20"/>
      <c r="U468" s="20"/>
      <c r="V468" s="20"/>
      <c r="W468" s="20"/>
      <c r="X468" s="20"/>
    </row>
    <row r="469" ht="13.5" customHeight="1" spans="1:24">
      <c r="A469" s="20"/>
      <c r="B469" s="20"/>
      <c r="C469" s="20"/>
      <c r="D469" s="20"/>
      <c r="E469" s="20"/>
      <c r="F469" s="20"/>
      <c r="G469" s="20"/>
      <c r="H469" s="20"/>
      <c r="I469" s="20"/>
      <c r="J469" s="20"/>
      <c r="K469" s="20"/>
      <c r="L469" s="20"/>
      <c r="M469" s="20"/>
      <c r="N469" s="20"/>
      <c r="O469" s="20"/>
      <c r="P469" s="20"/>
      <c r="Q469" s="20"/>
      <c r="R469" s="20"/>
      <c r="S469" s="20"/>
      <c r="T469" s="20"/>
      <c r="U469" s="20"/>
      <c r="V469" s="20"/>
      <c r="W469" s="20"/>
      <c r="X469" s="20"/>
    </row>
    <row r="470" ht="13.5" customHeight="1" spans="1:24">
      <c r="A470" s="20"/>
      <c r="B470" s="20"/>
      <c r="C470" s="20"/>
      <c r="D470" s="20"/>
      <c r="E470" s="20"/>
      <c r="F470" s="20"/>
      <c r="G470" s="20"/>
      <c r="H470" s="20"/>
      <c r="I470" s="20"/>
      <c r="J470" s="20"/>
      <c r="K470" s="20"/>
      <c r="L470" s="20"/>
      <c r="M470" s="20"/>
      <c r="N470" s="20"/>
      <c r="O470" s="20"/>
      <c r="P470" s="20"/>
      <c r="Q470" s="20"/>
      <c r="R470" s="20"/>
      <c r="S470" s="20"/>
      <c r="T470" s="20"/>
      <c r="U470" s="20"/>
      <c r="V470" s="20"/>
      <c r="W470" s="20"/>
      <c r="X470" s="20"/>
    </row>
    <row r="471" ht="13.5" customHeight="1" spans="1:24">
      <c r="A471" s="20"/>
      <c r="B471" s="20"/>
      <c r="C471" s="20"/>
      <c r="D471" s="20"/>
      <c r="E471" s="20"/>
      <c r="F471" s="20"/>
      <c r="G471" s="20"/>
      <c r="H471" s="20"/>
      <c r="I471" s="20"/>
      <c r="J471" s="20"/>
      <c r="K471" s="20"/>
      <c r="L471" s="20"/>
      <c r="M471" s="20"/>
      <c r="N471" s="20"/>
      <c r="O471" s="20"/>
      <c r="P471" s="20"/>
      <c r="Q471" s="20"/>
      <c r="R471" s="20"/>
      <c r="S471" s="20"/>
      <c r="T471" s="20"/>
      <c r="U471" s="20"/>
      <c r="V471" s="20"/>
      <c r="W471" s="20"/>
      <c r="X471" s="20"/>
    </row>
    <row r="472" ht="13.5" customHeight="1" spans="1:24">
      <c r="A472" s="20"/>
      <c r="B472" s="20"/>
      <c r="C472" s="20"/>
      <c r="D472" s="20"/>
      <c r="E472" s="20"/>
      <c r="F472" s="20"/>
      <c r="G472" s="20"/>
      <c r="H472" s="20"/>
      <c r="I472" s="20"/>
      <c r="J472" s="20"/>
      <c r="K472" s="20"/>
      <c r="L472" s="20"/>
      <c r="M472" s="20"/>
      <c r="N472" s="20"/>
      <c r="O472" s="20"/>
      <c r="P472" s="20"/>
      <c r="Q472" s="20"/>
      <c r="R472" s="20"/>
      <c r="S472" s="20"/>
      <c r="T472" s="20"/>
      <c r="U472" s="20"/>
      <c r="V472" s="20"/>
      <c r="W472" s="20"/>
      <c r="X472" s="20"/>
    </row>
    <row r="473" ht="13.5" customHeight="1" spans="1:24">
      <c r="A473" s="20"/>
      <c r="B473" s="20"/>
      <c r="C473" s="20"/>
      <c r="D473" s="20"/>
      <c r="E473" s="20"/>
      <c r="F473" s="20"/>
      <c r="G473" s="20"/>
      <c r="H473" s="20"/>
      <c r="I473" s="20"/>
      <c r="J473" s="20"/>
      <c r="K473" s="20"/>
      <c r="L473" s="20"/>
      <c r="M473" s="20"/>
      <c r="N473" s="20"/>
      <c r="O473" s="20"/>
      <c r="P473" s="20"/>
      <c r="Q473" s="20"/>
      <c r="R473" s="20"/>
      <c r="S473" s="20"/>
      <c r="T473" s="20"/>
      <c r="U473" s="20"/>
      <c r="V473" s="20"/>
      <c r="W473" s="20"/>
      <c r="X473" s="20"/>
    </row>
    <row r="474" ht="13.5" customHeight="1" spans="1:24">
      <c r="A474" s="20"/>
      <c r="B474" s="20"/>
      <c r="C474" s="20"/>
      <c r="D474" s="20"/>
      <c r="E474" s="20"/>
      <c r="F474" s="20"/>
      <c r="G474" s="20"/>
      <c r="H474" s="20"/>
      <c r="I474" s="20"/>
      <c r="J474" s="20"/>
      <c r="K474" s="20"/>
      <c r="L474" s="20"/>
      <c r="M474" s="20"/>
      <c r="N474" s="20"/>
      <c r="O474" s="20"/>
      <c r="P474" s="20"/>
      <c r="Q474" s="20"/>
      <c r="R474" s="20"/>
      <c r="S474" s="20"/>
      <c r="T474" s="20"/>
      <c r="U474" s="20"/>
      <c r="V474" s="20"/>
      <c r="W474" s="20"/>
      <c r="X474" s="20"/>
    </row>
    <row r="475" ht="13.5" customHeight="1" spans="1:24">
      <c r="A475" s="20"/>
      <c r="B475" s="20"/>
      <c r="C475" s="20"/>
      <c r="D475" s="20"/>
      <c r="E475" s="20"/>
      <c r="F475" s="20"/>
      <c r="G475" s="20"/>
      <c r="H475" s="20"/>
      <c r="I475" s="20"/>
      <c r="J475" s="20"/>
      <c r="K475" s="20"/>
      <c r="L475" s="20"/>
      <c r="M475" s="20"/>
      <c r="N475" s="20"/>
      <c r="O475" s="20"/>
      <c r="P475" s="20"/>
      <c r="Q475" s="20"/>
      <c r="R475" s="20"/>
      <c r="S475" s="20"/>
      <c r="T475" s="20"/>
      <c r="U475" s="20"/>
      <c r="V475" s="20"/>
      <c r="W475" s="20"/>
      <c r="X475" s="20"/>
    </row>
    <row r="476" ht="13.5" customHeight="1" spans="1:24">
      <c r="A476" s="20"/>
      <c r="B476" s="20"/>
      <c r="C476" s="20"/>
      <c r="D476" s="20"/>
      <c r="E476" s="20"/>
      <c r="F476" s="20"/>
      <c r="G476" s="20"/>
      <c r="H476" s="20"/>
      <c r="I476" s="20"/>
      <c r="J476" s="20"/>
      <c r="K476" s="20"/>
      <c r="L476" s="20"/>
      <c r="M476" s="20"/>
      <c r="N476" s="20"/>
      <c r="O476" s="20"/>
      <c r="P476" s="20"/>
      <c r="Q476" s="20"/>
      <c r="R476" s="20"/>
      <c r="S476" s="20"/>
      <c r="T476" s="20"/>
      <c r="U476" s="20"/>
      <c r="V476" s="20"/>
      <c r="W476" s="20"/>
      <c r="X476" s="20"/>
    </row>
    <row r="477" ht="13.5" customHeight="1" spans="1:24">
      <c r="A477" s="20"/>
      <c r="B477" s="20"/>
      <c r="C477" s="20"/>
      <c r="D477" s="20"/>
      <c r="E477" s="20"/>
      <c r="F477" s="20"/>
      <c r="G477" s="20"/>
      <c r="H477" s="20"/>
      <c r="I477" s="20"/>
      <c r="J477" s="20"/>
      <c r="K477" s="20"/>
      <c r="L477" s="20"/>
      <c r="M477" s="20"/>
      <c r="N477" s="20"/>
      <c r="O477" s="20"/>
      <c r="P477" s="20"/>
      <c r="Q477" s="20"/>
      <c r="R477" s="20"/>
      <c r="S477" s="20"/>
      <c r="T477" s="20"/>
      <c r="U477" s="20"/>
      <c r="V477" s="20"/>
      <c r="W477" s="20"/>
      <c r="X477" s="20"/>
    </row>
    <row r="478" ht="13.5" customHeight="1" spans="1:24">
      <c r="A478" s="20"/>
      <c r="B478" s="20"/>
      <c r="C478" s="20"/>
      <c r="D478" s="20"/>
      <c r="E478" s="20"/>
      <c r="F478" s="20"/>
      <c r="G478" s="20"/>
      <c r="H478" s="20"/>
      <c r="I478" s="20"/>
      <c r="J478" s="20"/>
      <c r="K478" s="20"/>
      <c r="L478" s="20"/>
      <c r="M478" s="20"/>
      <c r="N478" s="20"/>
      <c r="O478" s="20"/>
      <c r="P478" s="20"/>
      <c r="Q478" s="20"/>
      <c r="R478" s="20"/>
      <c r="S478" s="20"/>
      <c r="T478" s="20"/>
      <c r="U478" s="20"/>
      <c r="V478" s="20"/>
      <c r="W478" s="20"/>
      <c r="X478" s="20"/>
    </row>
    <row r="479" ht="13.5" customHeight="1" spans="1:24">
      <c r="A479" s="20"/>
      <c r="B479" s="20"/>
      <c r="C479" s="20"/>
      <c r="D479" s="20"/>
      <c r="E479" s="20"/>
      <c r="F479" s="20"/>
      <c r="G479" s="20"/>
      <c r="H479" s="20"/>
      <c r="I479" s="20"/>
      <c r="J479" s="20"/>
      <c r="K479" s="20"/>
      <c r="L479" s="20"/>
      <c r="M479" s="20"/>
      <c r="N479" s="20"/>
      <c r="O479" s="20"/>
      <c r="P479" s="20"/>
      <c r="Q479" s="20"/>
      <c r="R479" s="20"/>
      <c r="S479" s="20"/>
      <c r="T479" s="20"/>
      <c r="U479" s="20"/>
      <c r="V479" s="20"/>
      <c r="W479" s="20"/>
      <c r="X479" s="20"/>
    </row>
    <row r="480" ht="13.5" customHeight="1" spans="1:24">
      <c r="A480" s="20"/>
      <c r="B480" s="20"/>
      <c r="C480" s="20"/>
      <c r="D480" s="20"/>
      <c r="E480" s="20"/>
      <c r="F480" s="20"/>
      <c r="G480" s="20"/>
      <c r="H480" s="20"/>
      <c r="I480" s="20"/>
      <c r="J480" s="20"/>
      <c r="K480" s="20"/>
      <c r="L480" s="20"/>
      <c r="M480" s="20"/>
      <c r="N480" s="20"/>
      <c r="O480" s="20"/>
      <c r="P480" s="20"/>
      <c r="Q480" s="20"/>
      <c r="R480" s="20"/>
      <c r="S480" s="20"/>
      <c r="T480" s="20"/>
      <c r="U480" s="20"/>
      <c r="V480" s="20"/>
      <c r="W480" s="20"/>
      <c r="X480" s="20"/>
    </row>
    <row r="481" ht="13.5" customHeight="1" spans="1:24">
      <c r="A481" s="20"/>
      <c r="B481" s="20"/>
      <c r="C481" s="20"/>
      <c r="D481" s="20"/>
      <c r="E481" s="20"/>
      <c r="F481" s="20"/>
      <c r="G481" s="20"/>
      <c r="H481" s="20"/>
      <c r="I481" s="20"/>
      <c r="J481" s="20"/>
      <c r="K481" s="20"/>
      <c r="L481" s="20"/>
      <c r="M481" s="20"/>
      <c r="N481" s="20"/>
      <c r="O481" s="20"/>
      <c r="P481" s="20"/>
      <c r="Q481" s="20"/>
      <c r="R481" s="20"/>
      <c r="S481" s="20"/>
      <c r="T481" s="20"/>
      <c r="U481" s="20"/>
      <c r="V481" s="20"/>
      <c r="W481" s="20"/>
      <c r="X481" s="20"/>
    </row>
    <row r="482" ht="13.5" customHeight="1" spans="1:24">
      <c r="A482" s="20"/>
      <c r="B482" s="20"/>
      <c r="C482" s="20"/>
      <c r="D482" s="20"/>
      <c r="E482" s="20"/>
      <c r="F482" s="20"/>
      <c r="G482" s="20"/>
      <c r="H482" s="20"/>
      <c r="I482" s="20"/>
      <c r="J482" s="20"/>
      <c r="K482" s="20"/>
      <c r="L482" s="20"/>
      <c r="M482" s="20"/>
      <c r="N482" s="20"/>
      <c r="O482" s="20"/>
      <c r="P482" s="20"/>
      <c r="Q482" s="20"/>
      <c r="R482" s="20"/>
      <c r="S482" s="20"/>
      <c r="T482" s="20"/>
      <c r="U482" s="20"/>
      <c r="V482" s="20"/>
      <c r="W482" s="20"/>
      <c r="X482" s="20"/>
    </row>
    <row r="483" ht="13.5" customHeight="1" spans="1:24">
      <c r="A483" s="20"/>
      <c r="B483" s="20"/>
      <c r="C483" s="20"/>
      <c r="D483" s="20"/>
      <c r="E483" s="20"/>
      <c r="F483" s="20"/>
      <c r="G483" s="20"/>
      <c r="H483" s="20"/>
      <c r="I483" s="20"/>
      <c r="J483" s="20"/>
      <c r="K483" s="20"/>
      <c r="L483" s="20"/>
      <c r="M483" s="20"/>
      <c r="N483" s="20"/>
      <c r="O483" s="20"/>
      <c r="P483" s="20"/>
      <c r="Q483" s="20"/>
      <c r="R483" s="20"/>
      <c r="S483" s="20"/>
      <c r="T483" s="20"/>
      <c r="U483" s="20"/>
      <c r="V483" s="20"/>
      <c r="W483" s="20"/>
      <c r="X483" s="20"/>
    </row>
    <row r="484" ht="13.5" customHeight="1" spans="1:24">
      <c r="A484" s="20"/>
      <c r="B484" s="20"/>
      <c r="C484" s="20"/>
      <c r="D484" s="20"/>
      <c r="E484" s="20"/>
      <c r="F484" s="20"/>
      <c r="G484" s="20"/>
      <c r="H484" s="20"/>
      <c r="I484" s="20"/>
      <c r="J484" s="20"/>
      <c r="K484" s="20"/>
      <c r="L484" s="20"/>
      <c r="M484" s="20"/>
      <c r="N484" s="20"/>
      <c r="O484" s="20"/>
      <c r="P484" s="20"/>
      <c r="Q484" s="20"/>
      <c r="R484" s="20"/>
      <c r="S484" s="20"/>
      <c r="T484" s="20"/>
      <c r="U484" s="20"/>
      <c r="V484" s="20"/>
      <c r="W484" s="20"/>
      <c r="X484" s="20"/>
    </row>
    <row r="485" ht="13.5" customHeight="1" spans="1:24">
      <c r="A485" s="20"/>
      <c r="B485" s="20"/>
      <c r="C485" s="20"/>
      <c r="D485" s="20"/>
      <c r="E485" s="20"/>
      <c r="F485" s="20"/>
      <c r="G485" s="20"/>
      <c r="H485" s="20"/>
      <c r="I485" s="20"/>
      <c r="J485" s="20"/>
      <c r="K485" s="20"/>
      <c r="L485" s="20"/>
      <c r="M485" s="20"/>
      <c r="N485" s="20"/>
      <c r="O485" s="20"/>
      <c r="P485" s="20"/>
      <c r="Q485" s="20"/>
      <c r="R485" s="20"/>
      <c r="S485" s="20"/>
      <c r="T485" s="20"/>
      <c r="U485" s="20"/>
      <c r="V485" s="20"/>
      <c r="W485" s="20"/>
      <c r="X485" s="20"/>
    </row>
    <row r="486" ht="13.5" customHeight="1" spans="1:24">
      <c r="A486" s="20"/>
      <c r="B486" s="20"/>
      <c r="C486" s="20"/>
      <c r="D486" s="20"/>
      <c r="E486" s="20"/>
      <c r="F486" s="20"/>
      <c r="G486" s="20"/>
      <c r="H486" s="20"/>
      <c r="I486" s="20"/>
      <c r="J486" s="20"/>
      <c r="K486" s="20"/>
      <c r="L486" s="20"/>
      <c r="M486" s="20"/>
      <c r="N486" s="20"/>
      <c r="O486" s="20"/>
      <c r="P486" s="20"/>
      <c r="Q486" s="20"/>
      <c r="R486" s="20"/>
      <c r="S486" s="20"/>
      <c r="T486" s="20"/>
      <c r="U486" s="20"/>
      <c r="V486" s="20"/>
      <c r="W486" s="20"/>
      <c r="X486" s="20"/>
    </row>
    <row r="487" ht="13.5" customHeight="1" spans="1:24">
      <c r="A487" s="20"/>
      <c r="B487" s="20"/>
      <c r="C487" s="20"/>
      <c r="D487" s="20"/>
      <c r="E487" s="20"/>
      <c r="F487" s="20"/>
      <c r="G487" s="20"/>
      <c r="H487" s="20"/>
      <c r="I487" s="20"/>
      <c r="J487" s="20"/>
      <c r="K487" s="20"/>
      <c r="L487" s="20"/>
      <c r="M487" s="20"/>
      <c r="N487" s="20"/>
      <c r="O487" s="20"/>
      <c r="P487" s="20"/>
      <c r="Q487" s="20"/>
      <c r="R487" s="20"/>
      <c r="S487" s="20"/>
      <c r="T487" s="20"/>
      <c r="U487" s="20"/>
      <c r="V487" s="20"/>
      <c r="W487" s="20"/>
      <c r="X487" s="20"/>
    </row>
    <row r="488" ht="13.5" customHeight="1" spans="1:24">
      <c r="A488" s="20"/>
      <c r="B488" s="20"/>
      <c r="C488" s="20"/>
      <c r="D488" s="20"/>
      <c r="E488" s="20"/>
      <c r="F488" s="20"/>
      <c r="G488" s="20"/>
      <c r="H488" s="20"/>
      <c r="I488" s="20"/>
      <c r="J488" s="20"/>
      <c r="K488" s="20"/>
      <c r="L488" s="20"/>
      <c r="M488" s="20"/>
      <c r="N488" s="20"/>
      <c r="O488" s="20"/>
      <c r="P488" s="20"/>
      <c r="Q488" s="20"/>
      <c r="R488" s="20"/>
      <c r="S488" s="20"/>
      <c r="T488" s="20"/>
      <c r="U488" s="20"/>
      <c r="V488" s="20"/>
      <c r="W488" s="20"/>
      <c r="X488" s="20"/>
    </row>
    <row r="489" ht="13.5" customHeight="1" spans="1:24">
      <c r="A489" s="20"/>
      <c r="B489" s="20"/>
      <c r="C489" s="20"/>
      <c r="D489" s="20"/>
      <c r="E489" s="20"/>
      <c r="F489" s="20"/>
      <c r="G489" s="20"/>
      <c r="H489" s="20"/>
      <c r="I489" s="20"/>
      <c r="J489" s="20"/>
      <c r="K489" s="20"/>
      <c r="L489" s="20"/>
      <c r="M489" s="20"/>
      <c r="N489" s="20"/>
      <c r="O489" s="20"/>
      <c r="P489" s="20"/>
      <c r="Q489" s="20"/>
      <c r="R489" s="20"/>
      <c r="S489" s="20"/>
      <c r="T489" s="20"/>
      <c r="U489" s="20"/>
      <c r="V489" s="20"/>
      <c r="W489" s="20"/>
      <c r="X489" s="20"/>
    </row>
    <row r="490" ht="13.5" customHeight="1" spans="1:24">
      <c r="A490" s="20"/>
      <c r="B490" s="20"/>
      <c r="C490" s="20"/>
      <c r="D490" s="20"/>
      <c r="E490" s="20"/>
      <c r="F490" s="20"/>
      <c r="G490" s="20"/>
      <c r="H490" s="20"/>
      <c r="I490" s="20"/>
      <c r="J490" s="20"/>
      <c r="K490" s="20"/>
      <c r="L490" s="20"/>
      <c r="M490" s="20"/>
      <c r="N490" s="20"/>
      <c r="O490" s="20"/>
      <c r="P490" s="20"/>
      <c r="Q490" s="20"/>
      <c r="R490" s="20"/>
      <c r="S490" s="20"/>
      <c r="T490" s="20"/>
      <c r="U490" s="20"/>
      <c r="V490" s="20"/>
      <c r="W490" s="20"/>
      <c r="X490" s="20"/>
    </row>
    <row r="491" ht="13.5" customHeight="1" spans="1:24">
      <c r="A491" s="20"/>
      <c r="B491" s="20"/>
      <c r="C491" s="20"/>
      <c r="D491" s="20"/>
      <c r="E491" s="20"/>
      <c r="F491" s="20"/>
      <c r="G491" s="20"/>
      <c r="H491" s="20"/>
      <c r="I491" s="20"/>
      <c r="J491" s="20"/>
      <c r="K491" s="20"/>
      <c r="L491" s="20"/>
      <c r="M491" s="20"/>
      <c r="N491" s="20"/>
      <c r="O491" s="20"/>
      <c r="P491" s="20"/>
      <c r="Q491" s="20"/>
      <c r="R491" s="20"/>
      <c r="S491" s="20"/>
      <c r="T491" s="20"/>
      <c r="U491" s="20"/>
      <c r="V491" s="20"/>
      <c r="W491" s="20"/>
      <c r="X491" s="20"/>
    </row>
    <row r="492" ht="13.5" customHeight="1" spans="1:24">
      <c r="A492" s="20"/>
      <c r="B492" s="20"/>
      <c r="C492" s="20"/>
      <c r="D492" s="20"/>
      <c r="E492" s="20"/>
      <c r="F492" s="20"/>
      <c r="G492" s="20"/>
      <c r="H492" s="20"/>
      <c r="I492" s="20"/>
      <c r="J492" s="20"/>
      <c r="K492" s="20"/>
      <c r="L492" s="20"/>
      <c r="M492" s="20"/>
      <c r="N492" s="20"/>
      <c r="O492" s="20"/>
      <c r="P492" s="20"/>
      <c r="Q492" s="20"/>
      <c r="R492" s="20"/>
      <c r="S492" s="20"/>
      <c r="T492" s="20"/>
      <c r="U492" s="20"/>
      <c r="V492" s="20"/>
      <c r="W492" s="20"/>
      <c r="X492" s="20"/>
    </row>
    <row r="493" ht="13.5" customHeight="1" spans="1:24">
      <c r="A493" s="20"/>
      <c r="B493" s="20"/>
      <c r="C493" s="20"/>
      <c r="D493" s="20"/>
      <c r="E493" s="20"/>
      <c r="F493" s="20"/>
      <c r="G493" s="20"/>
      <c r="H493" s="20"/>
      <c r="I493" s="20"/>
      <c r="J493" s="20"/>
      <c r="K493" s="20"/>
      <c r="L493" s="20"/>
      <c r="M493" s="20"/>
      <c r="N493" s="20"/>
      <c r="O493" s="20"/>
      <c r="P493" s="20"/>
      <c r="Q493" s="20"/>
      <c r="R493" s="20"/>
      <c r="S493" s="20"/>
      <c r="T493" s="20"/>
      <c r="U493" s="20"/>
      <c r="V493" s="20"/>
      <c r="W493" s="20"/>
      <c r="X493" s="20"/>
    </row>
    <row r="494" ht="13.5" customHeight="1" spans="1:24">
      <c r="A494" s="20"/>
      <c r="B494" s="20"/>
      <c r="C494" s="20"/>
      <c r="D494" s="20"/>
      <c r="E494" s="20"/>
      <c r="F494" s="20"/>
      <c r="G494" s="20"/>
      <c r="H494" s="20"/>
      <c r="I494" s="20"/>
      <c r="J494" s="20"/>
      <c r="K494" s="20"/>
      <c r="L494" s="20"/>
      <c r="M494" s="20"/>
      <c r="N494" s="20"/>
      <c r="O494" s="20"/>
      <c r="P494" s="20"/>
      <c r="Q494" s="20"/>
      <c r="R494" s="20"/>
      <c r="S494" s="20"/>
      <c r="T494" s="20"/>
      <c r="U494" s="20"/>
      <c r="V494" s="20"/>
      <c r="W494" s="20"/>
      <c r="X494" s="20"/>
    </row>
    <row r="495" ht="13.5" customHeight="1" spans="1:24">
      <c r="A495" s="20"/>
      <c r="B495" s="20"/>
      <c r="C495" s="20"/>
      <c r="D495" s="20"/>
      <c r="E495" s="20"/>
      <c r="F495" s="20"/>
      <c r="G495" s="20"/>
      <c r="H495" s="20"/>
      <c r="I495" s="20"/>
      <c r="J495" s="20"/>
      <c r="K495" s="20"/>
      <c r="L495" s="20"/>
      <c r="M495" s="20"/>
      <c r="N495" s="20"/>
      <c r="O495" s="20"/>
      <c r="P495" s="20"/>
      <c r="Q495" s="20"/>
      <c r="R495" s="20"/>
      <c r="S495" s="20"/>
      <c r="T495" s="20"/>
      <c r="U495" s="20"/>
      <c r="V495" s="20"/>
      <c r="W495" s="20"/>
      <c r="X495" s="20"/>
    </row>
    <row r="496" ht="13.5" customHeight="1" spans="1:24">
      <c r="A496" s="20"/>
      <c r="B496" s="20"/>
      <c r="C496" s="20"/>
      <c r="D496" s="20"/>
      <c r="E496" s="20"/>
      <c r="F496" s="20"/>
      <c r="G496" s="20"/>
      <c r="H496" s="20"/>
      <c r="I496" s="20"/>
      <c r="J496" s="20"/>
      <c r="K496" s="20"/>
      <c r="L496" s="20"/>
      <c r="M496" s="20"/>
      <c r="N496" s="20"/>
      <c r="O496" s="20"/>
      <c r="P496" s="20"/>
      <c r="Q496" s="20"/>
      <c r="R496" s="20"/>
      <c r="S496" s="20"/>
      <c r="T496" s="20"/>
      <c r="U496" s="20"/>
      <c r="V496" s="20"/>
      <c r="W496" s="20"/>
      <c r="X496" s="20"/>
    </row>
    <row r="497" ht="13.5" customHeight="1" spans="1:24">
      <c r="A497" s="20"/>
      <c r="B497" s="20"/>
      <c r="C497" s="20"/>
      <c r="D497" s="20"/>
      <c r="E497" s="20"/>
      <c r="F497" s="20"/>
      <c r="G497" s="20"/>
      <c r="H497" s="20"/>
      <c r="I497" s="20"/>
      <c r="J497" s="20"/>
      <c r="K497" s="20"/>
      <c r="L497" s="20"/>
      <c r="M497" s="20"/>
      <c r="N497" s="20"/>
      <c r="O497" s="20"/>
      <c r="P497" s="20"/>
      <c r="Q497" s="20"/>
      <c r="R497" s="20"/>
      <c r="S497" s="20"/>
      <c r="T497" s="20"/>
      <c r="U497" s="20"/>
      <c r="V497" s="20"/>
      <c r="W497" s="20"/>
      <c r="X497" s="20"/>
    </row>
    <row r="498" ht="13.5" customHeight="1" spans="1:24">
      <c r="A498" s="20"/>
      <c r="B498" s="20"/>
      <c r="C498" s="20"/>
      <c r="D498" s="20"/>
      <c r="E498" s="20"/>
      <c r="F498" s="20"/>
      <c r="G498" s="20"/>
      <c r="H498" s="20"/>
      <c r="I498" s="20"/>
      <c r="J498" s="20"/>
      <c r="K498" s="20"/>
      <c r="L498" s="20"/>
      <c r="M498" s="20"/>
      <c r="N498" s="20"/>
      <c r="O498" s="20"/>
      <c r="P498" s="20"/>
      <c r="Q498" s="20"/>
      <c r="R498" s="20"/>
      <c r="S498" s="20"/>
      <c r="T498" s="20"/>
      <c r="U498" s="20"/>
      <c r="V498" s="20"/>
      <c r="W498" s="20"/>
      <c r="X498" s="20"/>
    </row>
    <row r="499" ht="13.5" customHeight="1" spans="1:24">
      <c r="A499" s="20"/>
      <c r="B499" s="20"/>
      <c r="C499" s="20"/>
      <c r="D499" s="20"/>
      <c r="E499" s="20"/>
      <c r="F499" s="20"/>
      <c r="G499" s="20"/>
      <c r="H499" s="20"/>
      <c r="I499" s="20"/>
      <c r="J499" s="20"/>
      <c r="K499" s="20"/>
      <c r="L499" s="20"/>
      <c r="M499" s="20"/>
      <c r="N499" s="20"/>
      <c r="O499" s="20"/>
      <c r="P499" s="20"/>
      <c r="Q499" s="20"/>
      <c r="R499" s="20"/>
      <c r="S499" s="20"/>
      <c r="T499" s="20"/>
      <c r="U499" s="20"/>
      <c r="V499" s="20"/>
      <c r="W499" s="20"/>
      <c r="X499" s="20"/>
    </row>
    <row r="500" ht="13.5" customHeight="1" spans="1:24">
      <c r="A500" s="20"/>
      <c r="B500" s="20"/>
      <c r="C500" s="20"/>
      <c r="D500" s="20"/>
      <c r="E500" s="20"/>
      <c r="F500" s="20"/>
      <c r="G500" s="20"/>
      <c r="H500" s="20"/>
      <c r="I500" s="20"/>
      <c r="J500" s="20"/>
      <c r="K500" s="20"/>
      <c r="L500" s="20"/>
      <c r="M500" s="20"/>
      <c r="N500" s="20"/>
      <c r="O500" s="20"/>
      <c r="P500" s="20"/>
      <c r="Q500" s="20"/>
      <c r="R500" s="20"/>
      <c r="S500" s="20"/>
      <c r="T500" s="20"/>
      <c r="U500" s="20"/>
      <c r="V500" s="20"/>
      <c r="W500" s="20"/>
      <c r="X500" s="20"/>
    </row>
    <row r="501" ht="13.5" customHeight="1" spans="1:24">
      <c r="A501" s="20"/>
      <c r="B501" s="20"/>
      <c r="C501" s="20"/>
      <c r="D501" s="20"/>
      <c r="E501" s="20"/>
      <c r="F501" s="20"/>
      <c r="G501" s="20"/>
      <c r="H501" s="20"/>
      <c r="I501" s="20"/>
      <c r="J501" s="20"/>
      <c r="K501" s="20"/>
      <c r="L501" s="20"/>
      <c r="M501" s="20"/>
      <c r="N501" s="20"/>
      <c r="O501" s="20"/>
      <c r="P501" s="20"/>
      <c r="Q501" s="20"/>
      <c r="R501" s="20"/>
      <c r="S501" s="20"/>
      <c r="T501" s="20"/>
      <c r="U501" s="20"/>
      <c r="V501" s="20"/>
      <c r="W501" s="20"/>
      <c r="X501" s="20"/>
    </row>
    <row r="502" ht="13.5" customHeight="1" spans="1:24">
      <c r="A502" s="20"/>
      <c r="B502" s="20"/>
      <c r="C502" s="20"/>
      <c r="D502" s="20"/>
      <c r="E502" s="20"/>
      <c r="F502" s="20"/>
      <c r="G502" s="20"/>
      <c r="H502" s="20"/>
      <c r="I502" s="20"/>
      <c r="J502" s="20"/>
      <c r="K502" s="20"/>
      <c r="L502" s="20"/>
      <c r="M502" s="20"/>
      <c r="N502" s="20"/>
      <c r="O502" s="20"/>
      <c r="P502" s="20"/>
      <c r="Q502" s="20"/>
      <c r="R502" s="20"/>
      <c r="S502" s="20"/>
      <c r="T502" s="20"/>
      <c r="U502" s="20"/>
      <c r="V502" s="20"/>
      <c r="W502" s="20"/>
      <c r="X502" s="20"/>
    </row>
    <row r="503" ht="13.5" customHeight="1" spans="1:24">
      <c r="A503" s="20"/>
      <c r="B503" s="20"/>
      <c r="C503" s="20"/>
      <c r="D503" s="20"/>
      <c r="E503" s="20"/>
      <c r="F503" s="20"/>
      <c r="G503" s="20"/>
      <c r="H503" s="20"/>
      <c r="I503" s="20"/>
      <c r="J503" s="20"/>
      <c r="K503" s="20"/>
      <c r="L503" s="20"/>
      <c r="M503" s="20"/>
      <c r="N503" s="20"/>
      <c r="O503" s="20"/>
      <c r="P503" s="20"/>
      <c r="Q503" s="20"/>
      <c r="R503" s="20"/>
      <c r="S503" s="20"/>
      <c r="T503" s="20"/>
      <c r="U503" s="20"/>
      <c r="V503" s="20"/>
      <c r="W503" s="20"/>
      <c r="X503" s="20"/>
    </row>
    <row r="504" ht="13.5" customHeight="1" spans="1:24">
      <c r="A504" s="20"/>
      <c r="B504" s="20"/>
      <c r="C504" s="20"/>
      <c r="D504" s="20"/>
      <c r="E504" s="20"/>
      <c r="F504" s="20"/>
      <c r="G504" s="20"/>
      <c r="H504" s="20"/>
      <c r="I504" s="20"/>
      <c r="J504" s="20"/>
      <c r="K504" s="20"/>
      <c r="L504" s="20"/>
      <c r="M504" s="20"/>
      <c r="N504" s="20"/>
      <c r="O504" s="20"/>
      <c r="P504" s="20"/>
      <c r="Q504" s="20"/>
      <c r="R504" s="20"/>
      <c r="S504" s="20"/>
      <c r="T504" s="20"/>
      <c r="U504" s="20"/>
      <c r="V504" s="20"/>
      <c r="W504" s="20"/>
      <c r="X504" s="20"/>
    </row>
    <row r="505" ht="13.5" customHeight="1" spans="1:24">
      <c r="A505" s="20"/>
      <c r="B505" s="20"/>
      <c r="C505" s="20"/>
      <c r="D505" s="20"/>
      <c r="E505" s="20"/>
      <c r="F505" s="20"/>
      <c r="G505" s="20"/>
      <c r="H505" s="20"/>
      <c r="I505" s="20"/>
      <c r="J505" s="20"/>
      <c r="K505" s="20"/>
      <c r="L505" s="20"/>
      <c r="M505" s="20"/>
      <c r="N505" s="20"/>
      <c r="O505" s="20"/>
      <c r="P505" s="20"/>
      <c r="Q505" s="20"/>
      <c r="R505" s="20"/>
      <c r="S505" s="20"/>
      <c r="T505" s="20"/>
      <c r="U505" s="20"/>
      <c r="V505" s="20"/>
      <c r="W505" s="20"/>
      <c r="X505" s="20"/>
    </row>
    <row r="506" ht="13.5" customHeight="1" spans="1:24">
      <c r="A506" s="20"/>
      <c r="B506" s="20"/>
      <c r="C506" s="20"/>
      <c r="D506" s="20"/>
      <c r="E506" s="20"/>
      <c r="F506" s="20"/>
      <c r="G506" s="20"/>
      <c r="H506" s="20"/>
      <c r="I506" s="20"/>
      <c r="J506" s="20"/>
      <c r="K506" s="20"/>
      <c r="L506" s="20"/>
      <c r="M506" s="20"/>
      <c r="N506" s="20"/>
      <c r="O506" s="20"/>
      <c r="P506" s="20"/>
      <c r="Q506" s="20"/>
      <c r="R506" s="20"/>
      <c r="S506" s="20"/>
      <c r="T506" s="20"/>
      <c r="U506" s="20"/>
      <c r="V506" s="20"/>
      <c r="W506" s="20"/>
      <c r="X506" s="20"/>
    </row>
    <row r="507" ht="13.5" customHeight="1" spans="1:24">
      <c r="A507" s="20"/>
      <c r="B507" s="20"/>
      <c r="C507" s="20"/>
      <c r="D507" s="20"/>
      <c r="E507" s="20"/>
      <c r="F507" s="20"/>
      <c r="G507" s="20"/>
      <c r="H507" s="20"/>
      <c r="I507" s="20"/>
      <c r="J507" s="20"/>
      <c r="K507" s="20"/>
      <c r="L507" s="20"/>
      <c r="M507" s="20"/>
      <c r="N507" s="20"/>
      <c r="O507" s="20"/>
      <c r="P507" s="20"/>
      <c r="Q507" s="20"/>
      <c r="R507" s="20"/>
      <c r="S507" s="20"/>
      <c r="T507" s="20"/>
      <c r="U507" s="20"/>
      <c r="V507" s="20"/>
      <c r="W507" s="20"/>
      <c r="X507" s="20"/>
    </row>
    <row r="508" ht="13.5" customHeight="1" spans="1:24">
      <c r="A508" s="20"/>
      <c r="B508" s="20"/>
      <c r="C508" s="20"/>
      <c r="D508" s="20"/>
      <c r="E508" s="20"/>
      <c r="F508" s="20"/>
      <c r="G508" s="20"/>
      <c r="H508" s="20"/>
      <c r="I508" s="20"/>
      <c r="J508" s="20"/>
      <c r="K508" s="20"/>
      <c r="L508" s="20"/>
      <c r="M508" s="20"/>
      <c r="N508" s="20"/>
      <c r="O508" s="20"/>
      <c r="P508" s="20"/>
      <c r="Q508" s="20"/>
      <c r="R508" s="20"/>
      <c r="S508" s="20"/>
      <c r="T508" s="20"/>
      <c r="U508" s="20"/>
      <c r="V508" s="20"/>
      <c r="W508" s="20"/>
      <c r="X508" s="20"/>
    </row>
    <row r="509" ht="13.5" customHeight="1" spans="1:24">
      <c r="A509" s="20"/>
      <c r="B509" s="20"/>
      <c r="C509" s="20"/>
      <c r="D509" s="20"/>
      <c r="E509" s="20"/>
      <c r="F509" s="20"/>
      <c r="G509" s="20"/>
      <c r="H509" s="20"/>
      <c r="I509" s="20"/>
      <c r="J509" s="20"/>
      <c r="K509" s="20"/>
      <c r="L509" s="20"/>
      <c r="M509" s="20"/>
      <c r="N509" s="20"/>
      <c r="O509" s="20"/>
      <c r="P509" s="20"/>
      <c r="Q509" s="20"/>
      <c r="R509" s="20"/>
      <c r="S509" s="20"/>
      <c r="T509" s="20"/>
      <c r="U509" s="20"/>
      <c r="V509" s="20"/>
      <c r="W509" s="20"/>
      <c r="X509" s="20"/>
    </row>
    <row r="510" ht="13.5" customHeight="1" spans="1:24">
      <c r="A510" s="20"/>
      <c r="B510" s="20"/>
      <c r="C510" s="20"/>
      <c r="D510" s="20"/>
      <c r="E510" s="20"/>
      <c r="F510" s="20"/>
      <c r="G510" s="20"/>
      <c r="H510" s="20"/>
      <c r="I510" s="20"/>
      <c r="J510" s="20"/>
      <c r="K510" s="20"/>
      <c r="L510" s="20"/>
      <c r="M510" s="20"/>
      <c r="N510" s="20"/>
      <c r="O510" s="20"/>
      <c r="P510" s="20"/>
      <c r="Q510" s="20"/>
      <c r="R510" s="20"/>
      <c r="S510" s="20"/>
      <c r="T510" s="20"/>
      <c r="U510" s="20"/>
      <c r="V510" s="20"/>
      <c r="W510" s="20"/>
      <c r="X510" s="20"/>
    </row>
    <row r="511" ht="13.5" customHeight="1" spans="1:24">
      <c r="A511" s="20"/>
      <c r="B511" s="20"/>
      <c r="C511" s="20"/>
      <c r="D511" s="20"/>
      <c r="E511" s="20"/>
      <c r="F511" s="20"/>
      <c r="G511" s="20"/>
      <c r="H511" s="20"/>
      <c r="I511" s="20"/>
      <c r="J511" s="20"/>
      <c r="K511" s="20"/>
      <c r="L511" s="20"/>
      <c r="M511" s="20"/>
      <c r="N511" s="20"/>
      <c r="O511" s="20"/>
      <c r="P511" s="20"/>
      <c r="Q511" s="20"/>
      <c r="R511" s="20"/>
      <c r="S511" s="20"/>
      <c r="T511" s="20"/>
      <c r="U511" s="20"/>
      <c r="V511" s="20"/>
      <c r="W511" s="20"/>
      <c r="X511" s="20"/>
    </row>
    <row r="512" ht="13.5" customHeight="1" spans="1:24">
      <c r="A512" s="20"/>
      <c r="B512" s="20"/>
      <c r="C512" s="20"/>
      <c r="D512" s="20"/>
      <c r="E512" s="20"/>
      <c r="F512" s="20"/>
      <c r="G512" s="20"/>
      <c r="H512" s="20"/>
      <c r="I512" s="20"/>
      <c r="J512" s="20"/>
      <c r="K512" s="20"/>
      <c r="L512" s="20"/>
      <c r="M512" s="20"/>
      <c r="N512" s="20"/>
      <c r="O512" s="20"/>
      <c r="P512" s="20"/>
      <c r="Q512" s="20"/>
      <c r="R512" s="20"/>
      <c r="S512" s="20"/>
      <c r="T512" s="20"/>
      <c r="U512" s="20"/>
      <c r="V512" s="20"/>
      <c r="W512" s="20"/>
      <c r="X512" s="20"/>
    </row>
    <row r="513" ht="13.5" customHeight="1" spans="1:24">
      <c r="A513" s="20"/>
      <c r="B513" s="20"/>
      <c r="C513" s="20"/>
      <c r="D513" s="20"/>
      <c r="E513" s="20"/>
      <c r="F513" s="20"/>
      <c r="G513" s="20"/>
      <c r="H513" s="20"/>
      <c r="I513" s="20"/>
      <c r="J513" s="20"/>
      <c r="K513" s="20"/>
      <c r="L513" s="20"/>
      <c r="M513" s="20"/>
      <c r="N513" s="20"/>
      <c r="O513" s="20"/>
      <c r="P513" s="20"/>
      <c r="Q513" s="20"/>
      <c r="R513" s="20"/>
      <c r="S513" s="20"/>
      <c r="T513" s="20"/>
      <c r="U513" s="20"/>
      <c r="V513" s="20"/>
      <c r="W513" s="20"/>
      <c r="X513" s="20"/>
    </row>
    <row r="514" ht="13.5" customHeight="1" spans="1:24">
      <c r="A514" s="20"/>
      <c r="B514" s="20"/>
      <c r="C514" s="20"/>
      <c r="D514" s="20"/>
      <c r="E514" s="20"/>
      <c r="F514" s="20"/>
      <c r="G514" s="20"/>
      <c r="H514" s="20"/>
      <c r="I514" s="20"/>
      <c r="J514" s="20"/>
      <c r="K514" s="20"/>
      <c r="L514" s="20"/>
      <c r="M514" s="20"/>
      <c r="N514" s="20"/>
      <c r="O514" s="20"/>
      <c r="P514" s="20"/>
      <c r="Q514" s="20"/>
      <c r="R514" s="20"/>
      <c r="S514" s="20"/>
      <c r="T514" s="20"/>
      <c r="U514" s="20"/>
      <c r="V514" s="20"/>
      <c r="W514" s="20"/>
      <c r="X514" s="20"/>
    </row>
    <row r="515" ht="13.5" customHeight="1" spans="1:24">
      <c r="A515" s="20"/>
      <c r="B515" s="20"/>
      <c r="C515" s="20"/>
      <c r="D515" s="20"/>
      <c r="E515" s="20"/>
      <c r="F515" s="20"/>
      <c r="G515" s="20"/>
      <c r="H515" s="20"/>
      <c r="I515" s="20"/>
      <c r="J515" s="20"/>
      <c r="K515" s="20"/>
      <c r="L515" s="20"/>
      <c r="M515" s="20"/>
      <c r="N515" s="20"/>
      <c r="O515" s="20"/>
      <c r="P515" s="20"/>
      <c r="Q515" s="20"/>
      <c r="R515" s="20"/>
      <c r="S515" s="20"/>
      <c r="T515" s="20"/>
      <c r="U515" s="20"/>
      <c r="V515" s="20"/>
      <c r="W515" s="20"/>
      <c r="X515" s="20"/>
    </row>
    <row r="516" ht="13.5" customHeight="1" spans="1:24">
      <c r="A516" s="20"/>
      <c r="B516" s="20"/>
      <c r="C516" s="20"/>
      <c r="D516" s="20"/>
      <c r="E516" s="20"/>
      <c r="F516" s="20"/>
      <c r="G516" s="20"/>
      <c r="H516" s="20"/>
      <c r="I516" s="20"/>
      <c r="J516" s="20"/>
      <c r="K516" s="20"/>
      <c r="L516" s="20"/>
      <c r="M516" s="20"/>
      <c r="N516" s="20"/>
      <c r="O516" s="20"/>
      <c r="P516" s="20"/>
      <c r="Q516" s="20"/>
      <c r="R516" s="20"/>
      <c r="S516" s="20"/>
      <c r="T516" s="20"/>
      <c r="U516" s="20"/>
      <c r="V516" s="20"/>
      <c r="W516" s="20"/>
      <c r="X516" s="20"/>
    </row>
    <row r="517" ht="13.5" customHeight="1" spans="1:24">
      <c r="A517" s="20"/>
      <c r="B517" s="20"/>
      <c r="C517" s="20"/>
      <c r="D517" s="20"/>
      <c r="E517" s="20"/>
      <c r="F517" s="20"/>
      <c r="G517" s="20"/>
      <c r="H517" s="20"/>
      <c r="I517" s="20"/>
      <c r="J517" s="20"/>
      <c r="K517" s="20"/>
      <c r="L517" s="20"/>
      <c r="M517" s="20"/>
      <c r="N517" s="20"/>
      <c r="O517" s="20"/>
      <c r="P517" s="20"/>
      <c r="Q517" s="20"/>
      <c r="R517" s="20"/>
      <c r="S517" s="20"/>
      <c r="T517" s="20"/>
      <c r="U517" s="20"/>
      <c r="V517" s="20"/>
      <c r="W517" s="20"/>
      <c r="X517" s="20"/>
    </row>
    <row r="518" ht="13.5" customHeight="1" spans="1:24">
      <c r="A518" s="20"/>
      <c r="B518" s="20"/>
      <c r="C518" s="20"/>
      <c r="D518" s="20"/>
      <c r="E518" s="20"/>
      <c r="F518" s="20"/>
      <c r="G518" s="20"/>
      <c r="H518" s="20"/>
      <c r="I518" s="20"/>
      <c r="J518" s="20"/>
      <c r="K518" s="20"/>
      <c r="L518" s="20"/>
      <c r="M518" s="20"/>
      <c r="N518" s="20"/>
      <c r="O518" s="20"/>
      <c r="P518" s="20"/>
      <c r="Q518" s="20"/>
      <c r="R518" s="20"/>
      <c r="S518" s="20"/>
      <c r="T518" s="20"/>
      <c r="U518" s="20"/>
      <c r="V518" s="20"/>
      <c r="W518" s="20"/>
      <c r="X518" s="20"/>
    </row>
    <row r="519" ht="13.5" customHeight="1" spans="1:24">
      <c r="A519" s="20"/>
      <c r="B519" s="20"/>
      <c r="C519" s="20"/>
      <c r="D519" s="20"/>
      <c r="E519" s="20"/>
      <c r="F519" s="20"/>
      <c r="G519" s="20"/>
      <c r="H519" s="20"/>
      <c r="I519" s="20"/>
      <c r="J519" s="20"/>
      <c r="K519" s="20"/>
      <c r="L519" s="20"/>
      <c r="M519" s="20"/>
      <c r="N519" s="20"/>
      <c r="O519" s="20"/>
      <c r="P519" s="20"/>
      <c r="Q519" s="20"/>
      <c r="R519" s="20"/>
      <c r="S519" s="20"/>
      <c r="T519" s="20"/>
      <c r="U519" s="20"/>
      <c r="V519" s="20"/>
      <c r="W519" s="20"/>
      <c r="X519" s="20"/>
    </row>
    <row r="520" ht="13.5" customHeight="1" spans="1:24">
      <c r="A520" s="20"/>
      <c r="B520" s="20"/>
      <c r="C520" s="20"/>
      <c r="D520" s="20"/>
      <c r="E520" s="20"/>
      <c r="F520" s="20"/>
      <c r="G520" s="20"/>
      <c r="H520" s="20"/>
      <c r="I520" s="20"/>
      <c r="J520" s="20"/>
      <c r="K520" s="20"/>
      <c r="L520" s="20"/>
      <c r="M520" s="20"/>
      <c r="N520" s="20"/>
      <c r="O520" s="20"/>
      <c r="P520" s="20"/>
      <c r="Q520" s="20"/>
      <c r="R520" s="20"/>
      <c r="S520" s="20"/>
      <c r="T520" s="20"/>
      <c r="U520" s="20"/>
      <c r="V520" s="20"/>
      <c r="W520" s="20"/>
      <c r="X520" s="20"/>
    </row>
    <row r="521" ht="13.5" customHeight="1" spans="1:24">
      <c r="A521" s="20"/>
      <c r="B521" s="20"/>
      <c r="C521" s="20"/>
      <c r="D521" s="20"/>
      <c r="E521" s="20"/>
      <c r="F521" s="20"/>
      <c r="G521" s="20"/>
      <c r="H521" s="20"/>
      <c r="I521" s="20"/>
      <c r="J521" s="20"/>
      <c r="K521" s="20"/>
      <c r="L521" s="20"/>
      <c r="M521" s="20"/>
      <c r="N521" s="20"/>
      <c r="O521" s="20"/>
      <c r="P521" s="20"/>
      <c r="Q521" s="20"/>
      <c r="R521" s="20"/>
      <c r="S521" s="20"/>
      <c r="T521" s="20"/>
      <c r="U521" s="20"/>
      <c r="V521" s="20"/>
      <c r="W521" s="20"/>
      <c r="X521" s="20"/>
    </row>
    <row r="522" ht="13.5" customHeight="1" spans="1:24">
      <c r="A522" s="20"/>
      <c r="B522" s="20"/>
      <c r="C522" s="20"/>
      <c r="D522" s="20"/>
      <c r="E522" s="20"/>
      <c r="F522" s="20"/>
      <c r="G522" s="20"/>
      <c r="H522" s="20"/>
      <c r="I522" s="20"/>
      <c r="J522" s="20"/>
      <c r="K522" s="20"/>
      <c r="L522" s="20"/>
      <c r="M522" s="20"/>
      <c r="N522" s="20"/>
      <c r="O522" s="20"/>
      <c r="P522" s="20"/>
      <c r="Q522" s="20"/>
      <c r="R522" s="20"/>
      <c r="S522" s="20"/>
      <c r="T522" s="20"/>
      <c r="U522" s="20"/>
      <c r="V522" s="20"/>
      <c r="W522" s="20"/>
      <c r="X522" s="20"/>
    </row>
    <row r="523" ht="13.5" customHeight="1" spans="1:24">
      <c r="A523" s="20"/>
      <c r="B523" s="20"/>
      <c r="C523" s="20"/>
      <c r="D523" s="20"/>
      <c r="E523" s="20"/>
      <c r="F523" s="20"/>
      <c r="G523" s="20"/>
      <c r="H523" s="20"/>
      <c r="I523" s="20"/>
      <c r="J523" s="20"/>
      <c r="K523" s="20"/>
      <c r="L523" s="20"/>
      <c r="M523" s="20"/>
      <c r="N523" s="20"/>
      <c r="O523" s="20"/>
      <c r="P523" s="20"/>
      <c r="Q523" s="20"/>
      <c r="R523" s="20"/>
      <c r="S523" s="20"/>
      <c r="T523" s="20"/>
      <c r="U523" s="20"/>
      <c r="V523" s="20"/>
      <c r="W523" s="20"/>
      <c r="X523" s="20"/>
    </row>
    <row r="524" ht="13.5" customHeight="1" spans="1:24">
      <c r="A524" s="20"/>
      <c r="B524" s="20"/>
      <c r="C524" s="20"/>
      <c r="D524" s="20"/>
      <c r="E524" s="20"/>
      <c r="F524" s="20"/>
      <c r="G524" s="20"/>
      <c r="H524" s="20"/>
      <c r="I524" s="20"/>
      <c r="J524" s="20"/>
      <c r="K524" s="20"/>
      <c r="L524" s="20"/>
      <c r="M524" s="20"/>
      <c r="N524" s="20"/>
      <c r="O524" s="20"/>
      <c r="P524" s="20"/>
      <c r="Q524" s="20"/>
      <c r="R524" s="20"/>
      <c r="S524" s="20"/>
      <c r="T524" s="20"/>
      <c r="U524" s="20"/>
      <c r="V524" s="20"/>
      <c r="W524" s="20"/>
      <c r="X524" s="20"/>
    </row>
    <row r="525" ht="13.5" customHeight="1" spans="1:24">
      <c r="A525" s="20"/>
      <c r="B525" s="20"/>
      <c r="C525" s="20"/>
      <c r="D525" s="20"/>
      <c r="E525" s="20"/>
      <c r="F525" s="20"/>
      <c r="G525" s="20"/>
      <c r="H525" s="20"/>
      <c r="I525" s="20"/>
      <c r="J525" s="20"/>
      <c r="K525" s="20"/>
      <c r="L525" s="20"/>
      <c r="M525" s="20"/>
      <c r="N525" s="20"/>
      <c r="O525" s="20"/>
      <c r="P525" s="20"/>
      <c r="Q525" s="20"/>
      <c r="R525" s="20"/>
      <c r="S525" s="20"/>
      <c r="T525" s="20"/>
      <c r="U525" s="20"/>
      <c r="V525" s="20"/>
      <c r="W525" s="20"/>
      <c r="X525" s="20"/>
    </row>
    <row r="526" ht="13.5" customHeight="1" spans="1:24">
      <c r="A526" s="20"/>
      <c r="B526" s="20"/>
      <c r="C526" s="20"/>
      <c r="D526" s="20"/>
      <c r="E526" s="20"/>
      <c r="F526" s="20"/>
      <c r="G526" s="20"/>
      <c r="H526" s="20"/>
      <c r="I526" s="20"/>
      <c r="J526" s="20"/>
      <c r="K526" s="20"/>
      <c r="L526" s="20"/>
      <c r="M526" s="20"/>
      <c r="N526" s="20"/>
      <c r="O526" s="20"/>
      <c r="P526" s="20"/>
      <c r="Q526" s="20"/>
      <c r="R526" s="20"/>
      <c r="S526" s="20"/>
      <c r="T526" s="20"/>
      <c r="U526" s="20"/>
      <c r="V526" s="20"/>
      <c r="W526" s="20"/>
      <c r="X526" s="20"/>
    </row>
    <row r="527" ht="13.5" customHeight="1" spans="1:24">
      <c r="A527" s="20"/>
      <c r="B527" s="20"/>
      <c r="C527" s="20"/>
      <c r="D527" s="20"/>
      <c r="E527" s="20"/>
      <c r="F527" s="20"/>
      <c r="G527" s="20"/>
      <c r="H527" s="20"/>
      <c r="I527" s="20"/>
      <c r="J527" s="20"/>
      <c r="K527" s="20"/>
      <c r="L527" s="20"/>
      <c r="M527" s="20"/>
      <c r="N527" s="20"/>
      <c r="O527" s="20"/>
      <c r="P527" s="20"/>
      <c r="Q527" s="20"/>
      <c r="R527" s="20"/>
      <c r="S527" s="20"/>
      <c r="T527" s="20"/>
      <c r="U527" s="20"/>
      <c r="V527" s="20"/>
      <c r="W527" s="20"/>
      <c r="X527" s="20"/>
    </row>
    <row r="528" ht="13.5" customHeight="1" spans="1:24">
      <c r="A528" s="20"/>
      <c r="B528" s="20"/>
      <c r="C528" s="20"/>
      <c r="D528" s="20"/>
      <c r="E528" s="20"/>
      <c r="F528" s="20"/>
      <c r="G528" s="20"/>
      <c r="H528" s="20"/>
      <c r="I528" s="20"/>
      <c r="J528" s="20"/>
      <c r="K528" s="20"/>
      <c r="L528" s="20"/>
      <c r="M528" s="20"/>
      <c r="N528" s="20"/>
      <c r="O528" s="20"/>
      <c r="P528" s="20"/>
      <c r="Q528" s="20"/>
      <c r="R528" s="20"/>
      <c r="S528" s="20"/>
      <c r="T528" s="20"/>
      <c r="U528" s="20"/>
      <c r="V528" s="20"/>
      <c r="W528" s="20"/>
      <c r="X528" s="20"/>
    </row>
    <row r="529" ht="13.5" customHeight="1" spans="1:24">
      <c r="A529" s="20"/>
      <c r="B529" s="20"/>
      <c r="C529" s="20"/>
      <c r="D529" s="20"/>
      <c r="E529" s="20"/>
      <c r="F529" s="20"/>
      <c r="G529" s="20"/>
      <c r="H529" s="20"/>
      <c r="I529" s="20"/>
      <c r="J529" s="20"/>
      <c r="K529" s="20"/>
      <c r="L529" s="20"/>
      <c r="M529" s="20"/>
      <c r="N529" s="20"/>
      <c r="O529" s="20"/>
      <c r="P529" s="20"/>
      <c r="Q529" s="20"/>
      <c r="R529" s="20"/>
      <c r="S529" s="20"/>
      <c r="T529" s="20"/>
      <c r="U529" s="20"/>
      <c r="V529" s="20"/>
      <c r="W529" s="20"/>
      <c r="X529" s="20"/>
    </row>
    <row r="530" ht="13.5" customHeight="1" spans="1:24">
      <c r="A530" s="20"/>
      <c r="B530" s="20"/>
      <c r="C530" s="20"/>
      <c r="D530" s="20"/>
      <c r="E530" s="20"/>
      <c r="F530" s="20"/>
      <c r="G530" s="20"/>
      <c r="H530" s="20"/>
      <c r="I530" s="20"/>
      <c r="J530" s="20"/>
      <c r="K530" s="20"/>
      <c r="L530" s="20"/>
      <c r="M530" s="20"/>
      <c r="N530" s="20"/>
      <c r="O530" s="20"/>
      <c r="P530" s="20"/>
      <c r="Q530" s="20"/>
      <c r="R530" s="20"/>
      <c r="S530" s="20"/>
      <c r="T530" s="20"/>
      <c r="U530" s="20"/>
      <c r="V530" s="20"/>
      <c r="W530" s="20"/>
      <c r="X530" s="20"/>
    </row>
    <row r="531" ht="13.5" customHeight="1" spans="1:24">
      <c r="A531" s="20"/>
      <c r="B531" s="20"/>
      <c r="C531" s="20"/>
      <c r="D531" s="20"/>
      <c r="E531" s="20"/>
      <c r="F531" s="20"/>
      <c r="G531" s="20"/>
      <c r="H531" s="20"/>
      <c r="I531" s="20"/>
      <c r="J531" s="20"/>
      <c r="K531" s="20"/>
      <c r="L531" s="20"/>
      <c r="M531" s="20"/>
      <c r="N531" s="20"/>
      <c r="O531" s="20"/>
      <c r="P531" s="20"/>
      <c r="Q531" s="20"/>
      <c r="R531" s="20"/>
      <c r="S531" s="20"/>
      <c r="T531" s="20"/>
      <c r="U531" s="20"/>
      <c r="V531" s="20"/>
      <c r="W531" s="20"/>
      <c r="X531" s="20"/>
    </row>
    <row r="532" ht="13.5" customHeight="1" spans="1:24">
      <c r="A532" s="20"/>
      <c r="B532" s="20"/>
      <c r="C532" s="20"/>
      <c r="D532" s="20"/>
      <c r="E532" s="20"/>
      <c r="F532" s="20"/>
      <c r="G532" s="20"/>
      <c r="H532" s="20"/>
      <c r="I532" s="20"/>
      <c r="J532" s="20"/>
      <c r="K532" s="20"/>
      <c r="L532" s="20"/>
      <c r="M532" s="20"/>
      <c r="N532" s="20"/>
      <c r="O532" s="20"/>
      <c r="P532" s="20"/>
      <c r="Q532" s="20"/>
      <c r="R532" s="20"/>
      <c r="S532" s="20"/>
      <c r="T532" s="20"/>
      <c r="U532" s="20"/>
      <c r="V532" s="20"/>
      <c r="W532" s="20"/>
      <c r="X532" s="20"/>
    </row>
    <row r="533" ht="13.5" customHeight="1" spans="1:24">
      <c r="A533" s="20"/>
      <c r="B533" s="20"/>
      <c r="C533" s="20"/>
      <c r="D533" s="20"/>
      <c r="E533" s="20"/>
      <c r="F533" s="20"/>
      <c r="G533" s="20"/>
      <c r="H533" s="20"/>
      <c r="I533" s="20"/>
      <c r="J533" s="20"/>
      <c r="K533" s="20"/>
      <c r="L533" s="20"/>
      <c r="M533" s="20"/>
      <c r="N533" s="20"/>
      <c r="O533" s="20"/>
      <c r="P533" s="20"/>
      <c r="Q533" s="20"/>
      <c r="R533" s="20"/>
      <c r="S533" s="20"/>
      <c r="T533" s="20"/>
      <c r="U533" s="20"/>
      <c r="V533" s="20"/>
      <c r="W533" s="20"/>
      <c r="X533" s="20"/>
    </row>
    <row r="534" ht="13.5" customHeight="1" spans="1:24">
      <c r="A534" s="20"/>
      <c r="B534" s="20"/>
      <c r="C534" s="20"/>
      <c r="D534" s="20"/>
      <c r="E534" s="20"/>
      <c r="F534" s="20"/>
      <c r="G534" s="20"/>
      <c r="H534" s="20"/>
      <c r="I534" s="20"/>
      <c r="J534" s="20"/>
      <c r="K534" s="20"/>
      <c r="L534" s="20"/>
      <c r="M534" s="20"/>
      <c r="N534" s="20"/>
      <c r="O534" s="20"/>
      <c r="P534" s="20"/>
      <c r="Q534" s="20"/>
      <c r="R534" s="20"/>
      <c r="S534" s="20"/>
      <c r="T534" s="20"/>
      <c r="U534" s="20"/>
      <c r="V534" s="20"/>
      <c r="W534" s="20"/>
      <c r="X534" s="20"/>
    </row>
    <row r="535" ht="13.5" customHeight="1" spans="1:24">
      <c r="A535" s="20"/>
      <c r="B535" s="20"/>
      <c r="C535" s="20"/>
      <c r="D535" s="20"/>
      <c r="E535" s="20"/>
      <c r="F535" s="20"/>
      <c r="G535" s="20"/>
      <c r="H535" s="20"/>
      <c r="I535" s="20"/>
      <c r="J535" s="20"/>
      <c r="K535" s="20"/>
      <c r="L535" s="20"/>
      <c r="M535" s="20"/>
      <c r="N535" s="20"/>
      <c r="O535" s="20"/>
      <c r="P535" s="20"/>
      <c r="Q535" s="20"/>
      <c r="R535" s="20"/>
      <c r="S535" s="20"/>
      <c r="T535" s="20"/>
      <c r="U535" s="20"/>
      <c r="V535" s="20"/>
      <c r="W535" s="20"/>
      <c r="X535" s="20"/>
    </row>
    <row r="536" ht="13.5" customHeight="1" spans="1:24">
      <c r="A536" s="20"/>
      <c r="B536" s="20"/>
      <c r="C536" s="20"/>
      <c r="D536" s="20"/>
      <c r="E536" s="20"/>
      <c r="F536" s="20"/>
      <c r="G536" s="20"/>
      <c r="H536" s="20"/>
      <c r="I536" s="20"/>
      <c r="J536" s="20"/>
      <c r="K536" s="20"/>
      <c r="L536" s="20"/>
      <c r="M536" s="20"/>
      <c r="N536" s="20"/>
      <c r="O536" s="20"/>
      <c r="P536" s="20"/>
      <c r="Q536" s="20"/>
      <c r="R536" s="20"/>
      <c r="S536" s="20"/>
      <c r="T536" s="20"/>
      <c r="U536" s="20"/>
      <c r="V536" s="20"/>
      <c r="W536" s="20"/>
      <c r="X536" s="20"/>
    </row>
    <row r="537" ht="13.5" customHeight="1" spans="1:24">
      <c r="A537" s="20"/>
      <c r="B537" s="20"/>
      <c r="C537" s="20"/>
      <c r="D537" s="20"/>
      <c r="E537" s="20"/>
      <c r="F537" s="20"/>
      <c r="G537" s="20"/>
      <c r="H537" s="20"/>
      <c r="I537" s="20"/>
      <c r="J537" s="20"/>
      <c r="K537" s="20"/>
      <c r="L537" s="20"/>
      <c r="M537" s="20"/>
      <c r="N537" s="20"/>
      <c r="O537" s="20"/>
      <c r="P537" s="20"/>
      <c r="Q537" s="20"/>
      <c r="R537" s="20"/>
      <c r="S537" s="20"/>
      <c r="T537" s="20"/>
      <c r="U537" s="20"/>
      <c r="V537" s="20"/>
      <c r="W537" s="20"/>
      <c r="X537" s="20"/>
    </row>
    <row r="538" ht="13.5" customHeight="1" spans="1:24">
      <c r="A538" s="20"/>
      <c r="B538" s="20"/>
      <c r="C538" s="20"/>
      <c r="D538" s="20"/>
      <c r="E538" s="20"/>
      <c r="F538" s="20"/>
      <c r="G538" s="20"/>
      <c r="H538" s="20"/>
      <c r="I538" s="20"/>
      <c r="J538" s="20"/>
      <c r="K538" s="20"/>
      <c r="L538" s="20"/>
      <c r="M538" s="20"/>
      <c r="N538" s="20"/>
      <c r="O538" s="20"/>
      <c r="P538" s="20"/>
      <c r="Q538" s="20"/>
      <c r="R538" s="20"/>
      <c r="S538" s="20"/>
      <c r="T538" s="20"/>
      <c r="U538" s="20"/>
      <c r="V538" s="20"/>
      <c r="W538" s="20"/>
      <c r="X538" s="20"/>
    </row>
    <row r="539" ht="13.5" customHeight="1" spans="1:24">
      <c r="A539" s="20"/>
      <c r="B539" s="20"/>
      <c r="C539" s="20"/>
      <c r="D539" s="20"/>
      <c r="E539" s="20"/>
      <c r="F539" s="20"/>
      <c r="G539" s="20"/>
      <c r="H539" s="20"/>
      <c r="I539" s="20"/>
      <c r="J539" s="20"/>
      <c r="K539" s="20"/>
      <c r="L539" s="20"/>
      <c r="M539" s="20"/>
      <c r="N539" s="20"/>
      <c r="O539" s="20"/>
      <c r="P539" s="20"/>
      <c r="Q539" s="20"/>
      <c r="R539" s="20"/>
      <c r="S539" s="20"/>
      <c r="T539" s="20"/>
      <c r="U539" s="20"/>
      <c r="V539" s="20"/>
      <c r="W539" s="20"/>
      <c r="X539" s="20"/>
    </row>
    <row r="540" ht="13.5" customHeight="1" spans="1:24">
      <c r="A540" s="20"/>
      <c r="B540" s="20"/>
      <c r="C540" s="20"/>
      <c r="D540" s="20"/>
      <c r="E540" s="20"/>
      <c r="F540" s="20"/>
      <c r="G540" s="20"/>
      <c r="H540" s="20"/>
      <c r="I540" s="20"/>
      <c r="J540" s="20"/>
      <c r="K540" s="20"/>
      <c r="L540" s="20"/>
      <c r="M540" s="20"/>
      <c r="N540" s="20"/>
      <c r="O540" s="20"/>
      <c r="P540" s="20"/>
      <c r="Q540" s="20"/>
      <c r="R540" s="20"/>
      <c r="S540" s="20"/>
      <c r="T540" s="20"/>
      <c r="U540" s="20"/>
      <c r="V540" s="20"/>
      <c r="W540" s="20"/>
      <c r="X540" s="20"/>
    </row>
    <row r="541" ht="13.5" customHeight="1" spans="1:24">
      <c r="A541" s="20"/>
      <c r="B541" s="20"/>
      <c r="C541" s="20"/>
      <c r="D541" s="20"/>
      <c r="E541" s="20"/>
      <c r="F541" s="20"/>
      <c r="G541" s="20"/>
      <c r="H541" s="20"/>
      <c r="I541" s="20"/>
      <c r="J541" s="20"/>
      <c r="K541" s="20"/>
      <c r="L541" s="20"/>
      <c r="M541" s="20"/>
      <c r="N541" s="20"/>
      <c r="O541" s="20"/>
      <c r="P541" s="20"/>
      <c r="Q541" s="20"/>
      <c r="R541" s="20"/>
      <c r="S541" s="20"/>
      <c r="T541" s="20"/>
      <c r="U541" s="20"/>
      <c r="V541" s="20"/>
      <c r="W541" s="20"/>
      <c r="X541" s="20"/>
    </row>
    <row r="542" ht="13.5" customHeight="1" spans="1:24">
      <c r="A542" s="20"/>
      <c r="B542" s="20"/>
      <c r="C542" s="20"/>
      <c r="D542" s="20"/>
      <c r="E542" s="20"/>
      <c r="F542" s="20"/>
      <c r="G542" s="20"/>
      <c r="H542" s="20"/>
      <c r="I542" s="20"/>
      <c r="J542" s="20"/>
      <c r="K542" s="20"/>
      <c r="L542" s="20"/>
      <c r="M542" s="20"/>
      <c r="N542" s="20"/>
      <c r="O542" s="20"/>
      <c r="P542" s="20"/>
      <c r="Q542" s="20"/>
      <c r="R542" s="20"/>
      <c r="S542" s="20"/>
      <c r="T542" s="20"/>
      <c r="U542" s="20"/>
      <c r="V542" s="20"/>
      <c r="W542" s="20"/>
      <c r="X542" s="20"/>
    </row>
    <row r="543" ht="13.5" customHeight="1" spans="1:24">
      <c r="A543" s="20"/>
      <c r="B543" s="20"/>
      <c r="C543" s="20"/>
      <c r="D543" s="20"/>
      <c r="E543" s="20"/>
      <c r="F543" s="20"/>
      <c r="G543" s="20"/>
      <c r="H543" s="20"/>
      <c r="I543" s="20"/>
      <c r="J543" s="20"/>
      <c r="K543" s="20"/>
      <c r="L543" s="20"/>
      <c r="M543" s="20"/>
      <c r="N543" s="20"/>
      <c r="O543" s="20"/>
      <c r="P543" s="20"/>
      <c r="Q543" s="20"/>
      <c r="R543" s="20"/>
      <c r="S543" s="20"/>
      <c r="T543" s="20"/>
      <c r="U543" s="20"/>
      <c r="V543" s="20"/>
      <c r="W543" s="20"/>
      <c r="X543" s="20"/>
    </row>
    <row r="544" ht="13.5" customHeight="1" spans="1:24">
      <c r="A544" s="20"/>
      <c r="B544" s="20"/>
      <c r="C544" s="20"/>
      <c r="D544" s="20"/>
      <c r="E544" s="20"/>
      <c r="F544" s="20"/>
      <c r="G544" s="20"/>
      <c r="H544" s="20"/>
      <c r="I544" s="20"/>
      <c r="J544" s="20"/>
      <c r="K544" s="20"/>
      <c r="L544" s="20"/>
      <c r="M544" s="20"/>
      <c r="N544" s="20"/>
      <c r="O544" s="20"/>
      <c r="P544" s="20"/>
      <c r="Q544" s="20"/>
      <c r="R544" s="20"/>
      <c r="S544" s="20"/>
      <c r="T544" s="20"/>
      <c r="U544" s="20"/>
      <c r="V544" s="20"/>
      <c r="W544" s="20"/>
      <c r="X544" s="20"/>
    </row>
    <row r="545" ht="13.5" customHeight="1" spans="1:24">
      <c r="A545" s="20"/>
      <c r="B545" s="20"/>
      <c r="C545" s="20"/>
      <c r="D545" s="20"/>
      <c r="E545" s="20"/>
      <c r="F545" s="20"/>
      <c r="G545" s="20"/>
      <c r="H545" s="20"/>
      <c r="I545" s="20"/>
      <c r="J545" s="20"/>
      <c r="K545" s="20"/>
      <c r="L545" s="20"/>
      <c r="M545" s="20"/>
      <c r="N545" s="20"/>
      <c r="O545" s="20"/>
      <c r="P545" s="20"/>
      <c r="Q545" s="20"/>
      <c r="R545" s="20"/>
      <c r="S545" s="20"/>
      <c r="T545" s="20"/>
      <c r="U545" s="20"/>
      <c r="V545" s="20"/>
      <c r="W545" s="20"/>
      <c r="X545" s="20"/>
    </row>
    <row r="546" ht="13.5" customHeight="1" spans="1:24">
      <c r="A546" s="20"/>
      <c r="B546" s="20"/>
      <c r="C546" s="20"/>
      <c r="D546" s="20"/>
      <c r="E546" s="20"/>
      <c r="F546" s="20"/>
      <c r="G546" s="20"/>
      <c r="H546" s="20"/>
      <c r="I546" s="20"/>
      <c r="J546" s="20"/>
      <c r="K546" s="20"/>
      <c r="L546" s="20"/>
      <c r="M546" s="20"/>
      <c r="N546" s="20"/>
      <c r="O546" s="20"/>
      <c r="P546" s="20"/>
      <c r="Q546" s="20"/>
      <c r="R546" s="20"/>
      <c r="S546" s="20"/>
      <c r="T546" s="20"/>
      <c r="U546" s="20"/>
      <c r="V546" s="20"/>
      <c r="W546" s="20"/>
      <c r="X546" s="20"/>
    </row>
    <row r="547" ht="13.5" customHeight="1" spans="1:24">
      <c r="A547" s="20"/>
      <c r="B547" s="20"/>
      <c r="C547" s="20"/>
      <c r="D547" s="20"/>
      <c r="E547" s="20"/>
      <c r="F547" s="20"/>
      <c r="G547" s="20"/>
      <c r="H547" s="20"/>
      <c r="I547" s="20"/>
      <c r="J547" s="20"/>
      <c r="K547" s="20"/>
      <c r="L547" s="20"/>
      <c r="M547" s="20"/>
      <c r="N547" s="20"/>
      <c r="O547" s="20"/>
      <c r="P547" s="20"/>
      <c r="Q547" s="20"/>
      <c r="R547" s="20"/>
      <c r="S547" s="20"/>
      <c r="T547" s="20"/>
      <c r="U547" s="20"/>
      <c r="V547" s="20"/>
      <c r="W547" s="20"/>
      <c r="X547" s="20"/>
    </row>
    <row r="548" ht="13.5" customHeight="1" spans="1:24">
      <c r="A548" s="20"/>
      <c r="B548" s="20"/>
      <c r="C548" s="20"/>
      <c r="D548" s="20"/>
      <c r="E548" s="20"/>
      <c r="F548" s="20"/>
      <c r="G548" s="20"/>
      <c r="H548" s="20"/>
      <c r="I548" s="20"/>
      <c r="J548" s="20"/>
      <c r="K548" s="20"/>
      <c r="L548" s="20"/>
      <c r="M548" s="20"/>
      <c r="N548" s="20"/>
      <c r="O548" s="20"/>
      <c r="P548" s="20"/>
      <c r="Q548" s="20"/>
      <c r="R548" s="20"/>
      <c r="S548" s="20"/>
      <c r="T548" s="20"/>
      <c r="U548" s="20"/>
      <c r="V548" s="20"/>
      <c r="W548" s="20"/>
      <c r="X548" s="20"/>
    </row>
    <row r="549" ht="13.5" customHeight="1" spans="1:24">
      <c r="A549" s="20"/>
      <c r="B549" s="20"/>
      <c r="C549" s="20"/>
      <c r="D549" s="20"/>
      <c r="E549" s="20"/>
      <c r="F549" s="20"/>
      <c r="G549" s="20"/>
      <c r="H549" s="20"/>
      <c r="I549" s="20"/>
      <c r="J549" s="20"/>
      <c r="K549" s="20"/>
      <c r="L549" s="20"/>
      <c r="M549" s="20"/>
      <c r="N549" s="20"/>
      <c r="O549" s="20"/>
      <c r="P549" s="20"/>
      <c r="Q549" s="20"/>
      <c r="R549" s="20"/>
      <c r="S549" s="20"/>
      <c r="T549" s="20"/>
      <c r="U549" s="20"/>
      <c r="V549" s="20"/>
      <c r="W549" s="20"/>
      <c r="X549" s="20"/>
    </row>
    <row r="550" ht="13.5" customHeight="1" spans="1:24">
      <c r="A550" s="20"/>
      <c r="B550" s="20"/>
      <c r="C550" s="20"/>
      <c r="D550" s="20"/>
      <c r="E550" s="20"/>
      <c r="F550" s="20"/>
      <c r="G550" s="20"/>
      <c r="H550" s="20"/>
      <c r="I550" s="20"/>
      <c r="J550" s="20"/>
      <c r="K550" s="20"/>
      <c r="L550" s="20"/>
      <c r="M550" s="20"/>
      <c r="N550" s="20"/>
      <c r="O550" s="20"/>
      <c r="P550" s="20"/>
      <c r="Q550" s="20"/>
      <c r="R550" s="20"/>
      <c r="S550" s="20"/>
      <c r="T550" s="20"/>
      <c r="U550" s="20"/>
      <c r="V550" s="20"/>
      <c r="W550" s="20"/>
      <c r="X550" s="20"/>
    </row>
    <row r="551" ht="13.5" customHeight="1" spans="1:24">
      <c r="A551" s="20"/>
      <c r="B551" s="20"/>
      <c r="C551" s="20"/>
      <c r="D551" s="20"/>
      <c r="E551" s="20"/>
      <c r="F551" s="20"/>
      <c r="G551" s="20"/>
      <c r="H551" s="20"/>
      <c r="I551" s="20"/>
      <c r="J551" s="20"/>
      <c r="K551" s="20"/>
      <c r="L551" s="20"/>
      <c r="M551" s="20"/>
      <c r="N551" s="20"/>
      <c r="O551" s="20"/>
      <c r="P551" s="20"/>
      <c r="Q551" s="20"/>
      <c r="R551" s="20"/>
      <c r="S551" s="20"/>
      <c r="T551" s="20"/>
      <c r="U551" s="20"/>
      <c r="V551" s="20"/>
      <c r="W551" s="20"/>
      <c r="X551" s="20"/>
    </row>
    <row r="552" ht="13.5" customHeight="1" spans="1:24">
      <c r="A552" s="20"/>
      <c r="B552" s="20"/>
      <c r="C552" s="20"/>
      <c r="D552" s="20"/>
      <c r="E552" s="20"/>
      <c r="F552" s="20"/>
      <c r="G552" s="20"/>
      <c r="H552" s="20"/>
      <c r="I552" s="20"/>
      <c r="J552" s="20"/>
      <c r="K552" s="20"/>
      <c r="L552" s="20"/>
      <c r="M552" s="20"/>
      <c r="N552" s="20"/>
      <c r="O552" s="20"/>
      <c r="P552" s="20"/>
      <c r="Q552" s="20"/>
      <c r="R552" s="20"/>
      <c r="S552" s="20"/>
      <c r="T552" s="20"/>
      <c r="U552" s="20"/>
      <c r="V552" s="20"/>
      <c r="W552" s="20"/>
      <c r="X552" s="20"/>
    </row>
    <row r="553" ht="13.5" customHeight="1" spans="1:24">
      <c r="A553" s="20"/>
      <c r="B553" s="20"/>
      <c r="C553" s="20"/>
      <c r="D553" s="20"/>
      <c r="E553" s="20"/>
      <c r="F553" s="20"/>
      <c r="G553" s="20"/>
      <c r="H553" s="20"/>
      <c r="I553" s="20"/>
      <c r="J553" s="20"/>
      <c r="K553" s="20"/>
      <c r="L553" s="20"/>
      <c r="M553" s="20"/>
      <c r="N553" s="20"/>
      <c r="O553" s="20"/>
      <c r="P553" s="20"/>
      <c r="Q553" s="20"/>
      <c r="R553" s="20"/>
      <c r="S553" s="20"/>
      <c r="T553" s="20"/>
      <c r="U553" s="20"/>
      <c r="V553" s="20"/>
      <c r="W553" s="20"/>
      <c r="X553" s="20"/>
    </row>
    <row r="554" ht="13.5" customHeight="1" spans="1:24">
      <c r="A554" s="20"/>
      <c r="B554" s="20"/>
      <c r="C554" s="20"/>
      <c r="D554" s="20"/>
      <c r="E554" s="20"/>
      <c r="F554" s="20"/>
      <c r="G554" s="20"/>
      <c r="H554" s="20"/>
      <c r="I554" s="20"/>
      <c r="J554" s="20"/>
      <c r="K554" s="20"/>
      <c r="L554" s="20"/>
      <c r="M554" s="20"/>
      <c r="N554" s="20"/>
      <c r="O554" s="20"/>
      <c r="P554" s="20"/>
      <c r="Q554" s="20"/>
      <c r="R554" s="20"/>
      <c r="S554" s="20"/>
      <c r="T554" s="20"/>
      <c r="U554" s="20"/>
      <c r="V554" s="20"/>
      <c r="W554" s="20"/>
      <c r="X554" s="20"/>
    </row>
    <row r="555" ht="13.5" customHeight="1" spans="1:24">
      <c r="A555" s="20"/>
      <c r="B555" s="20"/>
      <c r="C555" s="20"/>
      <c r="D555" s="20"/>
      <c r="E555" s="20"/>
      <c r="F555" s="20"/>
      <c r="G555" s="20"/>
      <c r="H555" s="20"/>
      <c r="I555" s="20"/>
      <c r="J555" s="20"/>
      <c r="K555" s="20"/>
      <c r="L555" s="20"/>
      <c r="M555" s="20"/>
      <c r="N555" s="20"/>
      <c r="O555" s="20"/>
      <c r="P555" s="20"/>
      <c r="Q555" s="20"/>
      <c r="R555" s="20"/>
      <c r="S555" s="20"/>
      <c r="T555" s="20"/>
      <c r="U555" s="20"/>
      <c r="V555" s="20"/>
      <c r="W555" s="20"/>
      <c r="X555" s="20"/>
    </row>
    <row r="556" ht="13.5" customHeight="1" spans="1:24">
      <c r="A556" s="20"/>
      <c r="B556" s="20"/>
      <c r="C556" s="20"/>
      <c r="D556" s="20"/>
      <c r="E556" s="20"/>
      <c r="F556" s="20"/>
      <c r="G556" s="20"/>
      <c r="H556" s="20"/>
      <c r="I556" s="20"/>
      <c r="J556" s="20"/>
      <c r="K556" s="20"/>
      <c r="L556" s="20"/>
      <c r="M556" s="20"/>
      <c r="N556" s="20"/>
      <c r="O556" s="20"/>
      <c r="P556" s="20"/>
      <c r="Q556" s="20"/>
      <c r="R556" s="20"/>
      <c r="S556" s="20"/>
      <c r="T556" s="20"/>
      <c r="U556" s="20"/>
      <c r="V556" s="20"/>
      <c r="W556" s="20"/>
      <c r="X556" s="20"/>
    </row>
    <row r="557" ht="13.5" customHeight="1" spans="1:24">
      <c r="A557" s="20"/>
      <c r="B557" s="20"/>
      <c r="C557" s="20"/>
      <c r="D557" s="20"/>
      <c r="E557" s="20"/>
      <c r="F557" s="20"/>
      <c r="G557" s="20"/>
      <c r="H557" s="20"/>
      <c r="I557" s="20"/>
      <c r="J557" s="20"/>
      <c r="K557" s="20"/>
      <c r="L557" s="20"/>
      <c r="M557" s="20"/>
      <c r="N557" s="20"/>
      <c r="O557" s="20"/>
      <c r="P557" s="20"/>
      <c r="Q557" s="20"/>
      <c r="R557" s="20"/>
      <c r="S557" s="20"/>
      <c r="T557" s="20"/>
      <c r="U557" s="20"/>
      <c r="V557" s="20"/>
      <c r="W557" s="20"/>
      <c r="X557" s="20"/>
    </row>
    <row r="558" ht="13.5" customHeight="1" spans="1:24">
      <c r="A558" s="20"/>
      <c r="B558" s="20"/>
      <c r="C558" s="20"/>
      <c r="D558" s="20"/>
      <c r="E558" s="20"/>
      <c r="F558" s="20"/>
      <c r="G558" s="20"/>
      <c r="H558" s="20"/>
      <c r="I558" s="20"/>
      <c r="J558" s="20"/>
      <c r="K558" s="20"/>
      <c r="L558" s="20"/>
      <c r="M558" s="20"/>
      <c r="N558" s="20"/>
      <c r="O558" s="20"/>
      <c r="P558" s="20"/>
      <c r="Q558" s="20"/>
      <c r="R558" s="20"/>
      <c r="S558" s="20"/>
      <c r="T558" s="20"/>
      <c r="U558" s="20"/>
      <c r="V558" s="20"/>
      <c r="W558" s="20"/>
      <c r="X558" s="20"/>
    </row>
    <row r="559" ht="13.5" customHeight="1" spans="1:24">
      <c r="A559" s="20"/>
      <c r="B559" s="20"/>
      <c r="C559" s="20"/>
      <c r="D559" s="20"/>
      <c r="E559" s="20"/>
      <c r="F559" s="20"/>
      <c r="G559" s="20"/>
      <c r="H559" s="20"/>
      <c r="I559" s="20"/>
      <c r="J559" s="20"/>
      <c r="K559" s="20"/>
      <c r="L559" s="20"/>
      <c r="M559" s="20"/>
      <c r="N559" s="20"/>
      <c r="O559" s="20"/>
      <c r="P559" s="20"/>
      <c r="Q559" s="20"/>
      <c r="R559" s="20"/>
      <c r="S559" s="20"/>
      <c r="T559" s="20"/>
      <c r="U559" s="20"/>
      <c r="V559" s="20"/>
      <c r="W559" s="20"/>
      <c r="X559" s="20"/>
    </row>
    <row r="560" ht="13.5" customHeight="1" spans="1:24">
      <c r="A560" s="20"/>
      <c r="B560" s="20"/>
      <c r="C560" s="20"/>
      <c r="D560" s="20"/>
      <c r="E560" s="20"/>
      <c r="F560" s="20"/>
      <c r="G560" s="20"/>
      <c r="H560" s="20"/>
      <c r="I560" s="20"/>
      <c r="J560" s="20"/>
      <c r="K560" s="20"/>
      <c r="L560" s="20"/>
      <c r="M560" s="20"/>
      <c r="N560" s="20"/>
      <c r="O560" s="20"/>
      <c r="P560" s="20"/>
      <c r="Q560" s="20"/>
      <c r="R560" s="20"/>
      <c r="S560" s="20"/>
      <c r="T560" s="20"/>
      <c r="U560" s="20"/>
      <c r="V560" s="20"/>
      <c r="W560" s="20"/>
      <c r="X560" s="20"/>
    </row>
    <row r="561" ht="13.5" customHeight="1" spans="1:24">
      <c r="A561" s="20"/>
      <c r="B561" s="20"/>
      <c r="C561" s="20"/>
      <c r="D561" s="20"/>
      <c r="E561" s="20"/>
      <c r="F561" s="20"/>
      <c r="G561" s="20"/>
      <c r="H561" s="20"/>
      <c r="I561" s="20"/>
      <c r="J561" s="20"/>
      <c r="K561" s="20"/>
      <c r="L561" s="20"/>
      <c r="M561" s="20"/>
      <c r="N561" s="20"/>
      <c r="O561" s="20"/>
      <c r="P561" s="20"/>
      <c r="Q561" s="20"/>
      <c r="R561" s="20"/>
      <c r="S561" s="20"/>
      <c r="T561" s="20"/>
      <c r="U561" s="20"/>
      <c r="V561" s="20"/>
      <c r="W561" s="20"/>
      <c r="X561" s="20"/>
    </row>
    <row r="562" ht="13.5" customHeight="1" spans="1:24">
      <c r="A562" s="20"/>
      <c r="B562" s="20"/>
      <c r="C562" s="20"/>
      <c r="D562" s="20"/>
      <c r="E562" s="20"/>
      <c r="F562" s="20"/>
      <c r="G562" s="20"/>
      <c r="H562" s="20"/>
      <c r="I562" s="20"/>
      <c r="J562" s="20"/>
      <c r="K562" s="20"/>
      <c r="L562" s="20"/>
      <c r="M562" s="20"/>
      <c r="N562" s="20"/>
      <c r="O562" s="20"/>
      <c r="P562" s="20"/>
      <c r="Q562" s="20"/>
      <c r="R562" s="20"/>
      <c r="S562" s="20"/>
      <c r="T562" s="20"/>
      <c r="U562" s="20"/>
      <c r="V562" s="20"/>
      <c r="W562" s="20"/>
      <c r="X562" s="20"/>
    </row>
    <row r="563" ht="13.5" customHeight="1" spans="1:24">
      <c r="A563" s="20"/>
      <c r="B563" s="20"/>
      <c r="C563" s="20"/>
      <c r="D563" s="20"/>
      <c r="E563" s="20"/>
      <c r="F563" s="20"/>
      <c r="G563" s="20"/>
      <c r="H563" s="20"/>
      <c r="I563" s="20"/>
      <c r="J563" s="20"/>
      <c r="K563" s="20"/>
      <c r="L563" s="20"/>
      <c r="M563" s="20"/>
      <c r="N563" s="20"/>
      <c r="O563" s="20"/>
      <c r="P563" s="20"/>
      <c r="Q563" s="20"/>
      <c r="R563" s="20"/>
      <c r="S563" s="20"/>
      <c r="T563" s="20"/>
      <c r="U563" s="20"/>
      <c r="V563" s="20"/>
      <c r="W563" s="20"/>
      <c r="X563" s="20"/>
    </row>
    <row r="564" ht="13.5" customHeight="1" spans="1:24">
      <c r="A564" s="20"/>
      <c r="B564" s="20"/>
      <c r="C564" s="20"/>
      <c r="D564" s="20"/>
      <c r="E564" s="20"/>
      <c r="F564" s="20"/>
      <c r="G564" s="20"/>
      <c r="H564" s="20"/>
      <c r="I564" s="20"/>
      <c r="J564" s="20"/>
      <c r="K564" s="20"/>
      <c r="L564" s="20"/>
      <c r="M564" s="20"/>
      <c r="N564" s="20"/>
      <c r="O564" s="20"/>
      <c r="P564" s="20"/>
      <c r="Q564" s="20"/>
      <c r="R564" s="20"/>
      <c r="S564" s="20"/>
      <c r="T564" s="20"/>
      <c r="U564" s="20"/>
      <c r="V564" s="20"/>
      <c r="W564" s="20"/>
      <c r="X564" s="20"/>
    </row>
    <row r="565" ht="13.5" customHeight="1" spans="1:24">
      <c r="A565" s="20"/>
      <c r="B565" s="20"/>
      <c r="C565" s="20"/>
      <c r="D565" s="20"/>
      <c r="E565" s="20"/>
      <c r="F565" s="20"/>
      <c r="G565" s="20"/>
      <c r="H565" s="20"/>
      <c r="I565" s="20"/>
      <c r="J565" s="20"/>
      <c r="K565" s="20"/>
      <c r="L565" s="20"/>
      <c r="M565" s="20"/>
      <c r="N565" s="20"/>
      <c r="O565" s="20"/>
      <c r="P565" s="20"/>
      <c r="Q565" s="20"/>
      <c r="R565" s="20"/>
      <c r="S565" s="20"/>
      <c r="T565" s="20"/>
      <c r="U565" s="20"/>
      <c r="V565" s="20"/>
      <c r="W565" s="20"/>
      <c r="X565" s="20"/>
    </row>
    <row r="566" ht="13.5" customHeight="1" spans="1:24">
      <c r="A566" s="20"/>
      <c r="B566" s="20"/>
      <c r="C566" s="20"/>
      <c r="D566" s="20"/>
      <c r="E566" s="20"/>
      <c r="F566" s="20"/>
      <c r="G566" s="20"/>
      <c r="H566" s="20"/>
      <c r="I566" s="20"/>
      <c r="J566" s="20"/>
      <c r="K566" s="20"/>
      <c r="L566" s="20"/>
      <c r="M566" s="20"/>
      <c r="N566" s="20"/>
      <c r="O566" s="20"/>
      <c r="P566" s="20"/>
      <c r="Q566" s="20"/>
      <c r="R566" s="20"/>
      <c r="S566" s="20"/>
      <c r="T566" s="20"/>
      <c r="U566" s="20"/>
      <c r="V566" s="20"/>
      <c r="W566" s="20"/>
      <c r="X566" s="20"/>
    </row>
    <row r="567" ht="13.5" customHeight="1" spans="1:24">
      <c r="A567" s="20"/>
      <c r="B567" s="20"/>
      <c r="C567" s="20"/>
      <c r="D567" s="20"/>
      <c r="E567" s="20"/>
      <c r="F567" s="20"/>
      <c r="G567" s="20"/>
      <c r="H567" s="20"/>
      <c r="I567" s="20"/>
      <c r="J567" s="20"/>
      <c r="K567" s="20"/>
      <c r="L567" s="20"/>
      <c r="M567" s="20"/>
      <c r="N567" s="20"/>
      <c r="O567" s="20"/>
      <c r="P567" s="20"/>
      <c r="Q567" s="20"/>
      <c r="R567" s="20"/>
      <c r="S567" s="20"/>
      <c r="T567" s="20"/>
      <c r="U567" s="20"/>
      <c r="V567" s="20"/>
      <c r="W567" s="20"/>
      <c r="X567" s="20"/>
    </row>
    <row r="568" ht="13.5" customHeight="1" spans="1:24">
      <c r="A568" s="20"/>
      <c r="B568" s="20"/>
      <c r="C568" s="20"/>
      <c r="D568" s="20"/>
      <c r="E568" s="20"/>
      <c r="F568" s="20"/>
      <c r="G568" s="20"/>
      <c r="H568" s="20"/>
      <c r="I568" s="20"/>
      <c r="J568" s="20"/>
      <c r="K568" s="20"/>
      <c r="L568" s="20"/>
      <c r="M568" s="20"/>
      <c r="N568" s="20"/>
      <c r="O568" s="20"/>
      <c r="P568" s="20"/>
      <c r="Q568" s="20"/>
      <c r="R568" s="20"/>
      <c r="S568" s="20"/>
      <c r="T568" s="20"/>
      <c r="U568" s="20"/>
      <c r="V568" s="20"/>
      <c r="W568" s="20"/>
      <c r="X568" s="20"/>
    </row>
    <row r="569" ht="13.5" customHeight="1" spans="1:24">
      <c r="A569" s="20"/>
      <c r="B569" s="20"/>
      <c r="C569" s="20"/>
      <c r="D569" s="20"/>
      <c r="E569" s="20"/>
      <c r="F569" s="20"/>
      <c r="G569" s="20"/>
      <c r="H569" s="20"/>
      <c r="I569" s="20"/>
      <c r="J569" s="20"/>
      <c r="K569" s="20"/>
      <c r="L569" s="20"/>
      <c r="M569" s="20"/>
      <c r="N569" s="20"/>
      <c r="O569" s="20"/>
      <c r="P569" s="20"/>
      <c r="Q569" s="20"/>
      <c r="R569" s="20"/>
      <c r="S569" s="20"/>
      <c r="T569" s="20"/>
      <c r="U569" s="20"/>
      <c r="V569" s="20"/>
      <c r="W569" s="20"/>
      <c r="X569" s="20"/>
    </row>
    <row r="570" ht="13.5" customHeight="1" spans="1:24">
      <c r="A570" s="20"/>
      <c r="B570" s="20"/>
      <c r="C570" s="20"/>
      <c r="D570" s="20"/>
      <c r="E570" s="20"/>
      <c r="F570" s="20"/>
      <c r="G570" s="20"/>
      <c r="H570" s="20"/>
      <c r="I570" s="20"/>
      <c r="J570" s="20"/>
      <c r="K570" s="20"/>
      <c r="L570" s="20"/>
      <c r="M570" s="20"/>
      <c r="N570" s="20"/>
      <c r="O570" s="20"/>
      <c r="P570" s="20"/>
      <c r="Q570" s="20"/>
      <c r="R570" s="20"/>
      <c r="S570" s="20"/>
      <c r="T570" s="20"/>
      <c r="U570" s="20"/>
      <c r="V570" s="20"/>
      <c r="W570" s="20"/>
      <c r="X570" s="20"/>
    </row>
    <row r="571" ht="13.5" customHeight="1" spans="1:24">
      <c r="A571" s="20"/>
      <c r="B571" s="20"/>
      <c r="C571" s="20"/>
      <c r="D571" s="20"/>
      <c r="E571" s="20"/>
      <c r="F571" s="20"/>
      <c r="G571" s="20"/>
      <c r="H571" s="20"/>
      <c r="I571" s="20"/>
      <c r="J571" s="20"/>
      <c r="K571" s="20"/>
      <c r="L571" s="20"/>
      <c r="M571" s="20"/>
      <c r="N571" s="20"/>
      <c r="O571" s="20"/>
      <c r="P571" s="20"/>
      <c r="Q571" s="20"/>
      <c r="R571" s="20"/>
      <c r="S571" s="20"/>
      <c r="T571" s="20"/>
      <c r="U571" s="20"/>
      <c r="V571" s="20"/>
      <c r="W571" s="20"/>
      <c r="X571" s="20"/>
    </row>
    <row r="572" ht="13.5" customHeight="1" spans="1:24">
      <c r="A572" s="20"/>
      <c r="B572" s="20"/>
      <c r="C572" s="20"/>
      <c r="D572" s="20"/>
      <c r="E572" s="20"/>
      <c r="F572" s="20"/>
      <c r="G572" s="20"/>
      <c r="H572" s="20"/>
      <c r="I572" s="20"/>
      <c r="J572" s="20"/>
      <c r="K572" s="20"/>
      <c r="L572" s="20"/>
      <c r="M572" s="20"/>
      <c r="N572" s="20"/>
      <c r="O572" s="20"/>
      <c r="P572" s="20"/>
      <c r="Q572" s="20"/>
      <c r="R572" s="20"/>
      <c r="S572" s="20"/>
      <c r="T572" s="20"/>
      <c r="U572" s="20"/>
      <c r="V572" s="20"/>
      <c r="W572" s="20"/>
      <c r="X572" s="20"/>
    </row>
    <row r="573" ht="13.5" customHeight="1" spans="1:24">
      <c r="A573" s="20"/>
      <c r="B573" s="20"/>
      <c r="C573" s="20"/>
      <c r="D573" s="20"/>
      <c r="E573" s="20"/>
      <c r="F573" s="20"/>
      <c r="G573" s="20"/>
      <c r="H573" s="20"/>
      <c r="I573" s="20"/>
      <c r="J573" s="20"/>
      <c r="K573" s="20"/>
      <c r="L573" s="20"/>
      <c r="M573" s="20"/>
      <c r="N573" s="20"/>
      <c r="O573" s="20"/>
      <c r="P573" s="20"/>
      <c r="Q573" s="20"/>
      <c r="R573" s="20"/>
      <c r="S573" s="20"/>
      <c r="T573" s="20"/>
      <c r="U573" s="20"/>
      <c r="V573" s="20"/>
      <c r="W573" s="20"/>
      <c r="X573" s="20"/>
    </row>
    <row r="574" ht="13.5" customHeight="1" spans="1:24">
      <c r="A574" s="20"/>
      <c r="B574" s="20"/>
      <c r="C574" s="20"/>
      <c r="D574" s="20"/>
      <c r="E574" s="20"/>
      <c r="F574" s="20"/>
      <c r="G574" s="20"/>
      <c r="H574" s="20"/>
      <c r="I574" s="20"/>
      <c r="J574" s="20"/>
      <c r="K574" s="20"/>
      <c r="L574" s="20"/>
      <c r="M574" s="20"/>
      <c r="N574" s="20"/>
      <c r="O574" s="20"/>
      <c r="P574" s="20"/>
      <c r="Q574" s="20"/>
      <c r="R574" s="20"/>
      <c r="S574" s="20"/>
      <c r="T574" s="20"/>
      <c r="U574" s="20"/>
      <c r="V574" s="20"/>
      <c r="W574" s="20"/>
      <c r="X574" s="20"/>
    </row>
    <row r="575" ht="13.5" customHeight="1" spans="1:24">
      <c r="A575" s="20"/>
      <c r="B575" s="20"/>
      <c r="C575" s="20"/>
      <c r="D575" s="20"/>
      <c r="E575" s="20"/>
      <c r="F575" s="20"/>
      <c r="G575" s="20"/>
      <c r="H575" s="20"/>
      <c r="I575" s="20"/>
      <c r="J575" s="20"/>
      <c r="K575" s="20"/>
      <c r="L575" s="20"/>
      <c r="M575" s="20"/>
      <c r="N575" s="20"/>
      <c r="O575" s="20"/>
      <c r="P575" s="20"/>
      <c r="Q575" s="20"/>
      <c r="R575" s="20"/>
      <c r="S575" s="20"/>
      <c r="T575" s="20"/>
      <c r="U575" s="20"/>
      <c r="V575" s="20"/>
      <c r="W575" s="20"/>
      <c r="X575" s="20"/>
    </row>
    <row r="576" ht="13.5" customHeight="1" spans="1:24">
      <c r="A576" s="20"/>
      <c r="B576" s="20"/>
      <c r="C576" s="20"/>
      <c r="D576" s="20"/>
      <c r="E576" s="20"/>
      <c r="F576" s="20"/>
      <c r="G576" s="20"/>
      <c r="H576" s="20"/>
      <c r="I576" s="20"/>
      <c r="J576" s="20"/>
      <c r="K576" s="20"/>
      <c r="L576" s="20"/>
      <c r="M576" s="20"/>
      <c r="N576" s="20"/>
      <c r="O576" s="20"/>
      <c r="P576" s="20"/>
      <c r="Q576" s="20"/>
      <c r="R576" s="20"/>
      <c r="S576" s="20"/>
      <c r="T576" s="20"/>
      <c r="U576" s="20"/>
      <c r="V576" s="20"/>
      <c r="W576" s="20"/>
      <c r="X576" s="20"/>
    </row>
    <row r="577" ht="13.5" customHeight="1" spans="1:24">
      <c r="A577" s="20"/>
      <c r="B577" s="20"/>
      <c r="C577" s="20"/>
      <c r="D577" s="20"/>
      <c r="E577" s="20"/>
      <c r="F577" s="20"/>
      <c r="G577" s="20"/>
      <c r="H577" s="20"/>
      <c r="I577" s="20"/>
      <c r="J577" s="20"/>
      <c r="K577" s="20"/>
      <c r="L577" s="20"/>
      <c r="M577" s="20"/>
      <c r="N577" s="20"/>
      <c r="O577" s="20"/>
      <c r="P577" s="20"/>
      <c r="Q577" s="20"/>
      <c r="R577" s="20"/>
      <c r="S577" s="20"/>
      <c r="T577" s="20"/>
      <c r="U577" s="20"/>
      <c r="V577" s="20"/>
      <c r="W577" s="20"/>
      <c r="X577" s="20"/>
    </row>
    <row r="578" ht="13.5" customHeight="1" spans="1:24">
      <c r="A578" s="20"/>
      <c r="B578" s="20"/>
      <c r="C578" s="20"/>
      <c r="D578" s="20"/>
      <c r="E578" s="20"/>
      <c r="F578" s="20"/>
      <c r="G578" s="20"/>
      <c r="H578" s="20"/>
      <c r="I578" s="20"/>
      <c r="J578" s="20"/>
      <c r="K578" s="20"/>
      <c r="L578" s="20"/>
      <c r="M578" s="20"/>
      <c r="N578" s="20"/>
      <c r="O578" s="20"/>
      <c r="P578" s="20"/>
      <c r="Q578" s="20"/>
      <c r="R578" s="20"/>
      <c r="S578" s="20"/>
      <c r="T578" s="20"/>
      <c r="U578" s="20"/>
      <c r="V578" s="20"/>
      <c r="W578" s="20"/>
      <c r="X578" s="20"/>
    </row>
    <row r="579" ht="13.5" customHeight="1" spans="1:24">
      <c r="A579" s="20"/>
      <c r="B579" s="20"/>
      <c r="C579" s="20"/>
      <c r="D579" s="20"/>
      <c r="E579" s="20"/>
      <c r="F579" s="20"/>
      <c r="G579" s="20"/>
      <c r="H579" s="20"/>
      <c r="I579" s="20"/>
      <c r="J579" s="20"/>
      <c r="K579" s="20"/>
      <c r="L579" s="20"/>
      <c r="M579" s="20"/>
      <c r="N579" s="20"/>
      <c r="O579" s="20"/>
      <c r="P579" s="20"/>
      <c r="Q579" s="20"/>
      <c r="R579" s="20"/>
      <c r="S579" s="20"/>
      <c r="T579" s="20"/>
      <c r="U579" s="20"/>
      <c r="V579" s="20"/>
      <c r="W579" s="20"/>
      <c r="X579" s="20"/>
    </row>
    <row r="580" ht="13.5" customHeight="1" spans="1:24">
      <c r="A580" s="20"/>
      <c r="B580" s="20"/>
      <c r="C580" s="20"/>
      <c r="D580" s="20"/>
      <c r="E580" s="20"/>
      <c r="F580" s="20"/>
      <c r="G580" s="20"/>
      <c r="H580" s="20"/>
      <c r="I580" s="20"/>
      <c r="J580" s="20"/>
      <c r="K580" s="20"/>
      <c r="L580" s="20"/>
      <c r="M580" s="20"/>
      <c r="N580" s="20"/>
      <c r="O580" s="20"/>
      <c r="P580" s="20"/>
      <c r="Q580" s="20"/>
      <c r="R580" s="20"/>
      <c r="S580" s="20"/>
      <c r="T580" s="20"/>
      <c r="U580" s="20"/>
      <c r="V580" s="20"/>
      <c r="W580" s="20"/>
      <c r="X580" s="20"/>
    </row>
    <row r="581" ht="13.5" customHeight="1" spans="1:24">
      <c r="A581" s="20"/>
      <c r="B581" s="20"/>
      <c r="C581" s="20"/>
      <c r="D581" s="20"/>
      <c r="E581" s="20"/>
      <c r="F581" s="20"/>
      <c r="G581" s="20"/>
      <c r="H581" s="20"/>
      <c r="I581" s="20"/>
      <c r="J581" s="20"/>
      <c r="K581" s="20"/>
      <c r="L581" s="20"/>
      <c r="M581" s="20"/>
      <c r="N581" s="20"/>
      <c r="O581" s="20"/>
      <c r="P581" s="20"/>
      <c r="Q581" s="20"/>
      <c r="R581" s="20"/>
      <c r="S581" s="20"/>
      <c r="T581" s="20"/>
      <c r="U581" s="20"/>
      <c r="V581" s="20"/>
      <c r="W581" s="20"/>
      <c r="X581" s="20"/>
    </row>
    <row r="582" ht="13.5" customHeight="1" spans="1:24">
      <c r="A582" s="20"/>
      <c r="B582" s="20"/>
      <c r="C582" s="20"/>
      <c r="D582" s="20"/>
      <c r="E582" s="20"/>
      <c r="F582" s="20"/>
      <c r="G582" s="20"/>
      <c r="H582" s="20"/>
      <c r="I582" s="20"/>
      <c r="J582" s="20"/>
      <c r="K582" s="20"/>
      <c r="L582" s="20"/>
      <c r="M582" s="20"/>
      <c r="N582" s="20"/>
      <c r="O582" s="20"/>
      <c r="P582" s="20"/>
      <c r="Q582" s="20"/>
      <c r="R582" s="20"/>
      <c r="S582" s="20"/>
      <c r="T582" s="20"/>
      <c r="U582" s="20"/>
      <c r="V582" s="20"/>
      <c r="W582" s="20"/>
      <c r="X582" s="20"/>
    </row>
    <row r="583" ht="13.5" customHeight="1" spans="1:24">
      <c r="A583" s="20"/>
      <c r="B583" s="20"/>
      <c r="C583" s="20"/>
      <c r="D583" s="20"/>
      <c r="E583" s="20"/>
      <c r="F583" s="20"/>
      <c r="G583" s="20"/>
      <c r="H583" s="20"/>
      <c r="I583" s="20"/>
      <c r="J583" s="20"/>
      <c r="K583" s="20"/>
      <c r="L583" s="20"/>
      <c r="M583" s="20"/>
      <c r="N583" s="20"/>
      <c r="O583" s="20"/>
      <c r="P583" s="20"/>
      <c r="Q583" s="20"/>
      <c r="R583" s="20"/>
      <c r="S583" s="20"/>
      <c r="T583" s="20"/>
      <c r="U583" s="20"/>
      <c r="V583" s="20"/>
      <c r="W583" s="20"/>
      <c r="X583" s="20"/>
    </row>
    <row r="584" ht="13.5" customHeight="1" spans="1:24">
      <c r="A584" s="20"/>
      <c r="B584" s="20"/>
      <c r="C584" s="20"/>
      <c r="D584" s="20"/>
      <c r="E584" s="20"/>
      <c r="F584" s="20"/>
      <c r="G584" s="20"/>
      <c r="H584" s="20"/>
      <c r="I584" s="20"/>
      <c r="J584" s="20"/>
      <c r="K584" s="20"/>
      <c r="L584" s="20"/>
      <c r="M584" s="20"/>
      <c r="N584" s="20"/>
      <c r="O584" s="20"/>
      <c r="P584" s="20"/>
      <c r="Q584" s="20"/>
      <c r="R584" s="20"/>
      <c r="S584" s="20"/>
      <c r="T584" s="20"/>
      <c r="U584" s="20"/>
      <c r="V584" s="20"/>
      <c r="W584" s="20"/>
      <c r="X584" s="20"/>
    </row>
    <row r="585" ht="13.5" customHeight="1" spans="1:24">
      <c r="A585" s="20"/>
      <c r="B585" s="20"/>
      <c r="C585" s="20"/>
      <c r="D585" s="20"/>
      <c r="E585" s="20"/>
      <c r="F585" s="20"/>
      <c r="G585" s="20"/>
      <c r="H585" s="20"/>
      <c r="I585" s="20"/>
      <c r="J585" s="20"/>
      <c r="K585" s="20"/>
      <c r="L585" s="20"/>
      <c r="M585" s="20"/>
      <c r="N585" s="20"/>
      <c r="O585" s="20"/>
      <c r="P585" s="20"/>
      <c r="Q585" s="20"/>
      <c r="R585" s="20"/>
      <c r="S585" s="20"/>
      <c r="T585" s="20"/>
      <c r="U585" s="20"/>
      <c r="V585" s="20"/>
      <c r="W585" s="20"/>
      <c r="X585" s="20"/>
    </row>
    <row r="586" ht="13.5" customHeight="1" spans="1:24">
      <c r="A586" s="20"/>
      <c r="B586" s="20"/>
      <c r="C586" s="20"/>
      <c r="D586" s="20"/>
      <c r="E586" s="20"/>
      <c r="F586" s="20"/>
      <c r="G586" s="20"/>
      <c r="H586" s="20"/>
      <c r="I586" s="20"/>
      <c r="J586" s="20"/>
      <c r="K586" s="20"/>
      <c r="L586" s="20"/>
      <c r="M586" s="20"/>
      <c r="N586" s="20"/>
      <c r="O586" s="20"/>
      <c r="P586" s="20"/>
      <c r="Q586" s="20"/>
      <c r="R586" s="20"/>
      <c r="S586" s="20"/>
      <c r="T586" s="20"/>
      <c r="U586" s="20"/>
      <c r="V586" s="20"/>
      <c r="W586" s="20"/>
      <c r="X586" s="20"/>
    </row>
    <row r="587" ht="13.5" customHeight="1" spans="1:24">
      <c r="A587" s="20"/>
      <c r="B587" s="20"/>
      <c r="C587" s="20"/>
      <c r="D587" s="20"/>
      <c r="E587" s="20"/>
      <c r="F587" s="20"/>
      <c r="G587" s="20"/>
      <c r="H587" s="20"/>
      <c r="I587" s="20"/>
      <c r="J587" s="20"/>
      <c r="K587" s="20"/>
      <c r="L587" s="20"/>
      <c r="M587" s="20"/>
      <c r="N587" s="20"/>
      <c r="O587" s="20"/>
      <c r="P587" s="20"/>
      <c r="Q587" s="20"/>
      <c r="R587" s="20"/>
      <c r="S587" s="20"/>
      <c r="T587" s="20"/>
      <c r="U587" s="20"/>
      <c r="V587" s="20"/>
      <c r="W587" s="20"/>
      <c r="X587" s="20"/>
    </row>
    <row r="588" ht="13.5" customHeight="1" spans="1:24">
      <c r="A588" s="20"/>
      <c r="B588" s="20"/>
      <c r="C588" s="20"/>
      <c r="D588" s="20"/>
      <c r="E588" s="20"/>
      <c r="F588" s="20"/>
      <c r="G588" s="20"/>
      <c r="H588" s="20"/>
      <c r="I588" s="20"/>
      <c r="J588" s="20"/>
      <c r="K588" s="20"/>
      <c r="L588" s="20"/>
      <c r="M588" s="20"/>
      <c r="N588" s="20"/>
      <c r="O588" s="20"/>
      <c r="P588" s="20"/>
      <c r="Q588" s="20"/>
      <c r="R588" s="20"/>
      <c r="S588" s="20"/>
      <c r="T588" s="20"/>
      <c r="U588" s="20"/>
      <c r="V588" s="20"/>
      <c r="W588" s="20"/>
      <c r="X588" s="20"/>
    </row>
    <row r="589" ht="13.5" customHeight="1" spans="1:24">
      <c r="A589" s="20"/>
      <c r="B589" s="20"/>
      <c r="C589" s="20"/>
      <c r="D589" s="20"/>
      <c r="E589" s="20"/>
      <c r="F589" s="20"/>
      <c r="G589" s="20"/>
      <c r="H589" s="20"/>
      <c r="I589" s="20"/>
      <c r="J589" s="20"/>
      <c r="K589" s="20"/>
      <c r="L589" s="20"/>
      <c r="M589" s="20"/>
      <c r="N589" s="20"/>
      <c r="O589" s="20"/>
      <c r="P589" s="20"/>
      <c r="Q589" s="20"/>
      <c r="R589" s="20"/>
      <c r="S589" s="20"/>
      <c r="T589" s="20"/>
      <c r="U589" s="20"/>
      <c r="V589" s="20"/>
      <c r="W589" s="20"/>
      <c r="X589" s="20"/>
    </row>
    <row r="590" ht="13.5" customHeight="1" spans="1:24">
      <c r="A590" s="20"/>
      <c r="B590" s="20"/>
      <c r="C590" s="20"/>
      <c r="D590" s="20"/>
      <c r="E590" s="20"/>
      <c r="F590" s="20"/>
      <c r="G590" s="20"/>
      <c r="H590" s="20"/>
      <c r="I590" s="20"/>
      <c r="J590" s="20"/>
      <c r="K590" s="20"/>
      <c r="L590" s="20"/>
      <c r="M590" s="20"/>
      <c r="N590" s="20"/>
      <c r="O590" s="20"/>
      <c r="P590" s="20"/>
      <c r="Q590" s="20"/>
      <c r="R590" s="20"/>
      <c r="S590" s="20"/>
      <c r="T590" s="20"/>
      <c r="U590" s="20"/>
      <c r="V590" s="20"/>
      <c r="W590" s="20"/>
      <c r="X590" s="20"/>
    </row>
    <row r="591" ht="13.5" customHeight="1" spans="1:24">
      <c r="A591" s="20"/>
      <c r="B591" s="20"/>
      <c r="C591" s="20"/>
      <c r="D591" s="20"/>
      <c r="E591" s="20"/>
      <c r="F591" s="20"/>
      <c r="G591" s="20"/>
      <c r="H591" s="20"/>
      <c r="I591" s="20"/>
      <c r="J591" s="20"/>
      <c r="K591" s="20"/>
      <c r="L591" s="20"/>
      <c r="M591" s="20"/>
      <c r="N591" s="20"/>
      <c r="O591" s="20"/>
      <c r="P591" s="20"/>
      <c r="Q591" s="20"/>
      <c r="R591" s="20"/>
      <c r="S591" s="20"/>
      <c r="T591" s="20"/>
      <c r="U591" s="20"/>
      <c r="V591" s="20"/>
      <c r="W591" s="20"/>
      <c r="X591" s="20"/>
    </row>
    <row r="592" ht="13.5" customHeight="1" spans="1:24">
      <c r="A592" s="20"/>
      <c r="B592" s="20"/>
      <c r="C592" s="20"/>
      <c r="D592" s="20"/>
      <c r="E592" s="20"/>
      <c r="F592" s="20"/>
      <c r="G592" s="20"/>
      <c r="H592" s="20"/>
      <c r="I592" s="20"/>
      <c r="J592" s="20"/>
      <c r="K592" s="20"/>
      <c r="L592" s="20"/>
      <c r="M592" s="20"/>
      <c r="N592" s="20"/>
      <c r="O592" s="20"/>
      <c r="P592" s="20"/>
      <c r="Q592" s="20"/>
      <c r="R592" s="20"/>
      <c r="S592" s="20"/>
      <c r="T592" s="20"/>
      <c r="U592" s="20"/>
      <c r="V592" s="20"/>
      <c r="W592" s="20"/>
      <c r="X592" s="20"/>
    </row>
    <row r="593" ht="13.5" customHeight="1" spans="1:24">
      <c r="A593" s="20"/>
      <c r="B593" s="20"/>
      <c r="C593" s="20"/>
      <c r="D593" s="20"/>
      <c r="E593" s="20"/>
      <c r="F593" s="20"/>
      <c r="G593" s="20"/>
      <c r="H593" s="20"/>
      <c r="I593" s="20"/>
      <c r="J593" s="20"/>
      <c r="K593" s="20"/>
      <c r="L593" s="20"/>
      <c r="M593" s="20"/>
      <c r="N593" s="20"/>
      <c r="O593" s="20"/>
      <c r="P593" s="20"/>
      <c r="Q593" s="20"/>
      <c r="R593" s="20"/>
      <c r="S593" s="20"/>
      <c r="T593" s="20"/>
      <c r="U593" s="20"/>
      <c r="V593" s="20"/>
      <c r="W593" s="20"/>
      <c r="X593" s="20"/>
    </row>
    <row r="594" ht="13.5" customHeight="1" spans="1:24">
      <c r="A594" s="20"/>
      <c r="B594" s="20"/>
      <c r="C594" s="20"/>
      <c r="D594" s="20"/>
      <c r="E594" s="20"/>
      <c r="F594" s="20"/>
      <c r="G594" s="20"/>
      <c r="H594" s="20"/>
      <c r="I594" s="20"/>
      <c r="J594" s="20"/>
      <c r="K594" s="20"/>
      <c r="L594" s="20"/>
      <c r="M594" s="20"/>
      <c r="N594" s="20"/>
      <c r="O594" s="20"/>
      <c r="P594" s="20"/>
      <c r="Q594" s="20"/>
      <c r="R594" s="20"/>
      <c r="S594" s="20"/>
      <c r="T594" s="20"/>
      <c r="U594" s="20"/>
      <c r="V594" s="20"/>
      <c r="W594" s="20"/>
      <c r="X594" s="20"/>
    </row>
    <row r="595" ht="13.5" customHeight="1" spans="1:24">
      <c r="A595" s="20"/>
      <c r="B595" s="20"/>
      <c r="C595" s="20"/>
      <c r="D595" s="20"/>
      <c r="E595" s="20"/>
      <c r="F595" s="20"/>
      <c r="G595" s="20"/>
      <c r="H595" s="20"/>
      <c r="I595" s="20"/>
      <c r="J595" s="20"/>
      <c r="K595" s="20"/>
      <c r="L595" s="20"/>
      <c r="M595" s="20"/>
      <c r="N595" s="20"/>
      <c r="O595" s="20"/>
      <c r="P595" s="20"/>
      <c r="Q595" s="20"/>
      <c r="R595" s="20"/>
      <c r="S595" s="20"/>
      <c r="T595" s="20"/>
      <c r="U595" s="20"/>
      <c r="V595" s="20"/>
      <c r="W595" s="20"/>
      <c r="X595" s="20"/>
    </row>
    <row r="596" ht="13.5" customHeight="1" spans="1:24">
      <c r="A596" s="20"/>
      <c r="B596" s="20"/>
      <c r="C596" s="20"/>
      <c r="D596" s="20"/>
      <c r="E596" s="20"/>
      <c r="F596" s="20"/>
      <c r="G596" s="20"/>
      <c r="H596" s="20"/>
      <c r="I596" s="20"/>
      <c r="J596" s="20"/>
      <c r="K596" s="20"/>
      <c r="L596" s="20"/>
      <c r="M596" s="20"/>
      <c r="N596" s="20"/>
      <c r="O596" s="20"/>
      <c r="P596" s="20"/>
      <c r="Q596" s="20"/>
      <c r="R596" s="20"/>
      <c r="S596" s="20"/>
      <c r="T596" s="20"/>
      <c r="U596" s="20"/>
      <c r="V596" s="20"/>
      <c r="W596" s="20"/>
      <c r="X596" s="20"/>
    </row>
    <row r="597" ht="13.5" customHeight="1" spans="1:24">
      <c r="A597" s="20"/>
      <c r="B597" s="20"/>
      <c r="C597" s="20"/>
      <c r="D597" s="20"/>
      <c r="E597" s="20"/>
      <c r="F597" s="20"/>
      <c r="G597" s="20"/>
      <c r="H597" s="20"/>
      <c r="I597" s="20"/>
      <c r="J597" s="20"/>
      <c r="K597" s="20"/>
      <c r="L597" s="20"/>
      <c r="M597" s="20"/>
      <c r="N597" s="20"/>
      <c r="O597" s="20"/>
      <c r="P597" s="20"/>
      <c r="Q597" s="20"/>
      <c r="R597" s="20"/>
      <c r="S597" s="20"/>
      <c r="T597" s="20"/>
      <c r="U597" s="20"/>
      <c r="V597" s="20"/>
      <c r="W597" s="20"/>
      <c r="X597" s="20"/>
    </row>
    <row r="598" ht="13.5" customHeight="1" spans="1:24">
      <c r="A598" s="20"/>
      <c r="B598" s="20"/>
      <c r="C598" s="20"/>
      <c r="D598" s="20"/>
      <c r="E598" s="20"/>
      <c r="F598" s="20"/>
      <c r="G598" s="20"/>
      <c r="H598" s="20"/>
      <c r="I598" s="20"/>
      <c r="J598" s="20"/>
      <c r="K598" s="20"/>
      <c r="L598" s="20"/>
      <c r="M598" s="20"/>
      <c r="N598" s="20"/>
      <c r="O598" s="20"/>
      <c r="P598" s="20"/>
      <c r="Q598" s="20"/>
      <c r="R598" s="20"/>
      <c r="S598" s="20"/>
      <c r="T598" s="20"/>
      <c r="U598" s="20"/>
      <c r="V598" s="20"/>
      <c r="W598" s="20"/>
      <c r="X598" s="20"/>
    </row>
    <row r="599" ht="13.5" customHeight="1" spans="1:24">
      <c r="A599" s="20"/>
      <c r="B599" s="20"/>
      <c r="C599" s="20"/>
      <c r="D599" s="20"/>
      <c r="E599" s="20"/>
      <c r="F599" s="20"/>
      <c r="G599" s="20"/>
      <c r="H599" s="20"/>
      <c r="I599" s="20"/>
      <c r="J599" s="20"/>
      <c r="K599" s="20"/>
      <c r="L599" s="20"/>
      <c r="M599" s="20"/>
      <c r="N599" s="20"/>
      <c r="O599" s="20"/>
      <c r="P599" s="20"/>
      <c r="Q599" s="20"/>
      <c r="R599" s="20"/>
      <c r="S599" s="20"/>
      <c r="T599" s="20"/>
      <c r="U599" s="20"/>
      <c r="V599" s="20"/>
      <c r="W599" s="20"/>
      <c r="X599" s="20"/>
    </row>
    <row r="600" ht="13.5" customHeight="1" spans="1:24">
      <c r="A600" s="20"/>
      <c r="B600" s="20"/>
      <c r="C600" s="20"/>
      <c r="D600" s="20"/>
      <c r="E600" s="20"/>
      <c r="F600" s="20"/>
      <c r="G600" s="20"/>
      <c r="H600" s="20"/>
      <c r="I600" s="20"/>
      <c r="J600" s="20"/>
      <c r="K600" s="20"/>
      <c r="L600" s="20"/>
      <c r="M600" s="20"/>
      <c r="N600" s="20"/>
      <c r="O600" s="20"/>
      <c r="P600" s="20"/>
      <c r="Q600" s="20"/>
      <c r="R600" s="20"/>
      <c r="S600" s="20"/>
      <c r="T600" s="20"/>
      <c r="U600" s="20"/>
      <c r="V600" s="20"/>
      <c r="W600" s="20"/>
      <c r="X600" s="20"/>
    </row>
    <row r="601" ht="13.5" customHeight="1" spans="1:24">
      <c r="A601" s="20"/>
      <c r="B601" s="20"/>
      <c r="C601" s="20"/>
      <c r="D601" s="20"/>
      <c r="E601" s="20"/>
      <c r="F601" s="20"/>
      <c r="G601" s="20"/>
      <c r="H601" s="20"/>
      <c r="I601" s="20"/>
      <c r="J601" s="20"/>
      <c r="K601" s="20"/>
      <c r="L601" s="20"/>
      <c r="M601" s="20"/>
      <c r="N601" s="20"/>
      <c r="O601" s="20"/>
      <c r="P601" s="20"/>
      <c r="Q601" s="20"/>
      <c r="R601" s="20"/>
      <c r="S601" s="20"/>
      <c r="T601" s="20"/>
      <c r="U601" s="20"/>
      <c r="V601" s="20"/>
      <c r="W601" s="20"/>
      <c r="X601" s="20"/>
    </row>
    <row r="602" ht="13.5" customHeight="1" spans="1:24">
      <c r="A602" s="20"/>
      <c r="B602" s="20"/>
      <c r="C602" s="20"/>
      <c r="D602" s="20"/>
      <c r="E602" s="20"/>
      <c r="F602" s="20"/>
      <c r="G602" s="20"/>
      <c r="H602" s="20"/>
      <c r="I602" s="20"/>
      <c r="J602" s="20"/>
      <c r="K602" s="20"/>
      <c r="L602" s="20"/>
      <c r="M602" s="20"/>
      <c r="N602" s="20"/>
      <c r="O602" s="20"/>
      <c r="P602" s="20"/>
      <c r="Q602" s="20"/>
      <c r="R602" s="20"/>
      <c r="S602" s="20"/>
      <c r="T602" s="20"/>
      <c r="U602" s="20"/>
      <c r="V602" s="20"/>
      <c r="W602" s="20"/>
      <c r="X602" s="20"/>
    </row>
    <row r="603" ht="13.5" customHeight="1" spans="1:24">
      <c r="A603" s="20"/>
      <c r="B603" s="20"/>
      <c r="C603" s="20"/>
      <c r="D603" s="20"/>
      <c r="E603" s="20"/>
      <c r="F603" s="20"/>
      <c r="G603" s="20"/>
      <c r="H603" s="20"/>
      <c r="I603" s="20"/>
      <c r="J603" s="20"/>
      <c r="K603" s="20"/>
      <c r="L603" s="20"/>
      <c r="M603" s="20"/>
      <c r="N603" s="20"/>
      <c r="O603" s="20"/>
      <c r="P603" s="20"/>
      <c r="Q603" s="20"/>
      <c r="R603" s="20"/>
      <c r="S603" s="20"/>
      <c r="T603" s="20"/>
      <c r="U603" s="20"/>
      <c r="V603" s="20"/>
      <c r="W603" s="20"/>
      <c r="X603" s="20"/>
    </row>
    <row r="604" ht="13.5" customHeight="1" spans="1:24">
      <c r="A604" s="20"/>
      <c r="B604" s="20"/>
      <c r="C604" s="20"/>
      <c r="D604" s="20"/>
      <c r="E604" s="20"/>
      <c r="F604" s="20"/>
      <c r="G604" s="20"/>
      <c r="H604" s="20"/>
      <c r="I604" s="20"/>
      <c r="J604" s="20"/>
      <c r="K604" s="20"/>
      <c r="L604" s="20"/>
      <c r="M604" s="20"/>
      <c r="N604" s="20"/>
      <c r="O604" s="20"/>
      <c r="P604" s="20"/>
      <c r="Q604" s="20"/>
      <c r="R604" s="20"/>
      <c r="S604" s="20"/>
      <c r="T604" s="20"/>
      <c r="U604" s="20"/>
      <c r="V604" s="20"/>
      <c r="W604" s="20"/>
      <c r="X604" s="20"/>
    </row>
    <row r="605" ht="13.5" customHeight="1" spans="1:24">
      <c r="A605" s="20"/>
      <c r="B605" s="20"/>
      <c r="C605" s="20"/>
      <c r="D605" s="20"/>
      <c r="E605" s="20"/>
      <c r="F605" s="20"/>
      <c r="G605" s="20"/>
      <c r="H605" s="20"/>
      <c r="I605" s="20"/>
      <c r="J605" s="20"/>
      <c r="K605" s="20"/>
      <c r="L605" s="20"/>
      <c r="M605" s="20"/>
      <c r="N605" s="20"/>
      <c r="O605" s="20"/>
      <c r="P605" s="20"/>
      <c r="Q605" s="20"/>
      <c r="R605" s="20"/>
      <c r="S605" s="20"/>
      <c r="T605" s="20"/>
      <c r="U605" s="20"/>
      <c r="V605" s="20"/>
      <c r="W605" s="20"/>
      <c r="X605" s="20"/>
    </row>
    <row r="606" ht="13.5" customHeight="1" spans="1:24">
      <c r="A606" s="20"/>
      <c r="B606" s="20"/>
      <c r="C606" s="20"/>
      <c r="D606" s="20"/>
      <c r="E606" s="20"/>
      <c r="F606" s="20"/>
      <c r="G606" s="20"/>
      <c r="H606" s="20"/>
      <c r="I606" s="20"/>
      <c r="J606" s="20"/>
      <c r="K606" s="20"/>
      <c r="L606" s="20"/>
      <c r="M606" s="20"/>
      <c r="N606" s="20"/>
      <c r="O606" s="20"/>
      <c r="P606" s="20"/>
      <c r="Q606" s="20"/>
      <c r="R606" s="20"/>
      <c r="S606" s="20"/>
      <c r="T606" s="20"/>
      <c r="U606" s="20"/>
      <c r="V606" s="20"/>
      <c r="W606" s="20"/>
      <c r="X606" s="20"/>
    </row>
    <row r="607" ht="13.5" customHeight="1" spans="1:24">
      <c r="A607" s="20"/>
      <c r="B607" s="20"/>
      <c r="C607" s="20"/>
      <c r="D607" s="20"/>
      <c r="E607" s="20"/>
      <c r="F607" s="20"/>
      <c r="G607" s="20"/>
      <c r="H607" s="20"/>
      <c r="I607" s="20"/>
      <c r="J607" s="20"/>
      <c r="K607" s="20"/>
      <c r="L607" s="20"/>
      <c r="M607" s="20"/>
      <c r="N607" s="20"/>
      <c r="O607" s="20"/>
      <c r="P607" s="20"/>
      <c r="Q607" s="20"/>
      <c r="R607" s="20"/>
      <c r="S607" s="20"/>
      <c r="T607" s="20"/>
      <c r="U607" s="20"/>
      <c r="V607" s="20"/>
      <c r="W607" s="20"/>
      <c r="X607" s="20"/>
    </row>
    <row r="608" ht="13.5" customHeight="1" spans="1:24">
      <c r="A608" s="20"/>
      <c r="B608" s="20"/>
      <c r="C608" s="20"/>
      <c r="D608" s="20"/>
      <c r="E608" s="20"/>
      <c r="F608" s="20"/>
      <c r="G608" s="20"/>
      <c r="H608" s="20"/>
      <c r="I608" s="20"/>
      <c r="J608" s="20"/>
      <c r="K608" s="20"/>
      <c r="L608" s="20"/>
      <c r="M608" s="20"/>
      <c r="N608" s="20"/>
      <c r="O608" s="20"/>
      <c r="P608" s="20"/>
      <c r="Q608" s="20"/>
      <c r="R608" s="20"/>
      <c r="S608" s="20"/>
      <c r="T608" s="20"/>
      <c r="U608" s="20"/>
      <c r="V608" s="20"/>
      <c r="W608" s="20"/>
      <c r="X608" s="20"/>
    </row>
    <row r="609" ht="13.5" customHeight="1" spans="1:24">
      <c r="A609" s="20"/>
      <c r="B609" s="20"/>
      <c r="C609" s="20"/>
      <c r="D609" s="20"/>
      <c r="E609" s="20"/>
      <c r="F609" s="20"/>
      <c r="G609" s="20"/>
      <c r="H609" s="20"/>
      <c r="I609" s="20"/>
      <c r="J609" s="20"/>
      <c r="K609" s="20"/>
      <c r="L609" s="20"/>
      <c r="M609" s="20"/>
      <c r="N609" s="20"/>
      <c r="O609" s="20"/>
      <c r="P609" s="20"/>
      <c r="Q609" s="20"/>
      <c r="R609" s="20"/>
      <c r="S609" s="20"/>
      <c r="T609" s="20"/>
      <c r="U609" s="20"/>
      <c r="V609" s="20"/>
      <c r="W609" s="20"/>
      <c r="X609" s="20"/>
    </row>
    <row r="610" ht="13.5" customHeight="1" spans="1:24">
      <c r="A610" s="20"/>
      <c r="B610" s="20"/>
      <c r="C610" s="20"/>
      <c r="D610" s="20"/>
      <c r="E610" s="20"/>
      <c r="F610" s="20"/>
      <c r="G610" s="20"/>
      <c r="H610" s="20"/>
      <c r="I610" s="20"/>
      <c r="J610" s="20"/>
      <c r="K610" s="20"/>
      <c r="L610" s="20"/>
      <c r="M610" s="20"/>
      <c r="N610" s="20"/>
      <c r="O610" s="20"/>
      <c r="P610" s="20"/>
      <c r="Q610" s="20"/>
      <c r="R610" s="20"/>
      <c r="S610" s="20"/>
      <c r="T610" s="20"/>
      <c r="U610" s="20"/>
      <c r="V610" s="20"/>
      <c r="W610" s="20"/>
      <c r="X610" s="20"/>
    </row>
    <row r="611" ht="13.5" customHeight="1" spans="1:24">
      <c r="A611" s="20"/>
      <c r="B611" s="20"/>
      <c r="C611" s="20"/>
      <c r="D611" s="20"/>
      <c r="E611" s="20"/>
      <c r="F611" s="20"/>
      <c r="G611" s="20"/>
      <c r="H611" s="20"/>
      <c r="I611" s="20"/>
      <c r="J611" s="20"/>
      <c r="K611" s="20"/>
      <c r="L611" s="20"/>
      <c r="M611" s="20"/>
      <c r="N611" s="20"/>
      <c r="O611" s="20"/>
      <c r="P611" s="20"/>
      <c r="Q611" s="20"/>
      <c r="R611" s="20"/>
      <c r="S611" s="20"/>
      <c r="T611" s="20"/>
      <c r="U611" s="20"/>
      <c r="V611" s="20"/>
      <c r="W611" s="20"/>
      <c r="X611" s="20"/>
    </row>
    <row r="612" ht="13.5" customHeight="1" spans="1:24">
      <c r="A612" s="20"/>
      <c r="B612" s="20"/>
      <c r="C612" s="20"/>
      <c r="D612" s="20"/>
      <c r="E612" s="20"/>
      <c r="F612" s="20"/>
      <c r="G612" s="20"/>
      <c r="H612" s="20"/>
      <c r="I612" s="20"/>
      <c r="J612" s="20"/>
      <c r="K612" s="20"/>
      <c r="L612" s="20"/>
      <c r="M612" s="20"/>
      <c r="N612" s="20"/>
      <c r="O612" s="20"/>
      <c r="P612" s="20"/>
      <c r="Q612" s="20"/>
      <c r="R612" s="20"/>
      <c r="S612" s="20"/>
      <c r="T612" s="20"/>
      <c r="U612" s="20"/>
      <c r="V612" s="20"/>
      <c r="W612" s="20"/>
      <c r="X612" s="20"/>
    </row>
    <row r="613" ht="13.5" customHeight="1" spans="1:24">
      <c r="A613" s="20"/>
      <c r="B613" s="20"/>
      <c r="C613" s="20"/>
      <c r="D613" s="20"/>
      <c r="E613" s="20"/>
      <c r="F613" s="20"/>
      <c r="G613" s="20"/>
      <c r="H613" s="20"/>
      <c r="I613" s="20"/>
      <c r="J613" s="20"/>
      <c r="K613" s="20"/>
      <c r="L613" s="20"/>
      <c r="M613" s="20"/>
      <c r="N613" s="20"/>
      <c r="O613" s="20"/>
      <c r="P613" s="20"/>
      <c r="Q613" s="20"/>
      <c r="R613" s="20"/>
      <c r="S613" s="20"/>
      <c r="T613" s="20"/>
      <c r="U613" s="20"/>
      <c r="V613" s="20"/>
      <c r="W613" s="20"/>
      <c r="X613" s="20"/>
    </row>
    <row r="614" ht="13.5" customHeight="1" spans="1:24">
      <c r="A614" s="20"/>
      <c r="B614" s="20"/>
      <c r="C614" s="20"/>
      <c r="D614" s="20"/>
      <c r="E614" s="20"/>
      <c r="F614" s="20"/>
      <c r="G614" s="20"/>
      <c r="H614" s="20"/>
      <c r="I614" s="20"/>
      <c r="J614" s="20"/>
      <c r="K614" s="20"/>
      <c r="L614" s="20"/>
      <c r="M614" s="20"/>
      <c r="N614" s="20"/>
      <c r="O614" s="20"/>
      <c r="P614" s="20"/>
      <c r="Q614" s="20"/>
      <c r="R614" s="20"/>
      <c r="S614" s="20"/>
      <c r="T614" s="20"/>
      <c r="U614" s="20"/>
      <c r="V614" s="20"/>
      <c r="W614" s="20"/>
      <c r="X614" s="20"/>
    </row>
    <row r="615" ht="13.5" customHeight="1" spans="1:24">
      <c r="A615" s="20"/>
      <c r="B615" s="20"/>
      <c r="C615" s="20"/>
      <c r="D615" s="20"/>
      <c r="E615" s="20"/>
      <c r="F615" s="20"/>
      <c r="G615" s="20"/>
      <c r="H615" s="20"/>
      <c r="I615" s="20"/>
      <c r="J615" s="20"/>
      <c r="K615" s="20"/>
      <c r="L615" s="20"/>
      <c r="M615" s="20"/>
      <c r="N615" s="20"/>
      <c r="O615" s="20"/>
      <c r="P615" s="20"/>
      <c r="Q615" s="20"/>
      <c r="R615" s="20"/>
      <c r="S615" s="20"/>
      <c r="T615" s="20"/>
      <c r="U615" s="20"/>
      <c r="V615" s="20"/>
      <c r="W615" s="20"/>
      <c r="X615" s="20"/>
    </row>
    <row r="616" ht="13.5" customHeight="1" spans="1:24">
      <c r="A616" s="20"/>
      <c r="B616" s="20"/>
      <c r="C616" s="20"/>
      <c r="D616" s="20"/>
      <c r="E616" s="20"/>
      <c r="F616" s="20"/>
      <c r="G616" s="20"/>
      <c r="H616" s="20"/>
      <c r="I616" s="20"/>
      <c r="J616" s="20"/>
      <c r="K616" s="20"/>
      <c r="L616" s="20"/>
      <c r="M616" s="20"/>
      <c r="N616" s="20"/>
      <c r="O616" s="20"/>
      <c r="P616" s="20"/>
      <c r="Q616" s="20"/>
      <c r="R616" s="20"/>
      <c r="S616" s="20"/>
      <c r="T616" s="20"/>
      <c r="U616" s="20"/>
      <c r="V616" s="20"/>
      <c r="W616" s="20"/>
      <c r="X616" s="20"/>
    </row>
    <row r="617" ht="13.5" customHeight="1" spans="1:24">
      <c r="A617" s="20"/>
      <c r="B617" s="20"/>
      <c r="C617" s="20"/>
      <c r="D617" s="20"/>
      <c r="E617" s="20"/>
      <c r="F617" s="20"/>
      <c r="G617" s="20"/>
      <c r="H617" s="20"/>
      <c r="I617" s="20"/>
      <c r="J617" s="20"/>
      <c r="K617" s="20"/>
      <c r="L617" s="20"/>
      <c r="M617" s="20"/>
      <c r="N617" s="20"/>
      <c r="O617" s="20"/>
      <c r="P617" s="20"/>
      <c r="Q617" s="20"/>
      <c r="R617" s="20"/>
      <c r="S617" s="20"/>
      <c r="T617" s="20"/>
      <c r="U617" s="20"/>
      <c r="V617" s="20"/>
      <c r="W617" s="20"/>
      <c r="X617" s="20"/>
    </row>
    <row r="618" ht="13.5" customHeight="1" spans="1:24">
      <c r="A618" s="20"/>
      <c r="B618" s="20"/>
      <c r="C618" s="20"/>
      <c r="D618" s="20"/>
      <c r="E618" s="20"/>
      <c r="F618" s="20"/>
      <c r="G618" s="20"/>
      <c r="H618" s="20"/>
      <c r="I618" s="20"/>
      <c r="J618" s="20"/>
      <c r="K618" s="20"/>
      <c r="L618" s="20"/>
      <c r="M618" s="20"/>
      <c r="N618" s="20"/>
      <c r="O618" s="20"/>
      <c r="P618" s="20"/>
      <c r="Q618" s="20"/>
      <c r="R618" s="20"/>
      <c r="S618" s="20"/>
      <c r="T618" s="20"/>
      <c r="U618" s="20"/>
      <c r="V618" s="20"/>
      <c r="W618" s="20"/>
      <c r="X618" s="20"/>
    </row>
    <row r="619" ht="13.5" customHeight="1" spans="1:24">
      <c r="A619" s="20"/>
      <c r="B619" s="20"/>
      <c r="C619" s="20"/>
      <c r="D619" s="20"/>
      <c r="E619" s="20"/>
      <c r="F619" s="20"/>
      <c r="G619" s="20"/>
      <c r="H619" s="20"/>
      <c r="I619" s="20"/>
      <c r="J619" s="20"/>
      <c r="K619" s="20"/>
      <c r="L619" s="20"/>
      <c r="M619" s="20"/>
      <c r="N619" s="20"/>
      <c r="O619" s="20"/>
      <c r="P619" s="20"/>
      <c r="Q619" s="20"/>
      <c r="R619" s="20"/>
      <c r="S619" s="20"/>
      <c r="T619" s="20"/>
      <c r="U619" s="20"/>
      <c r="V619" s="20"/>
      <c r="W619" s="20"/>
      <c r="X619" s="20"/>
    </row>
    <row r="620" ht="13.5" customHeight="1" spans="1:24">
      <c r="A620" s="20"/>
      <c r="B620" s="20"/>
      <c r="C620" s="20"/>
      <c r="D620" s="20"/>
      <c r="E620" s="20"/>
      <c r="F620" s="20"/>
      <c r="G620" s="20"/>
      <c r="H620" s="20"/>
      <c r="I620" s="20"/>
      <c r="J620" s="20"/>
      <c r="K620" s="20"/>
      <c r="L620" s="20"/>
      <c r="M620" s="20"/>
      <c r="N620" s="20"/>
      <c r="O620" s="20"/>
      <c r="P620" s="20"/>
      <c r="Q620" s="20"/>
      <c r="R620" s="20"/>
      <c r="S620" s="20"/>
      <c r="T620" s="20"/>
      <c r="U620" s="20"/>
      <c r="V620" s="20"/>
      <c r="W620" s="20"/>
      <c r="X620" s="20"/>
    </row>
    <row r="621" ht="13.5" customHeight="1" spans="1:24">
      <c r="A621" s="20"/>
      <c r="B621" s="20"/>
      <c r="C621" s="20"/>
      <c r="D621" s="20"/>
      <c r="E621" s="20"/>
      <c r="F621" s="20"/>
      <c r="G621" s="20"/>
      <c r="H621" s="20"/>
      <c r="I621" s="20"/>
      <c r="J621" s="20"/>
      <c r="K621" s="20"/>
      <c r="L621" s="20"/>
      <c r="M621" s="20"/>
      <c r="N621" s="20"/>
      <c r="O621" s="20"/>
      <c r="P621" s="20"/>
      <c r="Q621" s="20"/>
      <c r="R621" s="20"/>
      <c r="S621" s="20"/>
      <c r="T621" s="20"/>
      <c r="U621" s="20"/>
      <c r="V621" s="20"/>
      <c r="W621" s="20"/>
      <c r="X621" s="20"/>
    </row>
    <row r="622" ht="13.5" customHeight="1" spans="1:24">
      <c r="A622" s="20"/>
      <c r="B622" s="20"/>
      <c r="C622" s="20"/>
      <c r="D622" s="20"/>
      <c r="E622" s="20"/>
      <c r="F622" s="20"/>
      <c r="G622" s="20"/>
      <c r="H622" s="20"/>
      <c r="I622" s="20"/>
      <c r="J622" s="20"/>
      <c r="K622" s="20"/>
      <c r="L622" s="20"/>
      <c r="M622" s="20"/>
      <c r="N622" s="20"/>
      <c r="O622" s="20"/>
      <c r="P622" s="20"/>
      <c r="Q622" s="20"/>
      <c r="R622" s="20"/>
      <c r="S622" s="20"/>
      <c r="T622" s="20"/>
      <c r="U622" s="20"/>
      <c r="V622" s="20"/>
      <c r="W622" s="20"/>
      <c r="X622" s="20"/>
    </row>
    <row r="623" ht="13.5" customHeight="1" spans="1:24">
      <c r="A623" s="20"/>
      <c r="B623" s="20"/>
      <c r="C623" s="20"/>
      <c r="D623" s="20"/>
      <c r="E623" s="20"/>
      <c r="F623" s="20"/>
      <c r="G623" s="20"/>
      <c r="H623" s="20"/>
      <c r="I623" s="20"/>
      <c r="J623" s="20"/>
      <c r="K623" s="20"/>
      <c r="L623" s="20"/>
      <c r="M623" s="20"/>
      <c r="N623" s="20"/>
      <c r="O623" s="20"/>
      <c r="P623" s="20"/>
      <c r="Q623" s="20"/>
      <c r="R623" s="20"/>
      <c r="S623" s="20"/>
      <c r="T623" s="20"/>
      <c r="U623" s="20"/>
      <c r="V623" s="20"/>
      <c r="W623" s="20"/>
      <c r="X623" s="20"/>
    </row>
    <row r="624" ht="13.5" customHeight="1" spans="1:24">
      <c r="A624" s="20"/>
      <c r="B624" s="20"/>
      <c r="C624" s="20"/>
      <c r="D624" s="20"/>
      <c r="E624" s="20"/>
      <c r="F624" s="20"/>
      <c r="G624" s="20"/>
      <c r="H624" s="20"/>
      <c r="I624" s="20"/>
      <c r="J624" s="20"/>
      <c r="K624" s="20"/>
      <c r="L624" s="20"/>
      <c r="M624" s="20"/>
      <c r="N624" s="20"/>
      <c r="O624" s="20"/>
      <c r="P624" s="20"/>
      <c r="Q624" s="20"/>
      <c r="R624" s="20"/>
      <c r="S624" s="20"/>
      <c r="T624" s="20"/>
      <c r="U624" s="20"/>
      <c r="V624" s="20"/>
      <c r="W624" s="20"/>
      <c r="X624" s="20"/>
    </row>
    <row r="625" ht="13.5" customHeight="1" spans="1:24">
      <c r="A625" s="20"/>
      <c r="B625" s="20"/>
      <c r="C625" s="20"/>
      <c r="D625" s="20"/>
      <c r="E625" s="20"/>
      <c r="F625" s="20"/>
      <c r="G625" s="20"/>
      <c r="H625" s="20"/>
      <c r="I625" s="20"/>
      <c r="J625" s="20"/>
      <c r="K625" s="20"/>
      <c r="L625" s="20"/>
      <c r="M625" s="20"/>
      <c r="N625" s="20"/>
      <c r="O625" s="20"/>
      <c r="P625" s="20"/>
      <c r="Q625" s="20"/>
      <c r="R625" s="20"/>
      <c r="S625" s="20"/>
      <c r="T625" s="20"/>
      <c r="U625" s="20"/>
      <c r="V625" s="20"/>
      <c r="W625" s="20"/>
      <c r="X625" s="20"/>
    </row>
    <row r="626" ht="13.5" customHeight="1" spans="1:24">
      <c r="A626" s="20"/>
      <c r="B626" s="20"/>
      <c r="C626" s="20"/>
      <c r="D626" s="20"/>
      <c r="E626" s="20"/>
      <c r="F626" s="20"/>
      <c r="G626" s="20"/>
      <c r="H626" s="20"/>
      <c r="I626" s="20"/>
      <c r="J626" s="20"/>
      <c r="K626" s="20"/>
      <c r="L626" s="20"/>
      <c r="M626" s="20"/>
      <c r="N626" s="20"/>
      <c r="O626" s="20"/>
      <c r="P626" s="20"/>
      <c r="Q626" s="20"/>
      <c r="R626" s="20"/>
      <c r="S626" s="20"/>
      <c r="T626" s="20"/>
      <c r="U626" s="20"/>
      <c r="V626" s="20"/>
      <c r="W626" s="20"/>
      <c r="X626" s="20"/>
    </row>
    <row r="627" ht="13.5" customHeight="1" spans="1:24">
      <c r="A627" s="20"/>
      <c r="B627" s="20"/>
      <c r="C627" s="20"/>
      <c r="D627" s="20"/>
      <c r="E627" s="20"/>
      <c r="F627" s="20"/>
      <c r="G627" s="20"/>
      <c r="H627" s="20"/>
      <c r="I627" s="20"/>
      <c r="J627" s="20"/>
      <c r="K627" s="20"/>
      <c r="L627" s="20"/>
      <c r="M627" s="20"/>
      <c r="N627" s="20"/>
      <c r="O627" s="20"/>
      <c r="P627" s="20"/>
      <c r="Q627" s="20"/>
      <c r="R627" s="20"/>
      <c r="S627" s="20"/>
      <c r="T627" s="20"/>
      <c r="U627" s="20"/>
      <c r="V627" s="20"/>
      <c r="W627" s="20"/>
      <c r="X627" s="20"/>
    </row>
    <row r="628" ht="13.5" customHeight="1" spans="1:24">
      <c r="A628" s="20"/>
      <c r="B628" s="20"/>
      <c r="C628" s="20"/>
      <c r="D628" s="20"/>
      <c r="E628" s="20"/>
      <c r="F628" s="20"/>
      <c r="G628" s="20"/>
      <c r="H628" s="20"/>
      <c r="I628" s="20"/>
      <c r="J628" s="20"/>
      <c r="K628" s="20"/>
      <c r="L628" s="20"/>
      <c r="M628" s="20"/>
      <c r="N628" s="20"/>
      <c r="O628" s="20"/>
      <c r="P628" s="20"/>
      <c r="Q628" s="20"/>
      <c r="R628" s="20"/>
      <c r="S628" s="20"/>
      <c r="T628" s="20"/>
      <c r="U628" s="20"/>
      <c r="V628" s="20"/>
      <c r="W628" s="20"/>
      <c r="X628" s="20"/>
    </row>
    <row r="629" ht="13.5" customHeight="1" spans="1:24">
      <c r="A629" s="20"/>
      <c r="B629" s="20"/>
      <c r="C629" s="20"/>
      <c r="D629" s="20"/>
      <c r="E629" s="20"/>
      <c r="F629" s="20"/>
      <c r="G629" s="20"/>
      <c r="H629" s="20"/>
      <c r="I629" s="20"/>
      <c r="J629" s="20"/>
      <c r="K629" s="20"/>
      <c r="L629" s="20"/>
      <c r="M629" s="20"/>
      <c r="N629" s="20"/>
      <c r="O629" s="20"/>
      <c r="P629" s="20"/>
      <c r="Q629" s="20"/>
      <c r="R629" s="20"/>
      <c r="S629" s="20"/>
      <c r="T629" s="20"/>
      <c r="U629" s="20"/>
      <c r="V629" s="20"/>
      <c r="W629" s="20"/>
      <c r="X629" s="20"/>
    </row>
    <row r="630" ht="13.5" customHeight="1" spans="1:24">
      <c r="A630" s="20"/>
      <c r="B630" s="20"/>
      <c r="C630" s="20"/>
      <c r="D630" s="20"/>
      <c r="E630" s="20"/>
      <c r="F630" s="20"/>
      <c r="G630" s="20"/>
      <c r="H630" s="20"/>
      <c r="I630" s="20"/>
      <c r="J630" s="20"/>
      <c r="K630" s="20"/>
      <c r="L630" s="20"/>
      <c r="M630" s="20"/>
      <c r="N630" s="20"/>
      <c r="O630" s="20"/>
      <c r="P630" s="20"/>
      <c r="Q630" s="20"/>
      <c r="R630" s="20"/>
      <c r="S630" s="20"/>
      <c r="T630" s="20"/>
      <c r="U630" s="20"/>
      <c r="V630" s="20"/>
      <c r="W630" s="20"/>
      <c r="X630" s="20"/>
    </row>
    <row r="631" ht="13.5" customHeight="1" spans="1:24">
      <c r="A631" s="20"/>
      <c r="B631" s="20"/>
      <c r="C631" s="20"/>
      <c r="D631" s="20"/>
      <c r="E631" s="20"/>
      <c r="F631" s="20"/>
      <c r="G631" s="20"/>
      <c r="H631" s="20"/>
      <c r="I631" s="20"/>
      <c r="J631" s="20"/>
      <c r="K631" s="20"/>
      <c r="L631" s="20"/>
      <c r="M631" s="20"/>
      <c r="N631" s="20"/>
      <c r="O631" s="20"/>
      <c r="P631" s="20"/>
      <c r="Q631" s="20"/>
      <c r="R631" s="20"/>
      <c r="S631" s="20"/>
      <c r="T631" s="20"/>
      <c r="U631" s="20"/>
      <c r="V631" s="20"/>
      <c r="W631" s="20"/>
      <c r="X631" s="20"/>
    </row>
    <row r="632" ht="13.5" customHeight="1" spans="1:24">
      <c r="A632" s="20"/>
      <c r="B632" s="20"/>
      <c r="C632" s="20"/>
      <c r="D632" s="20"/>
      <c r="E632" s="20"/>
      <c r="F632" s="20"/>
      <c r="G632" s="20"/>
      <c r="H632" s="20"/>
      <c r="I632" s="20"/>
      <c r="J632" s="20"/>
      <c r="K632" s="20"/>
      <c r="L632" s="20"/>
      <c r="M632" s="20"/>
      <c r="N632" s="20"/>
      <c r="O632" s="20"/>
      <c r="P632" s="20"/>
      <c r="Q632" s="20"/>
      <c r="R632" s="20"/>
      <c r="S632" s="20"/>
      <c r="T632" s="20"/>
      <c r="U632" s="20"/>
      <c r="V632" s="20"/>
      <c r="W632" s="20"/>
      <c r="X632" s="20"/>
    </row>
    <row r="633" ht="13.5" customHeight="1" spans="1:24">
      <c r="A633" s="20"/>
      <c r="B633" s="20"/>
      <c r="C633" s="20"/>
      <c r="D633" s="20"/>
      <c r="E633" s="20"/>
      <c r="F633" s="20"/>
      <c r="G633" s="20"/>
      <c r="H633" s="20"/>
      <c r="I633" s="20"/>
      <c r="J633" s="20"/>
      <c r="K633" s="20"/>
      <c r="L633" s="20"/>
      <c r="M633" s="20"/>
      <c r="N633" s="20"/>
      <c r="O633" s="20"/>
      <c r="P633" s="20"/>
      <c r="Q633" s="20"/>
      <c r="R633" s="20"/>
      <c r="S633" s="20"/>
      <c r="T633" s="20"/>
      <c r="U633" s="20"/>
      <c r="V633" s="20"/>
      <c r="W633" s="20"/>
      <c r="X633" s="20"/>
    </row>
    <row r="634" ht="13.5" customHeight="1" spans="1:24">
      <c r="A634" s="20"/>
      <c r="B634" s="20"/>
      <c r="C634" s="20"/>
      <c r="D634" s="20"/>
      <c r="E634" s="20"/>
      <c r="F634" s="20"/>
      <c r="G634" s="20"/>
      <c r="H634" s="20"/>
      <c r="I634" s="20"/>
      <c r="J634" s="20"/>
      <c r="K634" s="20"/>
      <c r="L634" s="20"/>
      <c r="M634" s="20"/>
      <c r="N634" s="20"/>
      <c r="O634" s="20"/>
      <c r="P634" s="20"/>
      <c r="Q634" s="20"/>
      <c r="R634" s="20"/>
      <c r="S634" s="20"/>
      <c r="T634" s="20"/>
      <c r="U634" s="20"/>
      <c r="V634" s="20"/>
      <c r="W634" s="20"/>
      <c r="X634" s="20"/>
    </row>
    <row r="635" ht="13.5" customHeight="1" spans="1:24">
      <c r="A635" s="20"/>
      <c r="B635" s="20"/>
      <c r="C635" s="20"/>
      <c r="D635" s="20"/>
      <c r="E635" s="20"/>
      <c r="F635" s="20"/>
      <c r="G635" s="20"/>
      <c r="H635" s="20"/>
      <c r="I635" s="20"/>
      <c r="J635" s="20"/>
      <c r="K635" s="20"/>
      <c r="L635" s="20"/>
      <c r="M635" s="20"/>
      <c r="N635" s="20"/>
      <c r="O635" s="20"/>
      <c r="P635" s="20"/>
      <c r="Q635" s="20"/>
      <c r="R635" s="20"/>
      <c r="S635" s="20"/>
      <c r="T635" s="20"/>
      <c r="U635" s="20"/>
      <c r="V635" s="20"/>
      <c r="W635" s="20"/>
      <c r="X635" s="20"/>
    </row>
    <row r="636" ht="13.5" customHeight="1" spans="1:24">
      <c r="A636" s="20"/>
      <c r="B636" s="20"/>
      <c r="C636" s="20"/>
      <c r="D636" s="20"/>
      <c r="E636" s="20"/>
      <c r="F636" s="20"/>
      <c r="G636" s="20"/>
      <c r="H636" s="20"/>
      <c r="I636" s="20"/>
      <c r="J636" s="20"/>
      <c r="K636" s="20"/>
      <c r="L636" s="20"/>
      <c r="M636" s="20"/>
      <c r="N636" s="20"/>
      <c r="O636" s="20"/>
      <c r="P636" s="20"/>
      <c r="Q636" s="20"/>
      <c r="R636" s="20"/>
      <c r="S636" s="20"/>
      <c r="T636" s="20"/>
      <c r="U636" s="20"/>
      <c r="V636" s="20"/>
      <c r="W636" s="20"/>
      <c r="X636" s="20"/>
    </row>
    <row r="637" ht="13.5" customHeight="1" spans="1:24">
      <c r="A637" s="20"/>
      <c r="B637" s="20"/>
      <c r="C637" s="20"/>
      <c r="D637" s="20"/>
      <c r="E637" s="20"/>
      <c r="F637" s="20"/>
      <c r="G637" s="20"/>
      <c r="H637" s="20"/>
      <c r="I637" s="20"/>
      <c r="J637" s="20"/>
      <c r="K637" s="20"/>
      <c r="L637" s="20"/>
      <c r="M637" s="20"/>
      <c r="N637" s="20"/>
      <c r="O637" s="20"/>
      <c r="P637" s="20"/>
      <c r="Q637" s="20"/>
      <c r="R637" s="20"/>
      <c r="S637" s="20"/>
      <c r="T637" s="20"/>
      <c r="U637" s="20"/>
      <c r="V637" s="20"/>
      <c r="W637" s="20"/>
      <c r="X637" s="20"/>
    </row>
    <row r="638" ht="13.5" customHeight="1" spans="1:24">
      <c r="A638" s="20"/>
      <c r="B638" s="20"/>
      <c r="C638" s="20"/>
      <c r="D638" s="20"/>
      <c r="E638" s="20"/>
      <c r="F638" s="20"/>
      <c r="G638" s="20"/>
      <c r="H638" s="20"/>
      <c r="I638" s="20"/>
      <c r="J638" s="20"/>
      <c r="K638" s="20"/>
      <c r="L638" s="20"/>
      <c r="M638" s="20"/>
      <c r="N638" s="20"/>
      <c r="O638" s="20"/>
      <c r="P638" s="20"/>
      <c r="Q638" s="20"/>
      <c r="R638" s="20"/>
      <c r="S638" s="20"/>
      <c r="T638" s="20"/>
      <c r="U638" s="20"/>
      <c r="V638" s="20"/>
      <c r="W638" s="20"/>
      <c r="X638" s="20"/>
    </row>
    <row r="639" ht="13.5" customHeight="1" spans="1:24">
      <c r="A639" s="20"/>
      <c r="B639" s="20"/>
      <c r="C639" s="20"/>
      <c r="D639" s="20"/>
      <c r="E639" s="20"/>
      <c r="F639" s="20"/>
      <c r="G639" s="20"/>
      <c r="H639" s="20"/>
      <c r="I639" s="20"/>
      <c r="J639" s="20"/>
      <c r="K639" s="20"/>
      <c r="L639" s="20"/>
      <c r="M639" s="20"/>
      <c r="N639" s="20"/>
      <c r="O639" s="20"/>
      <c r="P639" s="20"/>
      <c r="Q639" s="20"/>
      <c r="R639" s="20"/>
      <c r="S639" s="20"/>
      <c r="T639" s="20"/>
      <c r="U639" s="20"/>
      <c r="V639" s="20"/>
      <c r="W639" s="20"/>
      <c r="X639" s="20"/>
    </row>
    <row r="640" ht="13.5" customHeight="1" spans="1:24">
      <c r="A640" s="20"/>
      <c r="B640" s="20"/>
      <c r="C640" s="20"/>
      <c r="D640" s="20"/>
      <c r="E640" s="20"/>
      <c r="F640" s="20"/>
      <c r="G640" s="20"/>
      <c r="H640" s="20"/>
      <c r="I640" s="20"/>
      <c r="J640" s="20"/>
      <c r="K640" s="20"/>
      <c r="L640" s="20"/>
      <c r="M640" s="20"/>
      <c r="N640" s="20"/>
      <c r="O640" s="20"/>
      <c r="P640" s="20"/>
      <c r="Q640" s="20"/>
      <c r="R640" s="20"/>
      <c r="S640" s="20"/>
      <c r="T640" s="20"/>
      <c r="U640" s="20"/>
      <c r="V640" s="20"/>
      <c r="W640" s="20"/>
      <c r="X640" s="20"/>
    </row>
    <row r="641" ht="13.5" customHeight="1" spans="1:24">
      <c r="A641" s="20"/>
      <c r="B641" s="20"/>
      <c r="C641" s="20"/>
      <c r="D641" s="20"/>
      <c r="E641" s="20"/>
      <c r="F641" s="20"/>
      <c r="G641" s="20"/>
      <c r="H641" s="20"/>
      <c r="I641" s="20"/>
      <c r="J641" s="20"/>
      <c r="K641" s="20"/>
      <c r="L641" s="20"/>
      <c r="M641" s="20"/>
      <c r="N641" s="20"/>
      <c r="O641" s="20"/>
      <c r="P641" s="20"/>
      <c r="Q641" s="20"/>
      <c r="R641" s="20"/>
      <c r="S641" s="20"/>
      <c r="T641" s="20"/>
      <c r="U641" s="20"/>
      <c r="V641" s="20"/>
      <c r="W641" s="20"/>
      <c r="X641" s="20"/>
    </row>
    <row r="642" ht="13.5" customHeight="1" spans="1:24">
      <c r="A642" s="20"/>
      <c r="B642" s="20"/>
      <c r="C642" s="20"/>
      <c r="D642" s="20"/>
      <c r="E642" s="20"/>
      <c r="F642" s="20"/>
      <c r="G642" s="20"/>
      <c r="H642" s="20"/>
      <c r="I642" s="20"/>
      <c r="J642" s="20"/>
      <c r="K642" s="20"/>
      <c r="L642" s="20"/>
      <c r="M642" s="20"/>
      <c r="N642" s="20"/>
      <c r="O642" s="20"/>
      <c r="P642" s="20"/>
      <c r="Q642" s="20"/>
      <c r="R642" s="20"/>
      <c r="S642" s="20"/>
      <c r="T642" s="20"/>
      <c r="U642" s="20"/>
      <c r="V642" s="20"/>
      <c r="W642" s="20"/>
      <c r="X642" s="20"/>
    </row>
    <row r="643" ht="13.5" customHeight="1" spans="1:24">
      <c r="A643" s="20"/>
      <c r="B643" s="20"/>
      <c r="C643" s="20"/>
      <c r="D643" s="20"/>
      <c r="E643" s="20"/>
      <c r="F643" s="20"/>
      <c r="G643" s="20"/>
      <c r="H643" s="20"/>
      <c r="I643" s="20"/>
      <c r="J643" s="20"/>
      <c r="K643" s="20"/>
      <c r="L643" s="20"/>
      <c r="M643" s="20"/>
      <c r="N643" s="20"/>
      <c r="O643" s="20"/>
      <c r="P643" s="20"/>
      <c r="Q643" s="20"/>
      <c r="R643" s="20"/>
      <c r="S643" s="20"/>
      <c r="T643" s="20"/>
      <c r="U643" s="20"/>
      <c r="V643" s="20"/>
      <c r="W643" s="20"/>
      <c r="X643" s="20"/>
    </row>
    <row r="644" ht="13.5" customHeight="1" spans="1:24">
      <c r="A644" s="20"/>
      <c r="B644" s="20"/>
      <c r="C644" s="20"/>
      <c r="D644" s="20"/>
      <c r="E644" s="20"/>
      <c r="F644" s="20"/>
      <c r="G644" s="20"/>
      <c r="H644" s="20"/>
      <c r="I644" s="20"/>
      <c r="J644" s="20"/>
      <c r="K644" s="20"/>
      <c r="L644" s="20"/>
      <c r="M644" s="20"/>
      <c r="N644" s="20"/>
      <c r="O644" s="20"/>
      <c r="P644" s="20"/>
      <c r="Q644" s="20"/>
      <c r="R644" s="20"/>
      <c r="S644" s="20"/>
      <c r="T644" s="20"/>
      <c r="U644" s="20"/>
      <c r="V644" s="20"/>
      <c r="W644" s="20"/>
      <c r="X644" s="20"/>
    </row>
    <row r="645" ht="13.5" customHeight="1" spans="1:24">
      <c r="A645" s="20"/>
      <c r="B645" s="20"/>
      <c r="C645" s="20"/>
      <c r="D645" s="20"/>
      <c r="E645" s="20"/>
      <c r="F645" s="20"/>
      <c r="G645" s="20"/>
      <c r="H645" s="20"/>
      <c r="I645" s="20"/>
      <c r="J645" s="20"/>
      <c r="K645" s="20"/>
      <c r="L645" s="20"/>
      <c r="M645" s="20"/>
      <c r="N645" s="20"/>
      <c r="O645" s="20"/>
      <c r="P645" s="20"/>
      <c r="Q645" s="20"/>
      <c r="R645" s="20"/>
      <c r="S645" s="20"/>
      <c r="T645" s="20"/>
      <c r="U645" s="20"/>
      <c r="V645" s="20"/>
      <c r="W645" s="20"/>
      <c r="X645" s="20"/>
    </row>
    <row r="646" ht="13.5" customHeight="1" spans="1:24">
      <c r="A646" s="20"/>
      <c r="B646" s="20"/>
      <c r="C646" s="20"/>
      <c r="D646" s="20"/>
      <c r="E646" s="20"/>
      <c r="F646" s="20"/>
      <c r="G646" s="20"/>
      <c r="H646" s="20"/>
      <c r="I646" s="20"/>
      <c r="J646" s="20"/>
      <c r="K646" s="20"/>
      <c r="L646" s="20"/>
      <c r="M646" s="20"/>
      <c r="N646" s="20"/>
      <c r="O646" s="20"/>
      <c r="P646" s="20"/>
      <c r="Q646" s="20"/>
      <c r="R646" s="20"/>
      <c r="S646" s="20"/>
      <c r="T646" s="20"/>
      <c r="U646" s="20"/>
      <c r="V646" s="20"/>
      <c r="W646" s="20"/>
      <c r="X646" s="20"/>
    </row>
    <row r="647" ht="13.5" customHeight="1" spans="1:24">
      <c r="A647" s="20"/>
      <c r="B647" s="20"/>
      <c r="C647" s="20"/>
      <c r="D647" s="20"/>
      <c r="E647" s="20"/>
      <c r="F647" s="20"/>
      <c r="G647" s="20"/>
      <c r="H647" s="20"/>
      <c r="I647" s="20"/>
      <c r="J647" s="20"/>
      <c r="K647" s="20"/>
      <c r="L647" s="20"/>
      <c r="M647" s="20"/>
      <c r="N647" s="20"/>
      <c r="O647" s="20"/>
      <c r="P647" s="20"/>
      <c r="Q647" s="20"/>
      <c r="R647" s="20"/>
      <c r="S647" s="20"/>
      <c r="T647" s="20"/>
      <c r="U647" s="20"/>
      <c r="V647" s="20"/>
      <c r="W647" s="20"/>
      <c r="X647" s="20"/>
    </row>
    <row r="648" ht="13.5" customHeight="1" spans="1:24">
      <c r="A648" s="20"/>
      <c r="B648" s="20"/>
      <c r="C648" s="20"/>
      <c r="D648" s="20"/>
      <c r="E648" s="20"/>
      <c r="F648" s="20"/>
      <c r="G648" s="20"/>
      <c r="H648" s="20"/>
      <c r="I648" s="20"/>
      <c r="J648" s="20"/>
      <c r="K648" s="20"/>
      <c r="L648" s="20"/>
      <c r="M648" s="20"/>
      <c r="N648" s="20"/>
      <c r="O648" s="20"/>
      <c r="P648" s="20"/>
      <c r="Q648" s="20"/>
      <c r="R648" s="20"/>
      <c r="S648" s="20"/>
      <c r="T648" s="20"/>
      <c r="U648" s="20"/>
      <c r="V648" s="20"/>
      <c r="W648" s="20"/>
      <c r="X648" s="20"/>
    </row>
    <row r="649" ht="13.5" customHeight="1" spans="1:24">
      <c r="A649" s="20"/>
      <c r="B649" s="20"/>
      <c r="C649" s="20"/>
      <c r="D649" s="20"/>
      <c r="E649" s="20"/>
      <c r="F649" s="20"/>
      <c r="G649" s="20"/>
      <c r="H649" s="20"/>
      <c r="I649" s="20"/>
      <c r="J649" s="20"/>
      <c r="K649" s="20"/>
      <c r="L649" s="20"/>
      <c r="M649" s="20"/>
      <c r="N649" s="20"/>
      <c r="O649" s="20"/>
      <c r="P649" s="20"/>
      <c r="Q649" s="20"/>
      <c r="R649" s="20"/>
      <c r="S649" s="20"/>
      <c r="T649" s="20"/>
      <c r="U649" s="20"/>
      <c r="V649" s="20"/>
      <c r="W649" s="20"/>
      <c r="X649" s="20"/>
    </row>
    <row r="650" ht="13.5" customHeight="1" spans="1:24">
      <c r="A650" s="20"/>
      <c r="B650" s="20"/>
      <c r="C650" s="20"/>
      <c r="D650" s="20"/>
      <c r="E650" s="20"/>
      <c r="F650" s="20"/>
      <c r="G650" s="20"/>
      <c r="H650" s="20"/>
      <c r="I650" s="20"/>
      <c r="J650" s="20"/>
      <c r="K650" s="20"/>
      <c r="L650" s="20"/>
      <c r="M650" s="20"/>
      <c r="N650" s="20"/>
      <c r="O650" s="20"/>
      <c r="P650" s="20"/>
      <c r="Q650" s="20"/>
      <c r="R650" s="20"/>
      <c r="S650" s="20"/>
      <c r="T650" s="20"/>
      <c r="U650" s="20"/>
      <c r="V650" s="20"/>
      <c r="W650" s="20"/>
      <c r="X650" s="20"/>
    </row>
    <row r="651" ht="13.5" customHeight="1" spans="1:24">
      <c r="A651" s="20"/>
      <c r="B651" s="20"/>
      <c r="C651" s="20"/>
      <c r="D651" s="20"/>
      <c r="E651" s="20"/>
      <c r="F651" s="20"/>
      <c r="G651" s="20"/>
      <c r="H651" s="20"/>
      <c r="I651" s="20"/>
      <c r="J651" s="20"/>
      <c r="K651" s="20"/>
      <c r="L651" s="20"/>
      <c r="M651" s="20"/>
      <c r="N651" s="20"/>
      <c r="O651" s="20"/>
      <c r="P651" s="20"/>
      <c r="Q651" s="20"/>
      <c r="R651" s="20"/>
      <c r="S651" s="20"/>
      <c r="T651" s="20"/>
      <c r="U651" s="20"/>
      <c r="V651" s="20"/>
      <c r="W651" s="20"/>
      <c r="X651" s="20"/>
    </row>
    <row r="652" ht="13.5" customHeight="1" spans="1:24">
      <c r="A652" s="20"/>
      <c r="B652" s="20"/>
      <c r="C652" s="20"/>
      <c r="D652" s="20"/>
      <c r="E652" s="20"/>
      <c r="F652" s="20"/>
      <c r="G652" s="20"/>
      <c r="H652" s="20"/>
      <c r="I652" s="20"/>
      <c r="J652" s="20"/>
      <c r="K652" s="20"/>
      <c r="L652" s="20"/>
      <c r="M652" s="20"/>
      <c r="N652" s="20"/>
      <c r="O652" s="20"/>
      <c r="P652" s="20"/>
      <c r="Q652" s="20"/>
      <c r="R652" s="20"/>
      <c r="S652" s="20"/>
      <c r="T652" s="20"/>
      <c r="U652" s="20"/>
      <c r="V652" s="20"/>
      <c r="W652" s="20"/>
      <c r="X652" s="20"/>
    </row>
    <row r="653" ht="13.5" customHeight="1" spans="1:24">
      <c r="A653" s="20"/>
      <c r="B653" s="20"/>
      <c r="C653" s="20"/>
      <c r="D653" s="20"/>
      <c r="E653" s="20"/>
      <c r="F653" s="20"/>
      <c r="G653" s="20"/>
      <c r="H653" s="20"/>
      <c r="I653" s="20"/>
      <c r="J653" s="20"/>
      <c r="K653" s="20"/>
      <c r="L653" s="20"/>
      <c r="M653" s="20"/>
      <c r="N653" s="20"/>
      <c r="O653" s="20"/>
      <c r="P653" s="20"/>
      <c r="Q653" s="20"/>
      <c r="R653" s="20"/>
      <c r="S653" s="20"/>
      <c r="T653" s="20"/>
      <c r="U653" s="20"/>
      <c r="V653" s="20"/>
      <c r="W653" s="20"/>
      <c r="X653" s="20"/>
    </row>
    <row r="654" ht="13.5" customHeight="1" spans="1:24">
      <c r="A654" s="20"/>
      <c r="B654" s="20"/>
      <c r="C654" s="20"/>
      <c r="D654" s="20"/>
      <c r="E654" s="20"/>
      <c r="F654" s="20"/>
      <c r="G654" s="20"/>
      <c r="H654" s="20"/>
      <c r="I654" s="20"/>
      <c r="J654" s="20"/>
      <c r="K654" s="20"/>
      <c r="L654" s="20"/>
      <c r="M654" s="20"/>
      <c r="N654" s="20"/>
      <c r="O654" s="20"/>
      <c r="P654" s="20"/>
      <c r="Q654" s="20"/>
      <c r="R654" s="20"/>
      <c r="S654" s="20"/>
      <c r="T654" s="20"/>
      <c r="U654" s="20"/>
      <c r="V654" s="20"/>
      <c r="W654" s="20"/>
      <c r="X654" s="20"/>
    </row>
    <row r="655" ht="13.5" customHeight="1" spans="1:24">
      <c r="A655" s="20"/>
      <c r="B655" s="20"/>
      <c r="C655" s="20"/>
      <c r="D655" s="20"/>
      <c r="E655" s="20"/>
      <c r="F655" s="20"/>
      <c r="G655" s="20"/>
      <c r="H655" s="20"/>
      <c r="I655" s="20"/>
      <c r="J655" s="20"/>
      <c r="K655" s="20"/>
      <c r="L655" s="20"/>
      <c r="M655" s="20"/>
      <c r="N655" s="20"/>
      <c r="O655" s="20"/>
      <c r="P655" s="20"/>
      <c r="Q655" s="20"/>
      <c r="R655" s="20"/>
      <c r="S655" s="20"/>
      <c r="T655" s="20"/>
      <c r="U655" s="20"/>
      <c r="V655" s="20"/>
      <c r="W655" s="20"/>
      <c r="X655" s="20"/>
    </row>
    <row r="656" ht="13.5" customHeight="1" spans="1:24">
      <c r="A656" s="20"/>
      <c r="B656" s="20"/>
      <c r="C656" s="20"/>
      <c r="D656" s="20"/>
      <c r="E656" s="20"/>
      <c r="F656" s="20"/>
      <c r="G656" s="20"/>
      <c r="H656" s="20"/>
      <c r="I656" s="20"/>
      <c r="J656" s="20"/>
      <c r="K656" s="20"/>
      <c r="L656" s="20"/>
      <c r="M656" s="20"/>
      <c r="N656" s="20"/>
      <c r="O656" s="20"/>
      <c r="P656" s="20"/>
      <c r="Q656" s="20"/>
      <c r="R656" s="20"/>
      <c r="S656" s="20"/>
      <c r="T656" s="20"/>
      <c r="U656" s="20"/>
      <c r="V656" s="20"/>
      <c r="W656" s="20"/>
      <c r="X656" s="20"/>
    </row>
    <row r="657" ht="13.5" customHeight="1" spans="1:24">
      <c r="A657" s="20"/>
      <c r="B657" s="20"/>
      <c r="C657" s="20"/>
      <c r="D657" s="20"/>
      <c r="E657" s="20"/>
      <c r="F657" s="20"/>
      <c r="G657" s="20"/>
      <c r="H657" s="20"/>
      <c r="I657" s="20"/>
      <c r="J657" s="20"/>
      <c r="K657" s="20"/>
      <c r="L657" s="20"/>
      <c r="M657" s="20"/>
      <c r="N657" s="20"/>
      <c r="O657" s="20"/>
      <c r="P657" s="20"/>
      <c r="Q657" s="20"/>
      <c r="R657" s="20"/>
      <c r="S657" s="20"/>
      <c r="T657" s="20"/>
      <c r="U657" s="20"/>
      <c r="V657" s="20"/>
      <c r="W657" s="20"/>
      <c r="X657" s="20"/>
    </row>
    <row r="658" ht="13.5" customHeight="1" spans="1:24">
      <c r="A658" s="20"/>
      <c r="B658" s="20"/>
      <c r="C658" s="20"/>
      <c r="D658" s="20"/>
      <c r="E658" s="20"/>
      <c r="F658" s="20"/>
      <c r="G658" s="20"/>
      <c r="H658" s="20"/>
      <c r="I658" s="20"/>
      <c r="J658" s="20"/>
      <c r="K658" s="20"/>
      <c r="L658" s="20"/>
      <c r="M658" s="20"/>
      <c r="N658" s="20"/>
      <c r="O658" s="20"/>
      <c r="P658" s="20"/>
      <c r="Q658" s="20"/>
      <c r="R658" s="20"/>
      <c r="S658" s="20"/>
      <c r="T658" s="20"/>
      <c r="U658" s="20"/>
      <c r="V658" s="20"/>
      <c r="W658" s="20"/>
      <c r="X658" s="20"/>
    </row>
    <row r="659" ht="13.5" customHeight="1" spans="1:24">
      <c r="A659" s="20"/>
      <c r="B659" s="20"/>
      <c r="C659" s="20"/>
      <c r="D659" s="20"/>
      <c r="E659" s="20"/>
      <c r="F659" s="20"/>
      <c r="G659" s="20"/>
      <c r="H659" s="20"/>
      <c r="I659" s="20"/>
      <c r="J659" s="20"/>
      <c r="K659" s="20"/>
      <c r="L659" s="20"/>
      <c r="M659" s="20"/>
      <c r="N659" s="20"/>
      <c r="O659" s="20"/>
      <c r="P659" s="20"/>
      <c r="Q659" s="20"/>
      <c r="R659" s="20"/>
      <c r="S659" s="20"/>
      <c r="T659" s="20"/>
      <c r="U659" s="20"/>
      <c r="V659" s="20"/>
      <c r="W659" s="20"/>
      <c r="X659" s="20"/>
    </row>
    <row r="660" ht="13.5" customHeight="1" spans="1:24">
      <c r="A660" s="20"/>
      <c r="B660" s="20"/>
      <c r="C660" s="20"/>
      <c r="D660" s="20"/>
      <c r="E660" s="20"/>
      <c r="F660" s="20"/>
      <c r="G660" s="20"/>
      <c r="H660" s="20"/>
      <c r="I660" s="20"/>
      <c r="J660" s="20"/>
      <c r="K660" s="20"/>
      <c r="L660" s="20"/>
      <c r="M660" s="20"/>
      <c r="N660" s="20"/>
      <c r="O660" s="20"/>
      <c r="P660" s="20"/>
      <c r="Q660" s="20"/>
      <c r="R660" s="20"/>
      <c r="S660" s="20"/>
      <c r="T660" s="20"/>
      <c r="U660" s="20"/>
      <c r="V660" s="20"/>
      <c r="W660" s="20"/>
      <c r="X660" s="20"/>
    </row>
    <row r="661" ht="13.5" customHeight="1" spans="1:24">
      <c r="A661" s="20"/>
      <c r="B661" s="20"/>
      <c r="C661" s="20"/>
      <c r="D661" s="20"/>
      <c r="E661" s="20"/>
      <c r="F661" s="20"/>
      <c r="G661" s="20"/>
      <c r="H661" s="20"/>
      <c r="I661" s="20"/>
      <c r="J661" s="20"/>
      <c r="K661" s="20"/>
      <c r="L661" s="20"/>
      <c r="M661" s="20"/>
      <c r="N661" s="20"/>
      <c r="O661" s="20"/>
      <c r="P661" s="20"/>
      <c r="Q661" s="20"/>
      <c r="R661" s="20"/>
      <c r="S661" s="20"/>
      <c r="T661" s="20"/>
      <c r="U661" s="20"/>
      <c r="V661" s="20"/>
      <c r="W661" s="20"/>
      <c r="X661" s="20"/>
    </row>
    <row r="662" ht="13.5" customHeight="1" spans="1:24">
      <c r="A662" s="20"/>
      <c r="B662" s="20"/>
      <c r="C662" s="20"/>
      <c r="D662" s="20"/>
      <c r="E662" s="20"/>
      <c r="F662" s="20"/>
      <c r="G662" s="20"/>
      <c r="H662" s="20"/>
      <c r="I662" s="20"/>
      <c r="J662" s="20"/>
      <c r="K662" s="20"/>
      <c r="L662" s="20"/>
      <c r="M662" s="20"/>
      <c r="N662" s="20"/>
      <c r="O662" s="20"/>
      <c r="P662" s="20"/>
      <c r="Q662" s="20"/>
      <c r="R662" s="20"/>
      <c r="S662" s="20"/>
      <c r="T662" s="20"/>
      <c r="U662" s="20"/>
      <c r="V662" s="20"/>
      <c r="W662" s="20"/>
      <c r="X662" s="20"/>
    </row>
    <row r="663" ht="13.5" customHeight="1" spans="1:24">
      <c r="A663" s="20"/>
      <c r="B663" s="20"/>
      <c r="C663" s="20"/>
      <c r="D663" s="20"/>
      <c r="E663" s="20"/>
      <c r="F663" s="20"/>
      <c r="G663" s="20"/>
      <c r="H663" s="20"/>
      <c r="I663" s="20"/>
      <c r="J663" s="20"/>
      <c r="K663" s="20"/>
      <c r="L663" s="20"/>
      <c r="M663" s="20"/>
      <c r="N663" s="20"/>
      <c r="O663" s="20"/>
      <c r="P663" s="20"/>
      <c r="Q663" s="20"/>
      <c r="R663" s="20"/>
      <c r="S663" s="20"/>
      <c r="T663" s="20"/>
      <c r="U663" s="20"/>
      <c r="V663" s="20"/>
      <c r="W663" s="20"/>
      <c r="X663" s="20"/>
    </row>
    <row r="664" ht="13.5" customHeight="1" spans="1:24">
      <c r="A664" s="20"/>
      <c r="B664" s="20"/>
      <c r="C664" s="20"/>
      <c r="D664" s="20"/>
      <c r="E664" s="20"/>
      <c r="F664" s="20"/>
      <c r="G664" s="20"/>
      <c r="H664" s="20"/>
      <c r="I664" s="20"/>
      <c r="J664" s="20"/>
      <c r="K664" s="20"/>
      <c r="L664" s="20"/>
      <c r="M664" s="20"/>
      <c r="N664" s="20"/>
      <c r="O664" s="20"/>
      <c r="P664" s="20"/>
      <c r="Q664" s="20"/>
      <c r="R664" s="20"/>
      <c r="S664" s="20"/>
      <c r="T664" s="20"/>
      <c r="U664" s="20"/>
      <c r="V664" s="20"/>
      <c r="W664" s="20"/>
      <c r="X664" s="20"/>
    </row>
    <row r="665" ht="13.5" customHeight="1" spans="1:24">
      <c r="A665" s="20"/>
      <c r="B665" s="20"/>
      <c r="C665" s="20"/>
      <c r="D665" s="20"/>
      <c r="E665" s="20"/>
      <c r="F665" s="20"/>
      <c r="G665" s="20"/>
      <c r="H665" s="20"/>
      <c r="I665" s="20"/>
      <c r="J665" s="20"/>
      <c r="K665" s="20"/>
      <c r="L665" s="20"/>
      <c r="M665" s="20"/>
      <c r="N665" s="20"/>
      <c r="O665" s="20"/>
      <c r="P665" s="20"/>
      <c r="Q665" s="20"/>
      <c r="R665" s="20"/>
      <c r="S665" s="20"/>
      <c r="T665" s="20"/>
      <c r="U665" s="20"/>
      <c r="V665" s="20"/>
      <c r="W665" s="20"/>
      <c r="X665" s="20"/>
    </row>
    <row r="666" ht="13.5" customHeight="1" spans="1:24">
      <c r="A666" s="20"/>
      <c r="B666" s="20"/>
      <c r="C666" s="20"/>
      <c r="D666" s="20"/>
      <c r="E666" s="20"/>
      <c r="F666" s="20"/>
      <c r="G666" s="20"/>
      <c r="H666" s="20"/>
      <c r="I666" s="20"/>
      <c r="J666" s="20"/>
      <c r="K666" s="20"/>
      <c r="L666" s="20"/>
      <c r="M666" s="20"/>
      <c r="N666" s="20"/>
      <c r="O666" s="20"/>
      <c r="P666" s="20"/>
      <c r="Q666" s="20"/>
      <c r="R666" s="20"/>
      <c r="S666" s="20"/>
      <c r="T666" s="20"/>
      <c r="U666" s="20"/>
      <c r="V666" s="20"/>
      <c r="W666" s="20"/>
      <c r="X666" s="20"/>
    </row>
    <row r="667" ht="13.5" customHeight="1" spans="1:24">
      <c r="A667" s="20"/>
      <c r="B667" s="20"/>
      <c r="C667" s="20"/>
      <c r="D667" s="20"/>
      <c r="E667" s="20"/>
      <c r="F667" s="20"/>
      <c r="G667" s="20"/>
      <c r="H667" s="20"/>
      <c r="I667" s="20"/>
      <c r="J667" s="20"/>
      <c r="K667" s="20"/>
      <c r="L667" s="20"/>
      <c r="M667" s="20"/>
      <c r="N667" s="20"/>
      <c r="O667" s="20"/>
      <c r="P667" s="20"/>
      <c r="Q667" s="20"/>
      <c r="R667" s="20"/>
      <c r="S667" s="20"/>
      <c r="T667" s="20"/>
      <c r="U667" s="20"/>
      <c r="V667" s="20"/>
      <c r="W667" s="20"/>
      <c r="X667" s="20"/>
    </row>
    <row r="668" ht="13.5" customHeight="1" spans="1:24">
      <c r="A668" s="20"/>
      <c r="B668" s="20"/>
      <c r="C668" s="20"/>
      <c r="D668" s="20"/>
      <c r="E668" s="20"/>
      <c r="F668" s="20"/>
      <c r="G668" s="20"/>
      <c r="H668" s="20"/>
      <c r="I668" s="20"/>
      <c r="J668" s="20"/>
      <c r="K668" s="20"/>
      <c r="L668" s="20"/>
      <c r="M668" s="20"/>
      <c r="N668" s="20"/>
      <c r="O668" s="20"/>
      <c r="P668" s="20"/>
      <c r="Q668" s="20"/>
      <c r="R668" s="20"/>
      <c r="S668" s="20"/>
      <c r="T668" s="20"/>
      <c r="U668" s="20"/>
      <c r="V668" s="20"/>
      <c r="W668" s="20"/>
      <c r="X668" s="20"/>
    </row>
    <row r="669" ht="13.5" customHeight="1" spans="1:24">
      <c r="A669" s="20"/>
      <c r="B669" s="20"/>
      <c r="C669" s="20"/>
      <c r="D669" s="20"/>
      <c r="E669" s="20"/>
      <c r="F669" s="20"/>
      <c r="G669" s="20"/>
      <c r="H669" s="20"/>
      <c r="I669" s="20"/>
      <c r="J669" s="20"/>
      <c r="K669" s="20"/>
      <c r="L669" s="20"/>
      <c r="M669" s="20"/>
      <c r="N669" s="20"/>
      <c r="O669" s="20"/>
      <c r="P669" s="20"/>
      <c r="Q669" s="20"/>
      <c r="R669" s="20"/>
      <c r="S669" s="20"/>
      <c r="T669" s="20"/>
      <c r="U669" s="20"/>
      <c r="V669" s="20"/>
      <c r="W669" s="20"/>
      <c r="X669" s="20"/>
    </row>
    <row r="670" ht="13.5" customHeight="1" spans="1:24">
      <c r="A670" s="20"/>
      <c r="B670" s="20"/>
      <c r="C670" s="20"/>
      <c r="D670" s="20"/>
      <c r="E670" s="20"/>
      <c r="F670" s="20"/>
      <c r="G670" s="20"/>
      <c r="H670" s="20"/>
      <c r="I670" s="20"/>
      <c r="J670" s="20"/>
      <c r="K670" s="20"/>
      <c r="L670" s="20"/>
      <c r="M670" s="20"/>
      <c r="N670" s="20"/>
      <c r="O670" s="20"/>
      <c r="P670" s="20"/>
      <c r="Q670" s="20"/>
      <c r="R670" s="20"/>
      <c r="S670" s="20"/>
      <c r="T670" s="20"/>
      <c r="U670" s="20"/>
      <c r="V670" s="20"/>
      <c r="W670" s="20"/>
      <c r="X670" s="20"/>
    </row>
    <row r="671" ht="13.5" customHeight="1" spans="1:24">
      <c r="A671" s="20"/>
      <c r="B671" s="20"/>
      <c r="C671" s="20"/>
      <c r="D671" s="20"/>
      <c r="E671" s="20"/>
      <c r="F671" s="20"/>
      <c r="G671" s="20"/>
      <c r="H671" s="20"/>
      <c r="I671" s="20"/>
      <c r="J671" s="20"/>
      <c r="K671" s="20"/>
      <c r="L671" s="20"/>
      <c r="M671" s="20"/>
      <c r="N671" s="20"/>
      <c r="O671" s="20"/>
      <c r="P671" s="20"/>
      <c r="Q671" s="20"/>
      <c r="R671" s="20"/>
      <c r="S671" s="20"/>
      <c r="T671" s="20"/>
      <c r="U671" s="20"/>
      <c r="V671" s="20"/>
      <c r="W671" s="20"/>
      <c r="X671" s="20"/>
    </row>
    <row r="672" ht="13.5" customHeight="1" spans="1:24">
      <c r="A672" s="20"/>
      <c r="B672" s="20"/>
      <c r="C672" s="20"/>
      <c r="D672" s="20"/>
      <c r="E672" s="20"/>
      <c r="F672" s="20"/>
      <c r="G672" s="20"/>
      <c r="H672" s="20"/>
      <c r="I672" s="20"/>
      <c r="J672" s="20"/>
      <c r="K672" s="20"/>
      <c r="L672" s="20"/>
      <c r="M672" s="20"/>
      <c r="N672" s="20"/>
      <c r="O672" s="20"/>
      <c r="P672" s="20"/>
      <c r="Q672" s="20"/>
      <c r="R672" s="20"/>
      <c r="S672" s="20"/>
      <c r="T672" s="20"/>
      <c r="U672" s="20"/>
      <c r="V672" s="20"/>
      <c r="W672" s="20"/>
      <c r="X672" s="20"/>
    </row>
    <row r="673" ht="13.5" customHeight="1" spans="1:24">
      <c r="A673" s="20"/>
      <c r="B673" s="20"/>
      <c r="C673" s="20"/>
      <c r="D673" s="20"/>
      <c r="E673" s="20"/>
      <c r="F673" s="20"/>
      <c r="G673" s="20"/>
      <c r="H673" s="20"/>
      <c r="I673" s="20"/>
      <c r="J673" s="20"/>
      <c r="K673" s="20"/>
      <c r="L673" s="20"/>
      <c r="M673" s="20"/>
      <c r="N673" s="20"/>
      <c r="O673" s="20"/>
      <c r="P673" s="20"/>
      <c r="Q673" s="20"/>
      <c r="R673" s="20"/>
      <c r="S673" s="20"/>
      <c r="T673" s="20"/>
      <c r="U673" s="20"/>
      <c r="V673" s="20"/>
      <c r="W673" s="20"/>
      <c r="X673" s="20"/>
    </row>
    <row r="674" ht="13.5" customHeight="1" spans="1:24">
      <c r="A674" s="20"/>
      <c r="B674" s="20"/>
      <c r="C674" s="20"/>
      <c r="D674" s="20"/>
      <c r="E674" s="20"/>
      <c r="F674" s="20"/>
      <c r="G674" s="20"/>
      <c r="H674" s="20"/>
      <c r="I674" s="20"/>
      <c r="J674" s="20"/>
      <c r="K674" s="20"/>
      <c r="L674" s="20"/>
      <c r="M674" s="20"/>
      <c r="N674" s="20"/>
      <c r="O674" s="20"/>
      <c r="P674" s="20"/>
      <c r="Q674" s="20"/>
      <c r="R674" s="20"/>
      <c r="S674" s="20"/>
      <c r="T674" s="20"/>
      <c r="U674" s="20"/>
      <c r="V674" s="20"/>
      <c r="W674" s="20"/>
      <c r="X674" s="20"/>
    </row>
    <row r="675" ht="13.5" customHeight="1" spans="1:24">
      <c r="A675" s="20"/>
      <c r="B675" s="20"/>
      <c r="C675" s="20"/>
      <c r="D675" s="20"/>
      <c r="E675" s="20"/>
      <c r="F675" s="20"/>
      <c r="G675" s="20"/>
      <c r="H675" s="20"/>
      <c r="I675" s="20"/>
      <c r="J675" s="20"/>
      <c r="K675" s="20"/>
      <c r="L675" s="20"/>
      <c r="M675" s="20"/>
      <c r="N675" s="20"/>
      <c r="O675" s="20"/>
      <c r="P675" s="20"/>
      <c r="Q675" s="20"/>
      <c r="R675" s="20"/>
      <c r="S675" s="20"/>
      <c r="T675" s="20"/>
      <c r="U675" s="20"/>
      <c r="V675" s="20"/>
      <c r="W675" s="20"/>
      <c r="X675" s="20"/>
    </row>
    <row r="676" ht="13.5" customHeight="1" spans="1:24">
      <c r="A676" s="20"/>
      <c r="B676" s="20"/>
      <c r="C676" s="20"/>
      <c r="D676" s="20"/>
      <c r="E676" s="20"/>
      <c r="F676" s="20"/>
      <c r="G676" s="20"/>
      <c r="H676" s="20"/>
      <c r="I676" s="20"/>
      <c r="J676" s="20"/>
      <c r="K676" s="20"/>
      <c r="L676" s="20"/>
      <c r="M676" s="20"/>
      <c r="N676" s="20"/>
      <c r="O676" s="20"/>
      <c r="P676" s="20"/>
      <c r="Q676" s="20"/>
      <c r="R676" s="20"/>
      <c r="S676" s="20"/>
      <c r="T676" s="20"/>
      <c r="U676" s="20"/>
      <c r="V676" s="20"/>
      <c r="W676" s="20"/>
      <c r="X676" s="20"/>
    </row>
    <row r="677" ht="13.5" customHeight="1" spans="1:24">
      <c r="A677" s="20"/>
      <c r="B677" s="20"/>
      <c r="C677" s="20"/>
      <c r="D677" s="20"/>
      <c r="E677" s="20"/>
      <c r="F677" s="20"/>
      <c r="G677" s="20"/>
      <c r="H677" s="20"/>
      <c r="I677" s="20"/>
      <c r="J677" s="20"/>
      <c r="K677" s="20"/>
      <c r="L677" s="20"/>
      <c r="M677" s="20"/>
      <c r="N677" s="20"/>
      <c r="O677" s="20"/>
      <c r="P677" s="20"/>
      <c r="Q677" s="20"/>
      <c r="R677" s="20"/>
      <c r="S677" s="20"/>
      <c r="T677" s="20"/>
      <c r="U677" s="20"/>
      <c r="V677" s="20"/>
      <c r="W677" s="20"/>
      <c r="X677" s="20"/>
    </row>
    <row r="678" ht="13.5" customHeight="1" spans="1:24">
      <c r="A678" s="20"/>
      <c r="B678" s="20"/>
      <c r="C678" s="20"/>
      <c r="D678" s="20"/>
      <c r="E678" s="20"/>
      <c r="F678" s="20"/>
      <c r="G678" s="20"/>
      <c r="H678" s="20"/>
      <c r="I678" s="20"/>
      <c r="J678" s="20"/>
      <c r="K678" s="20"/>
      <c r="L678" s="20"/>
      <c r="M678" s="20"/>
      <c r="N678" s="20"/>
      <c r="O678" s="20"/>
      <c r="P678" s="20"/>
      <c r="Q678" s="20"/>
      <c r="R678" s="20"/>
      <c r="S678" s="20"/>
      <c r="T678" s="20"/>
      <c r="U678" s="20"/>
      <c r="V678" s="20"/>
      <c r="W678" s="20"/>
      <c r="X678" s="20"/>
    </row>
    <row r="679" ht="13.5" customHeight="1" spans="1:24">
      <c r="A679" s="20"/>
      <c r="B679" s="20"/>
      <c r="C679" s="20"/>
      <c r="D679" s="20"/>
      <c r="E679" s="20"/>
      <c r="F679" s="20"/>
      <c r="G679" s="20"/>
      <c r="H679" s="20"/>
      <c r="I679" s="20"/>
      <c r="J679" s="20"/>
      <c r="K679" s="20"/>
      <c r="L679" s="20"/>
      <c r="M679" s="20"/>
      <c r="N679" s="20"/>
      <c r="O679" s="20"/>
      <c r="P679" s="20"/>
      <c r="Q679" s="20"/>
      <c r="R679" s="20"/>
      <c r="S679" s="20"/>
      <c r="T679" s="20"/>
      <c r="U679" s="20"/>
      <c r="V679" s="20"/>
      <c r="W679" s="20"/>
      <c r="X679" s="20"/>
    </row>
    <row r="680" ht="13.5" customHeight="1" spans="1:24">
      <c r="A680" s="20"/>
      <c r="B680" s="20"/>
      <c r="C680" s="20"/>
      <c r="D680" s="20"/>
      <c r="E680" s="20"/>
      <c r="F680" s="20"/>
      <c r="G680" s="20"/>
      <c r="H680" s="20"/>
      <c r="I680" s="20"/>
      <c r="J680" s="20"/>
      <c r="K680" s="20"/>
      <c r="L680" s="20"/>
      <c r="M680" s="20"/>
      <c r="N680" s="20"/>
      <c r="O680" s="20"/>
      <c r="P680" s="20"/>
      <c r="Q680" s="20"/>
      <c r="R680" s="20"/>
      <c r="S680" s="20"/>
      <c r="T680" s="20"/>
      <c r="U680" s="20"/>
      <c r="V680" s="20"/>
      <c r="W680" s="20"/>
      <c r="X680" s="20"/>
    </row>
    <row r="681" ht="13.5" customHeight="1" spans="1:24">
      <c r="A681" s="20"/>
      <c r="B681" s="20"/>
      <c r="C681" s="20"/>
      <c r="D681" s="20"/>
      <c r="E681" s="20"/>
      <c r="F681" s="20"/>
      <c r="G681" s="20"/>
      <c r="H681" s="20"/>
      <c r="I681" s="20"/>
      <c r="J681" s="20"/>
      <c r="K681" s="20"/>
      <c r="L681" s="20"/>
      <c r="M681" s="20"/>
      <c r="N681" s="20"/>
      <c r="O681" s="20"/>
      <c r="P681" s="20"/>
      <c r="Q681" s="20"/>
      <c r="R681" s="20"/>
      <c r="S681" s="20"/>
      <c r="T681" s="20"/>
      <c r="U681" s="20"/>
      <c r="V681" s="20"/>
      <c r="W681" s="20"/>
      <c r="X681" s="20"/>
    </row>
    <row r="682" ht="13.5" customHeight="1" spans="1:24">
      <c r="A682" s="20"/>
      <c r="B682" s="20"/>
      <c r="C682" s="20"/>
      <c r="D682" s="20"/>
      <c r="E682" s="20"/>
      <c r="F682" s="20"/>
      <c r="G682" s="20"/>
      <c r="H682" s="20"/>
      <c r="I682" s="20"/>
      <c r="J682" s="20"/>
      <c r="K682" s="20"/>
      <c r="L682" s="20"/>
      <c r="M682" s="20"/>
      <c r="N682" s="20"/>
      <c r="O682" s="20"/>
      <c r="P682" s="20"/>
      <c r="Q682" s="20"/>
      <c r="R682" s="20"/>
      <c r="S682" s="20"/>
      <c r="T682" s="20"/>
      <c r="U682" s="20"/>
      <c r="V682" s="20"/>
      <c r="W682" s="20"/>
      <c r="X682" s="20"/>
    </row>
    <row r="683" ht="13.5" customHeight="1" spans="1:24">
      <c r="A683" s="20"/>
      <c r="B683" s="20"/>
      <c r="C683" s="20"/>
      <c r="D683" s="20"/>
      <c r="E683" s="20"/>
      <c r="F683" s="20"/>
      <c r="G683" s="20"/>
      <c r="H683" s="20"/>
      <c r="I683" s="20"/>
      <c r="J683" s="20"/>
      <c r="K683" s="20"/>
      <c r="L683" s="20"/>
      <c r="M683" s="20"/>
      <c r="N683" s="20"/>
      <c r="O683" s="20"/>
      <c r="P683" s="20"/>
      <c r="Q683" s="20"/>
      <c r="R683" s="20"/>
      <c r="S683" s="20"/>
      <c r="T683" s="20"/>
      <c r="U683" s="20"/>
      <c r="V683" s="20"/>
      <c r="W683" s="20"/>
      <c r="X683" s="20"/>
    </row>
    <row r="684" ht="13.5" customHeight="1" spans="1:24">
      <c r="A684" s="20"/>
      <c r="B684" s="20"/>
      <c r="C684" s="20"/>
      <c r="D684" s="20"/>
      <c r="E684" s="20"/>
      <c r="F684" s="20"/>
      <c r="G684" s="20"/>
      <c r="H684" s="20"/>
      <c r="I684" s="20"/>
      <c r="J684" s="20"/>
      <c r="K684" s="20"/>
      <c r="L684" s="20"/>
      <c r="M684" s="20"/>
      <c r="N684" s="20"/>
      <c r="O684" s="20"/>
      <c r="P684" s="20"/>
      <c r="Q684" s="20"/>
      <c r="R684" s="20"/>
      <c r="S684" s="20"/>
      <c r="T684" s="20"/>
      <c r="U684" s="20"/>
      <c r="V684" s="20"/>
      <c r="W684" s="20"/>
      <c r="X684" s="20"/>
    </row>
    <row r="685" ht="13.5" customHeight="1" spans="1:24">
      <c r="A685" s="20"/>
      <c r="B685" s="20"/>
      <c r="C685" s="20"/>
      <c r="D685" s="20"/>
      <c r="E685" s="20"/>
      <c r="F685" s="20"/>
      <c r="G685" s="20"/>
      <c r="H685" s="20"/>
      <c r="I685" s="20"/>
      <c r="J685" s="20"/>
      <c r="K685" s="20"/>
      <c r="L685" s="20"/>
      <c r="M685" s="20"/>
      <c r="N685" s="20"/>
      <c r="O685" s="20"/>
      <c r="P685" s="20"/>
      <c r="Q685" s="20"/>
      <c r="R685" s="20"/>
      <c r="S685" s="20"/>
      <c r="T685" s="20"/>
      <c r="U685" s="20"/>
      <c r="V685" s="20"/>
      <c r="W685" s="20"/>
      <c r="X685" s="20"/>
    </row>
    <row r="686" ht="13.5" customHeight="1" spans="1:24">
      <c r="A686" s="20"/>
      <c r="B686" s="20"/>
      <c r="C686" s="20"/>
      <c r="D686" s="20"/>
      <c r="E686" s="20"/>
      <c r="F686" s="20"/>
      <c r="G686" s="20"/>
      <c r="H686" s="20"/>
      <c r="I686" s="20"/>
      <c r="J686" s="20"/>
      <c r="K686" s="20"/>
      <c r="L686" s="20"/>
      <c r="M686" s="20"/>
      <c r="N686" s="20"/>
      <c r="O686" s="20"/>
      <c r="P686" s="20"/>
      <c r="Q686" s="20"/>
      <c r="R686" s="20"/>
      <c r="S686" s="20"/>
      <c r="T686" s="20"/>
      <c r="U686" s="20"/>
      <c r="V686" s="20"/>
      <c r="W686" s="20"/>
      <c r="X686" s="20"/>
    </row>
    <row r="687" ht="13.5" customHeight="1" spans="1:24">
      <c r="A687" s="20"/>
      <c r="B687" s="20"/>
      <c r="C687" s="20"/>
      <c r="D687" s="20"/>
      <c r="E687" s="20"/>
      <c r="F687" s="20"/>
      <c r="G687" s="20"/>
      <c r="H687" s="20"/>
      <c r="I687" s="20"/>
      <c r="J687" s="20"/>
      <c r="K687" s="20"/>
      <c r="L687" s="20"/>
      <c r="M687" s="20"/>
      <c r="N687" s="20"/>
      <c r="O687" s="20"/>
      <c r="P687" s="20"/>
      <c r="Q687" s="20"/>
      <c r="R687" s="20"/>
      <c r="S687" s="20"/>
      <c r="T687" s="20"/>
      <c r="U687" s="20"/>
      <c r="V687" s="20"/>
      <c r="W687" s="20"/>
      <c r="X687" s="20"/>
    </row>
    <row r="688" ht="13.5" customHeight="1" spans="1:24">
      <c r="A688" s="20"/>
      <c r="B688" s="20"/>
      <c r="C688" s="20"/>
      <c r="D688" s="20"/>
      <c r="E688" s="20"/>
      <c r="F688" s="20"/>
      <c r="G688" s="20"/>
      <c r="H688" s="20"/>
      <c r="I688" s="20"/>
      <c r="J688" s="20"/>
      <c r="K688" s="20"/>
      <c r="L688" s="20"/>
      <c r="M688" s="20"/>
      <c r="N688" s="20"/>
      <c r="O688" s="20"/>
      <c r="P688" s="20"/>
      <c r="Q688" s="20"/>
      <c r="R688" s="20"/>
      <c r="S688" s="20"/>
      <c r="T688" s="20"/>
      <c r="U688" s="20"/>
      <c r="V688" s="20"/>
      <c r="W688" s="20"/>
      <c r="X688" s="20"/>
    </row>
    <row r="689" ht="13.5" customHeight="1" spans="1:24">
      <c r="A689" s="20"/>
      <c r="B689" s="20"/>
      <c r="C689" s="20"/>
      <c r="D689" s="20"/>
      <c r="E689" s="20"/>
      <c r="F689" s="20"/>
      <c r="G689" s="20"/>
      <c r="H689" s="20"/>
      <c r="I689" s="20"/>
      <c r="J689" s="20"/>
      <c r="K689" s="20"/>
      <c r="L689" s="20"/>
      <c r="M689" s="20"/>
      <c r="N689" s="20"/>
      <c r="O689" s="20"/>
      <c r="P689" s="20"/>
      <c r="Q689" s="20"/>
      <c r="R689" s="20"/>
      <c r="S689" s="20"/>
      <c r="T689" s="20"/>
      <c r="U689" s="20"/>
      <c r="V689" s="20"/>
      <c r="W689" s="20"/>
      <c r="X689" s="20"/>
    </row>
    <row r="690" ht="13.5" customHeight="1" spans="1:24">
      <c r="A690" s="20"/>
      <c r="B690" s="20"/>
      <c r="C690" s="20"/>
      <c r="D690" s="20"/>
      <c r="E690" s="20"/>
      <c r="F690" s="20"/>
      <c r="G690" s="20"/>
      <c r="H690" s="20"/>
      <c r="I690" s="20"/>
      <c r="J690" s="20"/>
      <c r="K690" s="20"/>
      <c r="L690" s="20"/>
      <c r="M690" s="20"/>
      <c r="N690" s="20"/>
      <c r="O690" s="20"/>
      <c r="P690" s="20"/>
      <c r="Q690" s="20"/>
      <c r="R690" s="20"/>
      <c r="S690" s="20"/>
      <c r="T690" s="20"/>
      <c r="U690" s="20"/>
      <c r="V690" s="20"/>
      <c r="W690" s="20"/>
      <c r="X690" s="20"/>
    </row>
    <row r="691" ht="13.5" customHeight="1" spans="1:24">
      <c r="A691" s="20"/>
      <c r="B691" s="20"/>
      <c r="C691" s="20"/>
      <c r="D691" s="20"/>
      <c r="E691" s="20"/>
      <c r="F691" s="20"/>
      <c r="G691" s="20"/>
      <c r="H691" s="20"/>
      <c r="I691" s="20"/>
      <c r="J691" s="20"/>
      <c r="K691" s="20"/>
      <c r="L691" s="20"/>
      <c r="M691" s="20"/>
      <c r="N691" s="20"/>
      <c r="O691" s="20"/>
      <c r="P691" s="20"/>
      <c r="Q691" s="20"/>
      <c r="R691" s="20"/>
      <c r="S691" s="20"/>
      <c r="T691" s="20"/>
      <c r="U691" s="20"/>
      <c r="V691" s="20"/>
      <c r="W691" s="20"/>
      <c r="X691" s="20"/>
    </row>
    <row r="692" ht="13.5" customHeight="1" spans="1:24">
      <c r="A692" s="20"/>
      <c r="B692" s="20"/>
      <c r="C692" s="20"/>
      <c r="D692" s="20"/>
      <c r="E692" s="20"/>
      <c r="F692" s="20"/>
      <c r="G692" s="20"/>
      <c r="H692" s="20"/>
      <c r="I692" s="20"/>
      <c r="J692" s="20"/>
      <c r="K692" s="20"/>
      <c r="L692" s="20"/>
      <c r="M692" s="20"/>
      <c r="N692" s="20"/>
      <c r="O692" s="20"/>
      <c r="P692" s="20"/>
      <c r="Q692" s="20"/>
      <c r="R692" s="20"/>
      <c r="S692" s="20"/>
      <c r="T692" s="20"/>
      <c r="U692" s="20"/>
      <c r="V692" s="20"/>
      <c r="W692" s="20"/>
      <c r="X692" s="20"/>
    </row>
    <row r="693" ht="13.5" customHeight="1" spans="1:24">
      <c r="A693" s="20"/>
      <c r="B693" s="20"/>
      <c r="C693" s="20"/>
      <c r="D693" s="20"/>
      <c r="E693" s="20"/>
      <c r="F693" s="20"/>
      <c r="G693" s="20"/>
      <c r="H693" s="20"/>
      <c r="I693" s="20"/>
      <c r="J693" s="20"/>
      <c r="K693" s="20"/>
      <c r="L693" s="20"/>
      <c r="M693" s="20"/>
      <c r="N693" s="20"/>
      <c r="O693" s="20"/>
      <c r="P693" s="20"/>
      <c r="Q693" s="20"/>
      <c r="R693" s="20"/>
      <c r="S693" s="20"/>
      <c r="T693" s="20"/>
      <c r="U693" s="20"/>
      <c r="V693" s="20"/>
      <c r="W693" s="20"/>
      <c r="X693" s="20"/>
    </row>
    <row r="694" ht="13.5" customHeight="1" spans="1:24">
      <c r="A694" s="20"/>
      <c r="B694" s="20"/>
      <c r="C694" s="20"/>
      <c r="D694" s="20"/>
      <c r="E694" s="20"/>
      <c r="F694" s="20"/>
      <c r="G694" s="20"/>
      <c r="H694" s="20"/>
      <c r="I694" s="20"/>
      <c r="J694" s="20"/>
      <c r="K694" s="20"/>
      <c r="L694" s="20"/>
      <c r="M694" s="20"/>
      <c r="N694" s="20"/>
      <c r="O694" s="20"/>
      <c r="P694" s="20"/>
      <c r="Q694" s="20"/>
      <c r="R694" s="20"/>
      <c r="S694" s="20"/>
      <c r="T694" s="20"/>
      <c r="U694" s="20"/>
      <c r="V694" s="20"/>
      <c r="W694" s="20"/>
      <c r="X694" s="20"/>
    </row>
    <row r="695" ht="13.5" customHeight="1" spans="1:24">
      <c r="A695" s="20"/>
      <c r="B695" s="20"/>
      <c r="C695" s="20"/>
      <c r="D695" s="20"/>
      <c r="E695" s="20"/>
      <c r="F695" s="20"/>
      <c r="G695" s="20"/>
      <c r="H695" s="20"/>
      <c r="I695" s="20"/>
      <c r="J695" s="20"/>
      <c r="K695" s="20"/>
      <c r="L695" s="20"/>
      <c r="M695" s="20"/>
      <c r="N695" s="20"/>
      <c r="O695" s="20"/>
      <c r="P695" s="20"/>
      <c r="Q695" s="20"/>
      <c r="R695" s="20"/>
      <c r="S695" s="20"/>
      <c r="T695" s="20"/>
      <c r="U695" s="20"/>
      <c r="V695" s="20"/>
      <c r="W695" s="20"/>
      <c r="X695" s="20"/>
    </row>
    <row r="696" ht="13.5" customHeight="1" spans="1:24">
      <c r="A696" s="20"/>
      <c r="B696" s="20"/>
      <c r="C696" s="20"/>
      <c r="D696" s="20"/>
      <c r="E696" s="20"/>
      <c r="F696" s="20"/>
      <c r="G696" s="20"/>
      <c r="H696" s="20"/>
      <c r="I696" s="20"/>
      <c r="J696" s="20"/>
      <c r="K696" s="20"/>
      <c r="L696" s="20"/>
      <c r="M696" s="20"/>
      <c r="N696" s="20"/>
      <c r="O696" s="20"/>
      <c r="P696" s="20"/>
      <c r="Q696" s="20"/>
      <c r="R696" s="20"/>
      <c r="S696" s="20"/>
      <c r="T696" s="20"/>
      <c r="U696" s="20"/>
      <c r="V696" s="20"/>
      <c r="W696" s="20"/>
      <c r="X696" s="20"/>
    </row>
    <row r="697" ht="13.5" customHeight="1" spans="1:24">
      <c r="A697" s="20"/>
      <c r="B697" s="20"/>
      <c r="C697" s="20"/>
      <c r="D697" s="20"/>
      <c r="E697" s="20"/>
      <c r="F697" s="20"/>
      <c r="G697" s="20"/>
      <c r="H697" s="20"/>
      <c r="I697" s="20"/>
      <c r="J697" s="20"/>
      <c r="K697" s="20"/>
      <c r="L697" s="20"/>
      <c r="M697" s="20"/>
      <c r="N697" s="20"/>
      <c r="O697" s="20"/>
      <c r="P697" s="20"/>
      <c r="Q697" s="20"/>
      <c r="R697" s="20"/>
      <c r="S697" s="20"/>
      <c r="T697" s="20"/>
      <c r="U697" s="20"/>
      <c r="V697" s="20"/>
      <c r="W697" s="20"/>
      <c r="X697" s="20"/>
    </row>
    <row r="698" ht="13.5" customHeight="1" spans="1:24">
      <c r="A698" s="20"/>
      <c r="B698" s="20"/>
      <c r="C698" s="20"/>
      <c r="D698" s="20"/>
      <c r="E698" s="20"/>
      <c r="F698" s="20"/>
      <c r="G698" s="20"/>
      <c r="H698" s="20"/>
      <c r="I698" s="20"/>
      <c r="J698" s="20"/>
      <c r="K698" s="20"/>
      <c r="L698" s="20"/>
      <c r="M698" s="20"/>
      <c r="N698" s="20"/>
      <c r="O698" s="20"/>
      <c r="P698" s="20"/>
      <c r="Q698" s="20"/>
      <c r="R698" s="20"/>
      <c r="S698" s="20"/>
      <c r="T698" s="20"/>
      <c r="U698" s="20"/>
      <c r="V698" s="20"/>
      <c r="W698" s="20"/>
      <c r="X698" s="20"/>
    </row>
    <row r="699" ht="13.5" customHeight="1" spans="1:24">
      <c r="A699" s="20"/>
      <c r="B699" s="20"/>
      <c r="C699" s="20"/>
      <c r="D699" s="20"/>
      <c r="E699" s="20"/>
      <c r="F699" s="20"/>
      <c r="G699" s="20"/>
      <c r="H699" s="20"/>
      <c r="I699" s="20"/>
      <c r="J699" s="20"/>
      <c r="K699" s="20"/>
      <c r="L699" s="20"/>
      <c r="M699" s="20"/>
      <c r="N699" s="20"/>
      <c r="O699" s="20"/>
      <c r="P699" s="20"/>
      <c r="Q699" s="20"/>
      <c r="R699" s="20"/>
      <c r="S699" s="20"/>
      <c r="T699" s="20"/>
      <c r="U699" s="20"/>
      <c r="V699" s="20"/>
      <c r="W699" s="20"/>
      <c r="X699" s="20"/>
    </row>
    <row r="700" ht="13.5" customHeight="1" spans="1:24">
      <c r="A700" s="20"/>
      <c r="B700" s="20"/>
      <c r="C700" s="20"/>
      <c r="D700" s="20"/>
      <c r="E700" s="20"/>
      <c r="F700" s="20"/>
      <c r="G700" s="20"/>
      <c r="H700" s="20"/>
      <c r="I700" s="20"/>
      <c r="J700" s="20"/>
      <c r="K700" s="20"/>
      <c r="L700" s="20"/>
      <c r="M700" s="20"/>
      <c r="N700" s="20"/>
      <c r="O700" s="20"/>
      <c r="P700" s="20"/>
      <c r="Q700" s="20"/>
      <c r="R700" s="20"/>
      <c r="S700" s="20"/>
      <c r="T700" s="20"/>
      <c r="U700" s="20"/>
      <c r="V700" s="20"/>
      <c r="W700" s="20"/>
      <c r="X700" s="20"/>
    </row>
    <row r="701" ht="13.5" customHeight="1" spans="1:24">
      <c r="A701" s="20"/>
      <c r="B701" s="20"/>
      <c r="C701" s="20"/>
      <c r="D701" s="20"/>
      <c r="E701" s="20"/>
      <c r="F701" s="20"/>
      <c r="G701" s="20"/>
      <c r="H701" s="20"/>
      <c r="I701" s="20"/>
      <c r="J701" s="20"/>
      <c r="K701" s="20"/>
      <c r="L701" s="20"/>
      <c r="M701" s="20"/>
      <c r="N701" s="20"/>
      <c r="O701" s="20"/>
      <c r="P701" s="20"/>
      <c r="Q701" s="20"/>
      <c r="R701" s="20"/>
      <c r="S701" s="20"/>
      <c r="T701" s="20"/>
      <c r="U701" s="20"/>
      <c r="V701" s="20"/>
      <c r="W701" s="20"/>
      <c r="X701" s="20"/>
    </row>
    <row r="702" ht="13.5" customHeight="1" spans="1:24">
      <c r="A702" s="20"/>
      <c r="B702" s="20"/>
      <c r="C702" s="20"/>
      <c r="D702" s="20"/>
      <c r="E702" s="20"/>
      <c r="F702" s="20"/>
      <c r="G702" s="20"/>
      <c r="H702" s="20"/>
      <c r="I702" s="20"/>
      <c r="J702" s="20"/>
      <c r="K702" s="20"/>
      <c r="L702" s="20"/>
      <c r="M702" s="20"/>
      <c r="N702" s="20"/>
      <c r="O702" s="20"/>
      <c r="P702" s="20"/>
      <c r="Q702" s="20"/>
      <c r="R702" s="20"/>
      <c r="S702" s="20"/>
      <c r="T702" s="20"/>
      <c r="U702" s="20"/>
      <c r="V702" s="20"/>
      <c r="W702" s="20"/>
      <c r="X702" s="20"/>
    </row>
    <row r="703" ht="13.5" customHeight="1" spans="1:24">
      <c r="A703" s="20"/>
      <c r="B703" s="20"/>
      <c r="C703" s="20"/>
      <c r="D703" s="20"/>
      <c r="E703" s="20"/>
      <c r="F703" s="20"/>
      <c r="G703" s="20"/>
      <c r="H703" s="20"/>
      <c r="I703" s="20"/>
      <c r="J703" s="20"/>
      <c r="K703" s="20"/>
      <c r="L703" s="20"/>
      <c r="M703" s="20"/>
      <c r="N703" s="20"/>
      <c r="O703" s="20"/>
      <c r="P703" s="20"/>
      <c r="Q703" s="20"/>
      <c r="R703" s="20"/>
      <c r="S703" s="20"/>
      <c r="T703" s="20"/>
      <c r="U703" s="20"/>
      <c r="V703" s="20"/>
      <c r="W703" s="20"/>
      <c r="X703" s="20"/>
    </row>
    <row r="704" ht="13.5" customHeight="1" spans="1:24">
      <c r="A704" s="20"/>
      <c r="B704" s="20"/>
      <c r="C704" s="20"/>
      <c r="D704" s="20"/>
      <c r="E704" s="20"/>
      <c r="F704" s="20"/>
      <c r="G704" s="20"/>
      <c r="H704" s="20"/>
      <c r="I704" s="20"/>
      <c r="J704" s="20"/>
      <c r="K704" s="20"/>
      <c r="L704" s="20"/>
      <c r="M704" s="20"/>
      <c r="N704" s="20"/>
      <c r="O704" s="20"/>
      <c r="P704" s="20"/>
      <c r="Q704" s="20"/>
      <c r="R704" s="20"/>
      <c r="S704" s="20"/>
      <c r="T704" s="20"/>
      <c r="U704" s="20"/>
      <c r="V704" s="20"/>
      <c r="W704" s="20"/>
      <c r="X704" s="20"/>
    </row>
    <row r="705" ht="13.5" customHeight="1" spans="1:24">
      <c r="A705" s="20"/>
      <c r="B705" s="20"/>
      <c r="C705" s="20"/>
      <c r="D705" s="20"/>
      <c r="E705" s="20"/>
      <c r="F705" s="20"/>
      <c r="G705" s="20"/>
      <c r="H705" s="20"/>
      <c r="I705" s="20"/>
      <c r="J705" s="20"/>
      <c r="K705" s="20"/>
      <c r="L705" s="20"/>
      <c r="M705" s="20"/>
      <c r="N705" s="20"/>
      <c r="O705" s="20"/>
      <c r="P705" s="20"/>
      <c r="Q705" s="20"/>
      <c r="R705" s="20"/>
      <c r="S705" s="20"/>
      <c r="T705" s="20"/>
      <c r="U705" s="20"/>
      <c r="V705" s="20"/>
      <c r="W705" s="20"/>
      <c r="X705" s="20"/>
    </row>
    <row r="706" ht="13.5" customHeight="1" spans="1:24">
      <c r="A706" s="20"/>
      <c r="B706" s="20"/>
      <c r="C706" s="20"/>
      <c r="D706" s="20"/>
      <c r="E706" s="20"/>
      <c r="F706" s="20"/>
      <c r="G706" s="20"/>
      <c r="H706" s="20"/>
      <c r="I706" s="20"/>
      <c r="J706" s="20"/>
      <c r="K706" s="20"/>
      <c r="L706" s="20"/>
      <c r="M706" s="20"/>
      <c r="N706" s="20"/>
      <c r="O706" s="20"/>
      <c r="P706" s="20"/>
      <c r="Q706" s="20"/>
      <c r="R706" s="20"/>
      <c r="S706" s="20"/>
      <c r="T706" s="20"/>
      <c r="U706" s="20"/>
      <c r="V706" s="20"/>
      <c r="W706" s="20"/>
      <c r="X706" s="20"/>
    </row>
    <row r="707" ht="13.5" customHeight="1" spans="1:24">
      <c r="A707" s="20"/>
      <c r="B707" s="20"/>
      <c r="C707" s="20"/>
      <c r="D707" s="20"/>
      <c r="E707" s="20"/>
      <c r="F707" s="20"/>
      <c r="G707" s="20"/>
      <c r="H707" s="20"/>
      <c r="I707" s="20"/>
      <c r="J707" s="20"/>
      <c r="K707" s="20"/>
      <c r="L707" s="20"/>
      <c r="M707" s="20"/>
      <c r="N707" s="20"/>
      <c r="O707" s="20"/>
      <c r="P707" s="20"/>
      <c r="Q707" s="20"/>
      <c r="R707" s="20"/>
      <c r="S707" s="20"/>
      <c r="T707" s="20"/>
      <c r="U707" s="20"/>
      <c r="V707" s="20"/>
      <c r="W707" s="20"/>
      <c r="X707" s="20"/>
    </row>
    <row r="708" ht="13.5" customHeight="1" spans="1:24">
      <c r="A708" s="20"/>
      <c r="B708" s="20"/>
      <c r="C708" s="20"/>
      <c r="D708" s="20"/>
      <c r="E708" s="20"/>
      <c r="F708" s="20"/>
      <c r="G708" s="20"/>
      <c r="H708" s="20"/>
      <c r="I708" s="20"/>
      <c r="J708" s="20"/>
      <c r="K708" s="20"/>
      <c r="L708" s="20"/>
      <c r="M708" s="20"/>
      <c r="N708" s="20"/>
      <c r="O708" s="20"/>
      <c r="P708" s="20"/>
      <c r="Q708" s="20"/>
      <c r="R708" s="20"/>
      <c r="S708" s="20"/>
      <c r="T708" s="20"/>
      <c r="U708" s="20"/>
      <c r="V708" s="20"/>
      <c r="W708" s="20"/>
      <c r="X708" s="20"/>
    </row>
    <row r="709" ht="13.5" customHeight="1" spans="1:24">
      <c r="A709" s="20"/>
      <c r="B709" s="20"/>
      <c r="C709" s="20"/>
      <c r="D709" s="20"/>
      <c r="E709" s="20"/>
      <c r="F709" s="20"/>
      <c r="G709" s="20"/>
      <c r="H709" s="20"/>
      <c r="I709" s="20"/>
      <c r="J709" s="20"/>
      <c r="K709" s="20"/>
      <c r="L709" s="20"/>
      <c r="M709" s="20"/>
      <c r="N709" s="20"/>
      <c r="O709" s="20"/>
      <c r="P709" s="20"/>
      <c r="Q709" s="20"/>
      <c r="R709" s="20"/>
      <c r="S709" s="20"/>
      <c r="T709" s="20"/>
      <c r="U709" s="20"/>
      <c r="V709" s="20"/>
      <c r="W709" s="20"/>
      <c r="X709" s="20"/>
    </row>
    <row r="710" ht="13.5" customHeight="1" spans="1:24">
      <c r="A710" s="20"/>
      <c r="B710" s="20"/>
      <c r="C710" s="20"/>
      <c r="D710" s="20"/>
      <c r="E710" s="20"/>
      <c r="F710" s="20"/>
      <c r="G710" s="20"/>
      <c r="H710" s="20"/>
      <c r="I710" s="20"/>
      <c r="J710" s="20"/>
      <c r="K710" s="20"/>
      <c r="L710" s="20"/>
      <c r="M710" s="20"/>
      <c r="N710" s="20"/>
      <c r="O710" s="20"/>
      <c r="P710" s="20"/>
      <c r="Q710" s="20"/>
      <c r="R710" s="20"/>
      <c r="S710" s="20"/>
      <c r="T710" s="20"/>
      <c r="U710" s="20"/>
      <c r="V710" s="20"/>
      <c r="W710" s="20"/>
      <c r="X710" s="20"/>
    </row>
    <row r="711" ht="13.5" customHeight="1" spans="1:24">
      <c r="A711" s="20"/>
      <c r="B711" s="20"/>
      <c r="C711" s="20"/>
      <c r="D711" s="20"/>
      <c r="E711" s="20"/>
      <c r="F711" s="20"/>
      <c r="G711" s="20"/>
      <c r="H711" s="20"/>
      <c r="I711" s="20"/>
      <c r="J711" s="20"/>
      <c r="K711" s="20"/>
      <c r="L711" s="20"/>
      <c r="M711" s="20"/>
      <c r="N711" s="20"/>
      <c r="O711" s="20"/>
      <c r="P711" s="20"/>
      <c r="Q711" s="20"/>
      <c r="R711" s="20"/>
      <c r="S711" s="20"/>
      <c r="T711" s="20"/>
      <c r="U711" s="20"/>
      <c r="V711" s="20"/>
      <c r="W711" s="20"/>
      <c r="X711" s="20"/>
    </row>
    <row r="712" ht="13.5" customHeight="1" spans="1:24">
      <c r="A712" s="20"/>
      <c r="B712" s="20"/>
      <c r="C712" s="20"/>
      <c r="D712" s="20"/>
      <c r="E712" s="20"/>
      <c r="F712" s="20"/>
      <c r="G712" s="20"/>
      <c r="H712" s="20"/>
      <c r="I712" s="20"/>
      <c r="J712" s="20"/>
      <c r="K712" s="20"/>
      <c r="L712" s="20"/>
      <c r="M712" s="20"/>
      <c r="N712" s="20"/>
      <c r="O712" s="20"/>
      <c r="P712" s="20"/>
      <c r="Q712" s="20"/>
      <c r="R712" s="20"/>
      <c r="S712" s="20"/>
      <c r="T712" s="20"/>
      <c r="U712" s="20"/>
      <c r="V712" s="20"/>
      <c r="W712" s="20"/>
      <c r="X712" s="20"/>
    </row>
    <row r="713" ht="13.5" customHeight="1" spans="1:24">
      <c r="A713" s="20"/>
      <c r="B713" s="20"/>
      <c r="C713" s="20"/>
      <c r="D713" s="20"/>
      <c r="E713" s="20"/>
      <c r="F713" s="20"/>
      <c r="G713" s="20"/>
      <c r="H713" s="20"/>
      <c r="I713" s="20"/>
      <c r="J713" s="20"/>
      <c r="K713" s="20"/>
      <c r="L713" s="20"/>
      <c r="M713" s="20"/>
      <c r="N713" s="20"/>
      <c r="O713" s="20"/>
      <c r="P713" s="20"/>
      <c r="Q713" s="20"/>
      <c r="R713" s="20"/>
      <c r="S713" s="20"/>
      <c r="T713" s="20"/>
      <c r="U713" s="20"/>
      <c r="V713" s="20"/>
      <c r="W713" s="20"/>
      <c r="X713" s="20"/>
    </row>
    <row r="714" ht="13.5" customHeight="1" spans="1:24">
      <c r="A714" s="20"/>
      <c r="B714" s="20"/>
      <c r="C714" s="20"/>
      <c r="D714" s="20"/>
      <c r="E714" s="20"/>
      <c r="F714" s="20"/>
      <c r="G714" s="20"/>
      <c r="H714" s="20"/>
      <c r="I714" s="20"/>
      <c r="J714" s="20"/>
      <c r="K714" s="20"/>
      <c r="L714" s="20"/>
      <c r="M714" s="20"/>
      <c r="N714" s="20"/>
      <c r="O714" s="20"/>
      <c r="P714" s="20"/>
      <c r="Q714" s="20"/>
      <c r="R714" s="20"/>
      <c r="S714" s="20"/>
      <c r="T714" s="20"/>
      <c r="U714" s="20"/>
      <c r="V714" s="20"/>
      <c r="W714" s="20"/>
      <c r="X714" s="20"/>
    </row>
    <row r="715" ht="13.5" customHeight="1" spans="1:24">
      <c r="A715" s="20"/>
      <c r="B715" s="20"/>
      <c r="C715" s="20"/>
      <c r="D715" s="20"/>
      <c r="E715" s="20"/>
      <c r="F715" s="20"/>
      <c r="G715" s="20"/>
      <c r="H715" s="20"/>
      <c r="I715" s="20"/>
      <c r="J715" s="20"/>
      <c r="K715" s="20"/>
      <c r="L715" s="20"/>
      <c r="M715" s="20"/>
      <c r="N715" s="20"/>
      <c r="O715" s="20"/>
      <c r="P715" s="20"/>
      <c r="Q715" s="20"/>
      <c r="R715" s="20"/>
      <c r="S715" s="20"/>
      <c r="T715" s="20"/>
      <c r="U715" s="20"/>
      <c r="V715" s="20"/>
      <c r="W715" s="20"/>
      <c r="X715" s="20"/>
    </row>
    <row r="716" ht="13.5" customHeight="1" spans="1:24">
      <c r="A716" s="20"/>
      <c r="B716" s="20"/>
      <c r="C716" s="20"/>
      <c r="D716" s="20"/>
      <c r="E716" s="20"/>
      <c r="F716" s="20"/>
      <c r="G716" s="20"/>
      <c r="H716" s="20"/>
      <c r="I716" s="20"/>
      <c r="J716" s="20"/>
      <c r="K716" s="20"/>
      <c r="L716" s="20"/>
      <c r="M716" s="20"/>
      <c r="N716" s="20"/>
      <c r="O716" s="20"/>
      <c r="P716" s="20"/>
      <c r="Q716" s="20"/>
      <c r="R716" s="20"/>
      <c r="S716" s="20"/>
      <c r="T716" s="20"/>
      <c r="U716" s="20"/>
      <c r="V716" s="20"/>
      <c r="W716" s="20"/>
      <c r="X716" s="20"/>
    </row>
    <row r="717" ht="13.5" customHeight="1" spans="1:24">
      <c r="A717" s="20"/>
      <c r="B717" s="20"/>
      <c r="C717" s="20"/>
      <c r="D717" s="20"/>
      <c r="E717" s="20"/>
      <c r="F717" s="20"/>
      <c r="G717" s="20"/>
      <c r="H717" s="20"/>
      <c r="I717" s="20"/>
      <c r="J717" s="20"/>
      <c r="K717" s="20"/>
      <c r="L717" s="20"/>
      <c r="M717" s="20"/>
      <c r="N717" s="20"/>
      <c r="O717" s="20"/>
      <c r="P717" s="20"/>
      <c r="Q717" s="20"/>
      <c r="R717" s="20"/>
      <c r="S717" s="20"/>
      <c r="T717" s="20"/>
      <c r="U717" s="20"/>
      <c r="V717" s="20"/>
      <c r="W717" s="20"/>
      <c r="X717" s="20"/>
    </row>
    <row r="718" ht="13.5" customHeight="1" spans="1:24">
      <c r="A718" s="20"/>
      <c r="B718" s="20"/>
      <c r="C718" s="20"/>
      <c r="D718" s="20"/>
      <c r="E718" s="20"/>
      <c r="F718" s="20"/>
      <c r="G718" s="20"/>
      <c r="H718" s="20"/>
      <c r="I718" s="20"/>
      <c r="J718" s="20"/>
      <c r="K718" s="20"/>
      <c r="L718" s="20"/>
      <c r="M718" s="20"/>
      <c r="N718" s="20"/>
      <c r="O718" s="20"/>
      <c r="P718" s="20"/>
      <c r="Q718" s="20"/>
      <c r="R718" s="20"/>
      <c r="S718" s="20"/>
      <c r="T718" s="20"/>
      <c r="U718" s="20"/>
      <c r="V718" s="20"/>
      <c r="W718" s="20"/>
      <c r="X718" s="20"/>
    </row>
    <row r="719" ht="13.5" customHeight="1" spans="1:24">
      <c r="A719" s="20"/>
      <c r="B719" s="20"/>
      <c r="C719" s="20"/>
      <c r="D719" s="20"/>
      <c r="E719" s="20"/>
      <c r="F719" s="20"/>
      <c r="G719" s="20"/>
      <c r="H719" s="20"/>
      <c r="I719" s="20"/>
      <c r="J719" s="20"/>
      <c r="K719" s="20"/>
      <c r="L719" s="20"/>
      <c r="M719" s="20"/>
      <c r="N719" s="20"/>
      <c r="O719" s="20"/>
      <c r="P719" s="20"/>
      <c r="Q719" s="20"/>
      <c r="R719" s="20"/>
      <c r="S719" s="20"/>
      <c r="T719" s="20"/>
      <c r="U719" s="20"/>
      <c r="V719" s="20"/>
      <c r="W719" s="20"/>
      <c r="X719" s="20"/>
    </row>
    <row r="720" ht="13.5" customHeight="1" spans="1:24">
      <c r="A720" s="20"/>
      <c r="B720" s="20"/>
      <c r="C720" s="20"/>
      <c r="D720" s="20"/>
      <c r="E720" s="20"/>
      <c r="F720" s="20"/>
      <c r="G720" s="20"/>
      <c r="H720" s="20"/>
      <c r="I720" s="20"/>
      <c r="J720" s="20"/>
      <c r="K720" s="20"/>
      <c r="L720" s="20"/>
      <c r="M720" s="20"/>
      <c r="N720" s="20"/>
      <c r="O720" s="20"/>
      <c r="P720" s="20"/>
      <c r="Q720" s="20"/>
      <c r="R720" s="20"/>
      <c r="S720" s="20"/>
      <c r="T720" s="20"/>
      <c r="U720" s="20"/>
      <c r="V720" s="20"/>
      <c r="W720" s="20"/>
      <c r="X720" s="20"/>
    </row>
    <row r="721" ht="13.5" customHeight="1" spans="1:24">
      <c r="A721" s="20"/>
      <c r="B721" s="20"/>
      <c r="C721" s="20"/>
      <c r="D721" s="20"/>
      <c r="E721" s="20"/>
      <c r="F721" s="20"/>
      <c r="G721" s="20"/>
      <c r="H721" s="20"/>
      <c r="I721" s="20"/>
      <c r="J721" s="20"/>
      <c r="K721" s="20"/>
      <c r="L721" s="20"/>
      <c r="M721" s="20"/>
      <c r="N721" s="20"/>
      <c r="O721" s="20"/>
      <c r="P721" s="20"/>
      <c r="Q721" s="20"/>
      <c r="R721" s="20"/>
      <c r="S721" s="20"/>
      <c r="T721" s="20"/>
      <c r="U721" s="20"/>
      <c r="V721" s="20"/>
      <c r="W721" s="20"/>
      <c r="X721" s="20"/>
    </row>
    <row r="722" ht="13.5" customHeight="1" spans="1:24">
      <c r="A722" s="20"/>
      <c r="B722" s="20"/>
      <c r="C722" s="20"/>
      <c r="D722" s="20"/>
      <c r="E722" s="20"/>
      <c r="F722" s="20"/>
      <c r="G722" s="20"/>
      <c r="H722" s="20"/>
      <c r="I722" s="20"/>
      <c r="J722" s="20"/>
      <c r="K722" s="20"/>
      <c r="L722" s="20"/>
      <c r="M722" s="20"/>
      <c r="N722" s="20"/>
      <c r="O722" s="20"/>
      <c r="P722" s="20"/>
      <c r="Q722" s="20"/>
      <c r="R722" s="20"/>
      <c r="S722" s="20"/>
      <c r="T722" s="20"/>
      <c r="U722" s="20"/>
      <c r="V722" s="20"/>
      <c r="W722" s="20"/>
      <c r="X722" s="20"/>
    </row>
    <row r="723" ht="13.5" customHeight="1" spans="1:24">
      <c r="A723" s="20"/>
      <c r="B723" s="20"/>
      <c r="C723" s="20"/>
      <c r="D723" s="20"/>
      <c r="E723" s="20"/>
      <c r="F723" s="20"/>
      <c r="G723" s="20"/>
      <c r="H723" s="20"/>
      <c r="I723" s="20"/>
      <c r="J723" s="20"/>
      <c r="K723" s="20"/>
      <c r="L723" s="20"/>
      <c r="M723" s="20"/>
      <c r="N723" s="20"/>
      <c r="O723" s="20"/>
      <c r="P723" s="20"/>
      <c r="Q723" s="20"/>
      <c r="R723" s="20"/>
      <c r="S723" s="20"/>
      <c r="T723" s="20"/>
      <c r="U723" s="20"/>
      <c r="V723" s="20"/>
      <c r="W723" s="20"/>
      <c r="X723" s="20"/>
    </row>
    <row r="724" ht="13.5" customHeight="1" spans="1:24">
      <c r="A724" s="20"/>
      <c r="B724" s="20"/>
      <c r="C724" s="20"/>
      <c r="D724" s="20"/>
      <c r="E724" s="20"/>
      <c r="F724" s="20"/>
      <c r="G724" s="20"/>
      <c r="H724" s="20"/>
      <c r="I724" s="20"/>
      <c r="J724" s="20"/>
      <c r="K724" s="20"/>
      <c r="L724" s="20"/>
      <c r="M724" s="20"/>
      <c r="N724" s="20"/>
      <c r="O724" s="20"/>
      <c r="P724" s="20"/>
      <c r="Q724" s="20"/>
      <c r="R724" s="20"/>
      <c r="S724" s="20"/>
      <c r="T724" s="20"/>
      <c r="U724" s="20"/>
      <c r="V724" s="20"/>
      <c r="W724" s="20"/>
      <c r="X724" s="20"/>
    </row>
    <row r="725" ht="13.5" customHeight="1" spans="1:24">
      <c r="A725" s="20"/>
      <c r="B725" s="20"/>
      <c r="C725" s="20"/>
      <c r="D725" s="20"/>
      <c r="E725" s="20"/>
      <c r="F725" s="20"/>
      <c r="G725" s="20"/>
      <c r="H725" s="20"/>
      <c r="I725" s="20"/>
      <c r="J725" s="20"/>
      <c r="K725" s="20"/>
      <c r="L725" s="20"/>
      <c r="M725" s="20"/>
      <c r="N725" s="20"/>
      <c r="O725" s="20"/>
      <c r="P725" s="20"/>
      <c r="Q725" s="20"/>
      <c r="R725" s="20"/>
      <c r="S725" s="20"/>
      <c r="T725" s="20"/>
      <c r="U725" s="20"/>
      <c r="V725" s="20"/>
      <c r="W725" s="20"/>
      <c r="X725" s="20"/>
    </row>
    <row r="726" ht="13.5" customHeight="1" spans="1:24">
      <c r="A726" s="20"/>
      <c r="B726" s="20"/>
      <c r="C726" s="20"/>
      <c r="D726" s="20"/>
      <c r="E726" s="20"/>
      <c r="F726" s="20"/>
      <c r="G726" s="20"/>
      <c r="H726" s="20"/>
      <c r="I726" s="20"/>
      <c r="J726" s="20"/>
      <c r="K726" s="20"/>
      <c r="L726" s="20"/>
      <c r="M726" s="20"/>
      <c r="N726" s="20"/>
      <c r="O726" s="20"/>
      <c r="P726" s="20"/>
      <c r="Q726" s="20"/>
      <c r="R726" s="20"/>
      <c r="S726" s="20"/>
      <c r="T726" s="20"/>
      <c r="U726" s="20"/>
      <c r="V726" s="20"/>
      <c r="W726" s="20"/>
      <c r="X726" s="20"/>
    </row>
    <row r="727" ht="13.5" customHeight="1" spans="1:24">
      <c r="A727" s="20"/>
      <c r="B727" s="20"/>
      <c r="C727" s="20"/>
      <c r="D727" s="20"/>
      <c r="E727" s="20"/>
      <c r="F727" s="20"/>
      <c r="G727" s="20"/>
      <c r="H727" s="20"/>
      <c r="I727" s="20"/>
      <c r="J727" s="20"/>
      <c r="K727" s="20"/>
      <c r="L727" s="20"/>
      <c r="M727" s="20"/>
      <c r="N727" s="20"/>
      <c r="O727" s="20"/>
      <c r="P727" s="20"/>
      <c r="Q727" s="20"/>
      <c r="R727" s="20"/>
      <c r="S727" s="20"/>
      <c r="T727" s="20"/>
      <c r="U727" s="20"/>
      <c r="V727" s="20"/>
      <c r="W727" s="20"/>
      <c r="X727" s="20"/>
    </row>
    <row r="728" ht="13.5" customHeight="1" spans="1:24">
      <c r="A728" s="20"/>
      <c r="B728" s="20"/>
      <c r="C728" s="20"/>
      <c r="D728" s="20"/>
      <c r="E728" s="20"/>
      <c r="F728" s="20"/>
      <c r="G728" s="20"/>
      <c r="H728" s="20"/>
      <c r="I728" s="20"/>
      <c r="J728" s="20"/>
      <c r="K728" s="20"/>
      <c r="L728" s="20"/>
      <c r="M728" s="20"/>
      <c r="N728" s="20"/>
      <c r="O728" s="20"/>
      <c r="P728" s="20"/>
      <c r="Q728" s="20"/>
      <c r="R728" s="20"/>
      <c r="S728" s="20"/>
      <c r="T728" s="20"/>
      <c r="U728" s="20"/>
      <c r="V728" s="20"/>
      <c r="W728" s="20"/>
      <c r="X728" s="20"/>
    </row>
    <row r="729" ht="13.5" customHeight="1" spans="1:24">
      <c r="A729" s="20"/>
      <c r="B729" s="20"/>
      <c r="C729" s="20"/>
      <c r="D729" s="20"/>
      <c r="E729" s="20"/>
      <c r="F729" s="20"/>
      <c r="G729" s="20"/>
      <c r="H729" s="20"/>
      <c r="I729" s="20"/>
      <c r="J729" s="20"/>
      <c r="K729" s="20"/>
      <c r="L729" s="20"/>
      <c r="M729" s="20"/>
      <c r="N729" s="20"/>
      <c r="O729" s="20"/>
      <c r="P729" s="20"/>
      <c r="Q729" s="20"/>
      <c r="R729" s="20"/>
      <c r="S729" s="20"/>
      <c r="T729" s="20"/>
      <c r="U729" s="20"/>
      <c r="V729" s="20"/>
      <c r="W729" s="20"/>
      <c r="X729" s="20"/>
    </row>
    <row r="730" ht="13.5" customHeight="1" spans="1:24">
      <c r="A730" s="20"/>
      <c r="B730" s="20"/>
      <c r="C730" s="20"/>
      <c r="D730" s="20"/>
      <c r="E730" s="20"/>
      <c r="F730" s="20"/>
      <c r="G730" s="20"/>
      <c r="H730" s="20"/>
      <c r="I730" s="20"/>
      <c r="J730" s="20"/>
      <c r="K730" s="20"/>
      <c r="L730" s="20"/>
      <c r="M730" s="20"/>
      <c r="N730" s="20"/>
      <c r="O730" s="20"/>
      <c r="P730" s="20"/>
      <c r="Q730" s="20"/>
      <c r="R730" s="20"/>
      <c r="S730" s="20"/>
      <c r="T730" s="20"/>
      <c r="U730" s="20"/>
      <c r="V730" s="20"/>
      <c r="W730" s="20"/>
      <c r="X730" s="20"/>
    </row>
    <row r="731" ht="13.5" customHeight="1" spans="1:24">
      <c r="A731" s="20"/>
      <c r="B731" s="20"/>
      <c r="C731" s="20"/>
      <c r="D731" s="20"/>
      <c r="E731" s="20"/>
      <c r="F731" s="20"/>
      <c r="G731" s="20"/>
      <c r="H731" s="20"/>
      <c r="I731" s="20"/>
      <c r="J731" s="20"/>
      <c r="K731" s="20"/>
      <c r="L731" s="20"/>
      <c r="M731" s="20"/>
      <c r="N731" s="20"/>
      <c r="O731" s="20"/>
      <c r="P731" s="20"/>
      <c r="Q731" s="20"/>
      <c r="R731" s="20"/>
      <c r="S731" s="20"/>
      <c r="T731" s="20"/>
      <c r="U731" s="20"/>
      <c r="V731" s="20"/>
      <c r="W731" s="20"/>
      <c r="X731" s="20"/>
    </row>
    <row r="732" ht="13.5" customHeight="1" spans="1:24">
      <c r="A732" s="20"/>
      <c r="B732" s="20"/>
      <c r="C732" s="20"/>
      <c r="D732" s="20"/>
      <c r="E732" s="20"/>
      <c r="F732" s="20"/>
      <c r="G732" s="20"/>
      <c r="H732" s="20"/>
      <c r="I732" s="20"/>
      <c r="J732" s="20"/>
      <c r="K732" s="20"/>
      <c r="L732" s="20"/>
      <c r="M732" s="20"/>
      <c r="N732" s="20"/>
      <c r="O732" s="20"/>
      <c r="P732" s="20"/>
      <c r="Q732" s="20"/>
      <c r="R732" s="20"/>
      <c r="S732" s="20"/>
      <c r="T732" s="20"/>
      <c r="U732" s="20"/>
      <c r="V732" s="20"/>
      <c r="W732" s="20"/>
      <c r="X732" s="20"/>
    </row>
    <row r="733" ht="13.5" customHeight="1" spans="1:24">
      <c r="A733" s="20"/>
      <c r="B733" s="20"/>
      <c r="C733" s="20"/>
      <c r="D733" s="20"/>
      <c r="E733" s="20"/>
      <c r="F733" s="20"/>
      <c r="G733" s="20"/>
      <c r="H733" s="20"/>
      <c r="I733" s="20"/>
      <c r="J733" s="20"/>
      <c r="K733" s="20"/>
      <c r="L733" s="20"/>
      <c r="M733" s="20"/>
      <c r="N733" s="20"/>
      <c r="O733" s="20"/>
      <c r="P733" s="20"/>
      <c r="Q733" s="20"/>
      <c r="R733" s="20"/>
      <c r="S733" s="20"/>
      <c r="T733" s="20"/>
      <c r="U733" s="20"/>
      <c r="V733" s="20"/>
      <c r="W733" s="20"/>
      <c r="X733" s="20"/>
    </row>
    <row r="734" ht="13.5" customHeight="1" spans="1:24">
      <c r="A734" s="20"/>
      <c r="B734" s="20"/>
      <c r="C734" s="20"/>
      <c r="D734" s="20"/>
      <c r="E734" s="20"/>
      <c r="F734" s="20"/>
      <c r="G734" s="20"/>
      <c r="H734" s="20"/>
      <c r="I734" s="20"/>
      <c r="J734" s="20"/>
      <c r="K734" s="20"/>
      <c r="L734" s="20"/>
      <c r="M734" s="20"/>
      <c r="N734" s="20"/>
      <c r="O734" s="20"/>
      <c r="P734" s="20"/>
      <c r="Q734" s="20"/>
      <c r="R734" s="20"/>
      <c r="S734" s="20"/>
      <c r="T734" s="20"/>
      <c r="U734" s="20"/>
      <c r="V734" s="20"/>
      <c r="W734" s="20"/>
      <c r="X734" s="20"/>
    </row>
    <row r="735" ht="13.5" customHeight="1" spans="1:24">
      <c r="A735" s="20"/>
      <c r="B735" s="20"/>
      <c r="C735" s="20"/>
      <c r="D735" s="20"/>
      <c r="E735" s="20"/>
      <c r="F735" s="20"/>
      <c r="G735" s="20"/>
      <c r="H735" s="20"/>
      <c r="I735" s="20"/>
      <c r="J735" s="20"/>
      <c r="K735" s="20"/>
      <c r="L735" s="20"/>
      <c r="M735" s="20"/>
      <c r="N735" s="20"/>
      <c r="O735" s="20"/>
      <c r="P735" s="20"/>
      <c r="Q735" s="20"/>
      <c r="R735" s="20"/>
      <c r="S735" s="20"/>
      <c r="T735" s="20"/>
      <c r="U735" s="20"/>
      <c r="V735" s="20"/>
      <c r="W735" s="20"/>
      <c r="X735" s="20"/>
    </row>
    <row r="736" ht="13.5" customHeight="1" spans="1:24">
      <c r="A736" s="20"/>
      <c r="B736" s="20"/>
      <c r="C736" s="20"/>
      <c r="D736" s="20"/>
      <c r="E736" s="20"/>
      <c r="F736" s="20"/>
      <c r="G736" s="20"/>
      <c r="H736" s="20"/>
      <c r="I736" s="20"/>
      <c r="J736" s="20"/>
      <c r="K736" s="20"/>
      <c r="L736" s="20"/>
      <c r="M736" s="20"/>
      <c r="N736" s="20"/>
      <c r="O736" s="20"/>
      <c r="P736" s="20"/>
      <c r="Q736" s="20"/>
      <c r="R736" s="20"/>
      <c r="S736" s="20"/>
      <c r="T736" s="20"/>
      <c r="U736" s="20"/>
      <c r="V736" s="20"/>
      <c r="W736" s="20"/>
      <c r="X736" s="20"/>
    </row>
    <row r="737" ht="13.5" customHeight="1" spans="1:24">
      <c r="A737" s="20"/>
      <c r="B737" s="20"/>
      <c r="C737" s="20"/>
      <c r="D737" s="20"/>
      <c r="E737" s="20"/>
      <c r="F737" s="20"/>
      <c r="G737" s="20"/>
      <c r="H737" s="20"/>
      <c r="I737" s="20"/>
      <c r="J737" s="20"/>
      <c r="K737" s="20"/>
      <c r="L737" s="20"/>
      <c r="M737" s="20"/>
      <c r="N737" s="20"/>
      <c r="O737" s="20"/>
      <c r="P737" s="20"/>
      <c r="Q737" s="20"/>
      <c r="R737" s="20"/>
      <c r="S737" s="20"/>
      <c r="T737" s="20"/>
      <c r="U737" s="20"/>
      <c r="V737" s="20"/>
      <c r="W737" s="20"/>
      <c r="X737" s="20"/>
    </row>
    <row r="738" ht="13.5" customHeight="1" spans="1:24">
      <c r="A738" s="20"/>
      <c r="B738" s="20"/>
      <c r="C738" s="20"/>
      <c r="D738" s="20"/>
      <c r="E738" s="20"/>
      <c r="F738" s="20"/>
      <c r="G738" s="20"/>
      <c r="H738" s="20"/>
      <c r="I738" s="20"/>
      <c r="J738" s="20"/>
      <c r="K738" s="20"/>
      <c r="L738" s="20"/>
      <c r="M738" s="20"/>
      <c r="N738" s="20"/>
      <c r="O738" s="20"/>
      <c r="P738" s="20"/>
      <c r="Q738" s="20"/>
      <c r="R738" s="20"/>
      <c r="S738" s="20"/>
      <c r="T738" s="20"/>
      <c r="U738" s="20"/>
      <c r="V738" s="20"/>
      <c r="W738" s="20"/>
      <c r="X738" s="20"/>
    </row>
    <row r="739" ht="13.5" customHeight="1" spans="1:24">
      <c r="A739" s="20"/>
      <c r="B739" s="20"/>
      <c r="C739" s="20"/>
      <c r="D739" s="20"/>
      <c r="E739" s="20"/>
      <c r="F739" s="20"/>
      <c r="G739" s="20"/>
      <c r="H739" s="20"/>
      <c r="I739" s="20"/>
      <c r="J739" s="20"/>
      <c r="K739" s="20"/>
      <c r="L739" s="20"/>
      <c r="M739" s="20"/>
      <c r="N739" s="20"/>
      <c r="O739" s="20"/>
      <c r="P739" s="20"/>
      <c r="Q739" s="20"/>
      <c r="R739" s="20"/>
      <c r="S739" s="20"/>
      <c r="T739" s="20"/>
      <c r="U739" s="20"/>
      <c r="V739" s="20"/>
      <c r="W739" s="20"/>
      <c r="X739" s="20"/>
    </row>
    <row r="740" ht="13.5" customHeight="1" spans="1:24">
      <c r="A740" s="20"/>
      <c r="B740" s="20"/>
      <c r="C740" s="20"/>
      <c r="D740" s="20"/>
      <c r="E740" s="20"/>
      <c r="F740" s="20"/>
      <c r="G740" s="20"/>
      <c r="H740" s="20"/>
      <c r="I740" s="20"/>
      <c r="J740" s="20"/>
      <c r="K740" s="20"/>
      <c r="L740" s="20"/>
      <c r="M740" s="20"/>
      <c r="N740" s="20"/>
      <c r="O740" s="20"/>
      <c r="P740" s="20"/>
      <c r="Q740" s="20"/>
      <c r="R740" s="20"/>
      <c r="S740" s="20"/>
      <c r="T740" s="20"/>
      <c r="U740" s="20"/>
      <c r="V740" s="20"/>
      <c r="W740" s="20"/>
      <c r="X740" s="20"/>
    </row>
    <row r="741" ht="13.5" customHeight="1" spans="1:24">
      <c r="A741" s="20"/>
      <c r="B741" s="20"/>
      <c r="C741" s="20"/>
      <c r="D741" s="20"/>
      <c r="E741" s="20"/>
      <c r="F741" s="20"/>
      <c r="G741" s="20"/>
      <c r="H741" s="20"/>
      <c r="I741" s="20"/>
      <c r="J741" s="20"/>
      <c r="K741" s="20"/>
      <c r="L741" s="20"/>
      <c r="M741" s="20"/>
      <c r="N741" s="20"/>
      <c r="O741" s="20"/>
      <c r="P741" s="20"/>
      <c r="Q741" s="20"/>
      <c r="R741" s="20"/>
      <c r="S741" s="20"/>
      <c r="T741" s="20"/>
      <c r="U741" s="20"/>
      <c r="V741" s="20"/>
      <c r="W741" s="20"/>
      <c r="X741" s="20"/>
    </row>
    <row r="742" ht="13.5" customHeight="1" spans="1:24">
      <c r="A742" s="20"/>
      <c r="B742" s="20"/>
      <c r="C742" s="20"/>
      <c r="D742" s="20"/>
      <c r="E742" s="20"/>
      <c r="F742" s="20"/>
      <c r="G742" s="20"/>
      <c r="H742" s="20"/>
      <c r="I742" s="20"/>
      <c r="J742" s="20"/>
      <c r="K742" s="20"/>
      <c r="L742" s="20"/>
      <c r="M742" s="20"/>
      <c r="N742" s="20"/>
      <c r="O742" s="20"/>
      <c r="P742" s="20"/>
      <c r="Q742" s="20"/>
      <c r="R742" s="20"/>
      <c r="S742" s="20"/>
      <c r="T742" s="20"/>
      <c r="U742" s="20"/>
      <c r="V742" s="20"/>
      <c r="W742" s="20"/>
      <c r="X742" s="20"/>
    </row>
    <row r="743" ht="13.5" customHeight="1" spans="1:24">
      <c r="A743" s="20"/>
      <c r="B743" s="20"/>
      <c r="C743" s="20"/>
      <c r="D743" s="20"/>
      <c r="E743" s="20"/>
      <c r="F743" s="20"/>
      <c r="G743" s="20"/>
      <c r="H743" s="20"/>
      <c r="I743" s="20"/>
      <c r="J743" s="20"/>
      <c r="K743" s="20"/>
      <c r="L743" s="20"/>
      <c r="M743" s="20"/>
      <c r="N743" s="20"/>
      <c r="O743" s="20"/>
      <c r="P743" s="20"/>
      <c r="Q743" s="20"/>
      <c r="R743" s="20"/>
      <c r="S743" s="20"/>
      <c r="T743" s="20"/>
      <c r="U743" s="20"/>
      <c r="V743" s="20"/>
      <c r="W743" s="20"/>
      <c r="X743" s="20"/>
    </row>
    <row r="744" ht="13.5" customHeight="1" spans="1:24">
      <c r="A744" s="20"/>
      <c r="B744" s="20"/>
      <c r="C744" s="20"/>
      <c r="D744" s="20"/>
      <c r="E744" s="20"/>
      <c r="F744" s="20"/>
      <c r="G744" s="20"/>
      <c r="H744" s="20"/>
      <c r="I744" s="20"/>
      <c r="J744" s="20"/>
      <c r="K744" s="20"/>
      <c r="L744" s="20"/>
      <c r="M744" s="20"/>
      <c r="N744" s="20"/>
      <c r="O744" s="20"/>
      <c r="P744" s="20"/>
      <c r="Q744" s="20"/>
      <c r="R744" s="20"/>
      <c r="S744" s="20"/>
      <c r="T744" s="20"/>
      <c r="U744" s="20"/>
      <c r="V744" s="20"/>
      <c r="W744" s="20"/>
      <c r="X744" s="20"/>
    </row>
    <row r="745" ht="13.5" customHeight="1" spans="1:24">
      <c r="A745" s="20"/>
      <c r="B745" s="20"/>
      <c r="C745" s="20"/>
      <c r="D745" s="20"/>
      <c r="E745" s="20"/>
      <c r="F745" s="20"/>
      <c r="G745" s="20"/>
      <c r="H745" s="20"/>
      <c r="I745" s="20"/>
      <c r="J745" s="20"/>
      <c r="K745" s="20"/>
      <c r="L745" s="20"/>
      <c r="M745" s="20"/>
      <c r="N745" s="20"/>
      <c r="O745" s="20"/>
      <c r="P745" s="20"/>
      <c r="Q745" s="20"/>
      <c r="R745" s="20"/>
      <c r="S745" s="20"/>
      <c r="T745" s="20"/>
      <c r="U745" s="20"/>
      <c r="V745" s="20"/>
      <c r="W745" s="20"/>
      <c r="X745" s="20"/>
    </row>
    <row r="746" ht="13.5" customHeight="1" spans="1:24">
      <c r="A746" s="20"/>
      <c r="B746" s="20"/>
      <c r="C746" s="20"/>
      <c r="D746" s="20"/>
      <c r="E746" s="20"/>
      <c r="F746" s="20"/>
      <c r="G746" s="20"/>
      <c r="H746" s="20"/>
      <c r="I746" s="20"/>
      <c r="J746" s="20"/>
      <c r="K746" s="20"/>
      <c r="L746" s="20"/>
      <c r="M746" s="20"/>
      <c r="N746" s="20"/>
      <c r="O746" s="20"/>
      <c r="P746" s="20"/>
      <c r="Q746" s="20"/>
      <c r="R746" s="20"/>
      <c r="S746" s="20"/>
      <c r="T746" s="20"/>
      <c r="U746" s="20"/>
      <c r="V746" s="20"/>
      <c r="W746" s="20"/>
      <c r="X746" s="20"/>
    </row>
    <row r="747" ht="13.5" customHeight="1" spans="1:24">
      <c r="A747" s="20"/>
      <c r="B747" s="20"/>
      <c r="C747" s="20"/>
      <c r="D747" s="20"/>
      <c r="E747" s="20"/>
      <c r="F747" s="20"/>
      <c r="G747" s="20"/>
      <c r="H747" s="20"/>
      <c r="I747" s="20"/>
      <c r="J747" s="20"/>
      <c r="K747" s="20"/>
      <c r="L747" s="20"/>
      <c r="M747" s="20"/>
      <c r="N747" s="20"/>
      <c r="O747" s="20"/>
      <c r="P747" s="20"/>
      <c r="Q747" s="20"/>
      <c r="R747" s="20"/>
      <c r="S747" s="20"/>
      <c r="T747" s="20"/>
      <c r="U747" s="20"/>
      <c r="V747" s="20"/>
      <c r="W747" s="20"/>
      <c r="X747" s="20"/>
    </row>
    <row r="748" ht="13.5" customHeight="1" spans="1:24">
      <c r="A748" s="20"/>
      <c r="B748" s="20"/>
      <c r="C748" s="20"/>
      <c r="D748" s="20"/>
      <c r="E748" s="20"/>
      <c r="F748" s="20"/>
      <c r="G748" s="20"/>
      <c r="H748" s="20"/>
      <c r="I748" s="20"/>
      <c r="J748" s="20"/>
      <c r="K748" s="20"/>
      <c r="L748" s="20"/>
      <c r="M748" s="20"/>
      <c r="N748" s="20"/>
      <c r="O748" s="20"/>
      <c r="P748" s="20"/>
      <c r="Q748" s="20"/>
      <c r="R748" s="20"/>
      <c r="S748" s="20"/>
      <c r="T748" s="20"/>
      <c r="U748" s="20"/>
      <c r="V748" s="20"/>
      <c r="W748" s="20"/>
      <c r="X748" s="20"/>
    </row>
    <row r="749" ht="13.5" customHeight="1" spans="1:24">
      <c r="A749" s="20"/>
      <c r="B749" s="20"/>
      <c r="C749" s="20"/>
      <c r="D749" s="20"/>
      <c r="E749" s="20"/>
      <c r="F749" s="20"/>
      <c r="G749" s="20"/>
      <c r="H749" s="20"/>
      <c r="I749" s="20"/>
      <c r="J749" s="20"/>
      <c r="K749" s="20"/>
      <c r="L749" s="20"/>
      <c r="M749" s="20"/>
      <c r="N749" s="20"/>
      <c r="O749" s="20"/>
      <c r="P749" s="20"/>
      <c r="Q749" s="20"/>
      <c r="R749" s="20"/>
      <c r="S749" s="20"/>
      <c r="T749" s="20"/>
      <c r="U749" s="20"/>
      <c r="V749" s="20"/>
      <c r="W749" s="20"/>
      <c r="X749" s="20"/>
    </row>
    <row r="750" ht="13.5" customHeight="1" spans="1:24">
      <c r="A750" s="20"/>
      <c r="B750" s="20"/>
      <c r="C750" s="20"/>
      <c r="D750" s="20"/>
      <c r="E750" s="20"/>
      <c r="F750" s="20"/>
      <c r="G750" s="20"/>
      <c r="H750" s="20"/>
      <c r="I750" s="20"/>
      <c r="J750" s="20"/>
      <c r="K750" s="20"/>
      <c r="L750" s="20"/>
      <c r="M750" s="20"/>
      <c r="N750" s="20"/>
      <c r="O750" s="20"/>
      <c r="P750" s="20"/>
      <c r="Q750" s="20"/>
      <c r="R750" s="20"/>
      <c r="S750" s="20"/>
      <c r="T750" s="20"/>
      <c r="U750" s="20"/>
      <c r="V750" s="20"/>
      <c r="W750" s="20"/>
      <c r="X750" s="20"/>
    </row>
    <row r="751" ht="13.5" customHeight="1" spans="1:24">
      <c r="A751" s="20"/>
      <c r="B751" s="20"/>
      <c r="C751" s="20"/>
      <c r="D751" s="20"/>
      <c r="E751" s="20"/>
      <c r="F751" s="20"/>
      <c r="G751" s="20"/>
      <c r="H751" s="20"/>
      <c r="I751" s="20"/>
      <c r="J751" s="20"/>
      <c r="K751" s="20"/>
      <c r="L751" s="20"/>
      <c r="M751" s="20"/>
      <c r="N751" s="20"/>
      <c r="O751" s="20"/>
      <c r="P751" s="20"/>
      <c r="Q751" s="20"/>
      <c r="R751" s="20"/>
      <c r="S751" s="20"/>
      <c r="T751" s="20"/>
      <c r="U751" s="20"/>
      <c r="V751" s="20"/>
      <c r="W751" s="20"/>
      <c r="X751" s="20"/>
    </row>
    <row r="752" ht="13.5" customHeight="1" spans="1:24">
      <c r="A752" s="20"/>
      <c r="B752" s="20"/>
      <c r="C752" s="20"/>
      <c r="D752" s="20"/>
      <c r="E752" s="20"/>
      <c r="F752" s="20"/>
      <c r="G752" s="20"/>
      <c r="H752" s="20"/>
      <c r="I752" s="20"/>
      <c r="J752" s="20"/>
      <c r="K752" s="20"/>
      <c r="L752" s="20"/>
      <c r="M752" s="20"/>
      <c r="N752" s="20"/>
      <c r="O752" s="20"/>
      <c r="P752" s="20"/>
      <c r="Q752" s="20"/>
      <c r="R752" s="20"/>
      <c r="S752" s="20"/>
      <c r="T752" s="20"/>
      <c r="U752" s="20"/>
      <c r="V752" s="20"/>
      <c r="W752" s="20"/>
      <c r="X752" s="20"/>
    </row>
    <row r="753" ht="13.5" customHeight="1" spans="1:24">
      <c r="A753" s="20"/>
      <c r="B753" s="20"/>
      <c r="C753" s="20"/>
      <c r="D753" s="20"/>
      <c r="E753" s="20"/>
      <c r="F753" s="20"/>
      <c r="G753" s="20"/>
      <c r="H753" s="20"/>
      <c r="I753" s="20"/>
      <c r="J753" s="20"/>
      <c r="K753" s="20"/>
      <c r="L753" s="20"/>
      <c r="M753" s="20"/>
      <c r="N753" s="20"/>
      <c r="O753" s="20"/>
      <c r="P753" s="20"/>
      <c r="Q753" s="20"/>
      <c r="R753" s="20"/>
      <c r="S753" s="20"/>
      <c r="T753" s="20"/>
      <c r="U753" s="20"/>
      <c r="V753" s="20"/>
      <c r="W753" s="20"/>
      <c r="X753" s="20"/>
    </row>
    <row r="754" ht="13.5" customHeight="1" spans="1:24">
      <c r="A754" s="20"/>
      <c r="B754" s="20"/>
      <c r="C754" s="20"/>
      <c r="D754" s="20"/>
      <c r="E754" s="20"/>
      <c r="F754" s="20"/>
      <c r="G754" s="20"/>
      <c r="H754" s="20"/>
      <c r="I754" s="20"/>
      <c r="J754" s="20"/>
      <c r="K754" s="20"/>
      <c r="L754" s="20"/>
      <c r="M754" s="20"/>
      <c r="N754" s="20"/>
      <c r="O754" s="20"/>
      <c r="P754" s="20"/>
      <c r="Q754" s="20"/>
      <c r="R754" s="20"/>
      <c r="S754" s="20"/>
      <c r="T754" s="20"/>
      <c r="U754" s="20"/>
      <c r="V754" s="20"/>
      <c r="W754" s="20"/>
      <c r="X754" s="20"/>
    </row>
    <row r="755" ht="13.5" customHeight="1" spans="1:24">
      <c r="A755" s="20"/>
      <c r="B755" s="20"/>
      <c r="C755" s="20"/>
      <c r="D755" s="20"/>
      <c r="E755" s="20"/>
      <c r="F755" s="20"/>
      <c r="G755" s="20"/>
      <c r="H755" s="20"/>
      <c r="I755" s="20"/>
      <c r="J755" s="20"/>
      <c r="K755" s="20"/>
      <c r="L755" s="20"/>
      <c r="M755" s="20"/>
      <c r="N755" s="20"/>
      <c r="O755" s="20"/>
      <c r="P755" s="20"/>
      <c r="Q755" s="20"/>
      <c r="R755" s="20"/>
      <c r="S755" s="20"/>
      <c r="T755" s="20"/>
      <c r="U755" s="20"/>
      <c r="V755" s="20"/>
      <c r="W755" s="20"/>
      <c r="X755" s="20"/>
    </row>
    <row r="756" ht="13.5" customHeight="1" spans="1:24">
      <c r="A756" s="20"/>
      <c r="B756" s="20"/>
      <c r="C756" s="20"/>
      <c r="D756" s="20"/>
      <c r="E756" s="20"/>
      <c r="F756" s="20"/>
      <c r="G756" s="20"/>
      <c r="H756" s="20"/>
      <c r="I756" s="20"/>
      <c r="J756" s="20"/>
      <c r="K756" s="20"/>
      <c r="L756" s="20"/>
      <c r="M756" s="20"/>
      <c r="N756" s="20"/>
      <c r="O756" s="20"/>
      <c r="P756" s="20"/>
      <c r="Q756" s="20"/>
      <c r="R756" s="20"/>
      <c r="S756" s="20"/>
      <c r="T756" s="20"/>
      <c r="U756" s="20"/>
      <c r="V756" s="20"/>
      <c r="W756" s="20"/>
      <c r="X756" s="20"/>
    </row>
    <row r="757" ht="13.5" customHeight="1" spans="1:24">
      <c r="A757" s="20"/>
      <c r="B757" s="20"/>
      <c r="C757" s="20"/>
      <c r="D757" s="20"/>
      <c r="E757" s="20"/>
      <c r="F757" s="20"/>
      <c r="G757" s="20"/>
      <c r="H757" s="20"/>
      <c r="I757" s="20"/>
      <c r="J757" s="20"/>
      <c r="K757" s="20"/>
      <c r="L757" s="20"/>
      <c r="M757" s="20"/>
      <c r="N757" s="20"/>
      <c r="O757" s="20"/>
      <c r="P757" s="20"/>
      <c r="Q757" s="20"/>
      <c r="R757" s="20"/>
      <c r="S757" s="20"/>
      <c r="T757" s="20"/>
      <c r="U757" s="20"/>
      <c r="V757" s="20"/>
      <c r="W757" s="20"/>
      <c r="X757" s="20"/>
    </row>
    <row r="758" ht="13.5" customHeight="1" spans="1:24">
      <c r="A758" s="20"/>
      <c r="B758" s="20"/>
      <c r="C758" s="20"/>
      <c r="D758" s="20"/>
      <c r="E758" s="20"/>
      <c r="F758" s="20"/>
      <c r="G758" s="20"/>
      <c r="H758" s="20"/>
      <c r="I758" s="20"/>
      <c r="J758" s="20"/>
      <c r="K758" s="20"/>
      <c r="L758" s="20"/>
      <c r="M758" s="20"/>
      <c r="N758" s="20"/>
      <c r="O758" s="20"/>
      <c r="P758" s="20"/>
      <c r="Q758" s="20"/>
      <c r="R758" s="20"/>
      <c r="S758" s="20"/>
      <c r="T758" s="20"/>
      <c r="U758" s="20"/>
      <c r="V758" s="20"/>
      <c r="W758" s="20"/>
      <c r="X758" s="20"/>
    </row>
    <row r="759" ht="13.5" customHeight="1" spans="1:24">
      <c r="A759" s="20"/>
      <c r="B759" s="20"/>
      <c r="C759" s="20"/>
      <c r="D759" s="20"/>
      <c r="E759" s="20"/>
      <c r="F759" s="20"/>
      <c r="G759" s="20"/>
      <c r="H759" s="20"/>
      <c r="I759" s="20"/>
      <c r="J759" s="20"/>
      <c r="K759" s="20"/>
      <c r="L759" s="20"/>
      <c r="M759" s="20"/>
      <c r="N759" s="20"/>
      <c r="O759" s="20"/>
      <c r="P759" s="20"/>
      <c r="Q759" s="20"/>
      <c r="R759" s="20"/>
      <c r="S759" s="20"/>
      <c r="T759" s="20"/>
      <c r="U759" s="20"/>
      <c r="V759" s="20"/>
      <c r="W759" s="20"/>
      <c r="X759" s="20"/>
    </row>
    <row r="760" ht="13.5" customHeight="1" spans="1:24">
      <c r="A760" s="20"/>
      <c r="B760" s="20"/>
      <c r="C760" s="20"/>
      <c r="D760" s="20"/>
      <c r="E760" s="20"/>
      <c r="F760" s="20"/>
      <c r="G760" s="20"/>
      <c r="H760" s="20"/>
      <c r="I760" s="20"/>
      <c r="J760" s="20"/>
      <c r="K760" s="20"/>
      <c r="L760" s="20"/>
      <c r="M760" s="20"/>
      <c r="N760" s="20"/>
      <c r="O760" s="20"/>
      <c r="P760" s="20"/>
      <c r="Q760" s="20"/>
      <c r="R760" s="20"/>
      <c r="S760" s="20"/>
      <c r="T760" s="20"/>
      <c r="U760" s="20"/>
      <c r="V760" s="20"/>
      <c r="W760" s="20"/>
      <c r="X760" s="20"/>
    </row>
    <row r="761" ht="13.5" customHeight="1" spans="1:24">
      <c r="A761" s="20"/>
      <c r="B761" s="20"/>
      <c r="C761" s="20"/>
      <c r="D761" s="20"/>
      <c r="E761" s="20"/>
      <c r="F761" s="20"/>
      <c r="G761" s="20"/>
      <c r="H761" s="20"/>
      <c r="I761" s="20"/>
      <c r="J761" s="20"/>
      <c r="K761" s="20"/>
      <c r="L761" s="20"/>
      <c r="M761" s="20"/>
      <c r="N761" s="20"/>
      <c r="O761" s="20"/>
      <c r="P761" s="20"/>
      <c r="Q761" s="20"/>
      <c r="R761" s="20"/>
      <c r="S761" s="20"/>
      <c r="T761" s="20"/>
      <c r="U761" s="20"/>
      <c r="V761" s="20"/>
      <c r="W761" s="20"/>
      <c r="X761" s="20"/>
    </row>
    <row r="762" ht="13.5" customHeight="1" spans="1:24">
      <c r="A762" s="20"/>
      <c r="B762" s="20"/>
      <c r="C762" s="20"/>
      <c r="D762" s="20"/>
      <c r="E762" s="20"/>
      <c r="F762" s="20"/>
      <c r="G762" s="20"/>
      <c r="H762" s="20"/>
      <c r="I762" s="20"/>
      <c r="J762" s="20"/>
      <c r="K762" s="20"/>
      <c r="L762" s="20"/>
      <c r="M762" s="20"/>
      <c r="N762" s="20"/>
      <c r="O762" s="20"/>
      <c r="P762" s="20"/>
      <c r="Q762" s="20"/>
      <c r="R762" s="20"/>
      <c r="S762" s="20"/>
      <c r="T762" s="20"/>
      <c r="U762" s="20"/>
      <c r="V762" s="20"/>
      <c r="W762" s="20"/>
      <c r="X762" s="20"/>
    </row>
    <row r="763" ht="13.5" customHeight="1" spans="1:24">
      <c r="A763" s="20"/>
      <c r="B763" s="20"/>
      <c r="C763" s="20"/>
      <c r="D763" s="20"/>
      <c r="E763" s="20"/>
      <c r="F763" s="20"/>
      <c r="G763" s="20"/>
      <c r="H763" s="20"/>
      <c r="I763" s="20"/>
      <c r="J763" s="20"/>
      <c r="K763" s="20"/>
      <c r="L763" s="20"/>
      <c r="M763" s="20"/>
      <c r="N763" s="20"/>
      <c r="O763" s="20"/>
      <c r="P763" s="20"/>
      <c r="Q763" s="20"/>
      <c r="R763" s="20"/>
      <c r="S763" s="20"/>
      <c r="T763" s="20"/>
      <c r="U763" s="20"/>
      <c r="V763" s="20"/>
      <c r="W763" s="20"/>
      <c r="X763" s="20"/>
    </row>
    <row r="764" ht="13.5" customHeight="1" spans="1:24">
      <c r="A764" s="20"/>
      <c r="B764" s="20"/>
      <c r="C764" s="20"/>
      <c r="D764" s="20"/>
      <c r="E764" s="20"/>
      <c r="F764" s="20"/>
      <c r="G764" s="20"/>
      <c r="H764" s="20"/>
      <c r="I764" s="20"/>
      <c r="J764" s="20"/>
      <c r="K764" s="20"/>
      <c r="L764" s="20"/>
      <c r="M764" s="20"/>
      <c r="N764" s="20"/>
      <c r="O764" s="20"/>
      <c r="P764" s="20"/>
      <c r="Q764" s="20"/>
      <c r="R764" s="20"/>
      <c r="S764" s="20"/>
      <c r="T764" s="20"/>
      <c r="U764" s="20"/>
      <c r="V764" s="20"/>
      <c r="W764" s="20"/>
      <c r="X764" s="20"/>
    </row>
    <row r="765" ht="13.5" customHeight="1" spans="1:24">
      <c r="A765" s="20"/>
      <c r="B765" s="20"/>
      <c r="C765" s="20"/>
      <c r="D765" s="20"/>
      <c r="E765" s="20"/>
      <c r="F765" s="20"/>
      <c r="G765" s="20"/>
      <c r="H765" s="20"/>
      <c r="I765" s="20"/>
      <c r="J765" s="20"/>
      <c r="K765" s="20"/>
      <c r="L765" s="20"/>
      <c r="M765" s="20"/>
      <c r="N765" s="20"/>
      <c r="O765" s="20"/>
      <c r="P765" s="20"/>
      <c r="Q765" s="20"/>
      <c r="R765" s="20"/>
      <c r="S765" s="20"/>
      <c r="T765" s="20"/>
      <c r="U765" s="20"/>
      <c r="V765" s="20"/>
      <c r="W765" s="20"/>
      <c r="X765" s="20"/>
    </row>
    <row r="766" ht="13.5" customHeight="1" spans="1:24">
      <c r="A766" s="20"/>
      <c r="B766" s="20"/>
      <c r="C766" s="20"/>
      <c r="D766" s="20"/>
      <c r="E766" s="20"/>
      <c r="F766" s="20"/>
      <c r="G766" s="20"/>
      <c r="H766" s="20"/>
      <c r="I766" s="20"/>
      <c r="J766" s="20"/>
      <c r="K766" s="20"/>
      <c r="L766" s="20"/>
      <c r="M766" s="20"/>
      <c r="N766" s="20"/>
      <c r="O766" s="20"/>
      <c r="P766" s="20"/>
      <c r="Q766" s="20"/>
      <c r="R766" s="20"/>
      <c r="S766" s="20"/>
      <c r="T766" s="20"/>
      <c r="U766" s="20"/>
      <c r="V766" s="20"/>
      <c r="W766" s="20"/>
      <c r="X766" s="20"/>
    </row>
    <row r="767" ht="13.5" customHeight="1" spans="1:24">
      <c r="A767" s="20"/>
      <c r="B767" s="20"/>
      <c r="C767" s="20"/>
      <c r="D767" s="20"/>
      <c r="E767" s="20"/>
      <c r="F767" s="20"/>
      <c r="G767" s="20"/>
      <c r="H767" s="20"/>
      <c r="I767" s="20"/>
      <c r="J767" s="20"/>
      <c r="K767" s="20"/>
      <c r="L767" s="20"/>
      <c r="M767" s="20"/>
      <c r="N767" s="20"/>
      <c r="O767" s="20"/>
      <c r="P767" s="20"/>
      <c r="Q767" s="20"/>
      <c r="R767" s="20"/>
      <c r="S767" s="20"/>
      <c r="T767" s="20"/>
      <c r="U767" s="20"/>
      <c r="V767" s="20"/>
      <c r="W767" s="20"/>
      <c r="X767" s="20"/>
    </row>
    <row r="768" ht="13.5" customHeight="1" spans="1:24">
      <c r="A768" s="20"/>
      <c r="B768" s="20"/>
      <c r="C768" s="20"/>
      <c r="D768" s="20"/>
      <c r="E768" s="20"/>
      <c r="F768" s="20"/>
      <c r="G768" s="20"/>
      <c r="H768" s="20"/>
      <c r="I768" s="20"/>
      <c r="J768" s="20"/>
      <c r="K768" s="20"/>
      <c r="L768" s="20"/>
      <c r="M768" s="20"/>
      <c r="N768" s="20"/>
      <c r="O768" s="20"/>
      <c r="P768" s="20"/>
      <c r="Q768" s="20"/>
      <c r="R768" s="20"/>
      <c r="S768" s="20"/>
      <c r="T768" s="20"/>
      <c r="U768" s="20"/>
      <c r="V768" s="20"/>
      <c r="W768" s="20"/>
      <c r="X768" s="20"/>
    </row>
    <row r="769" ht="13.5" customHeight="1" spans="1:24">
      <c r="A769" s="20"/>
      <c r="B769" s="20"/>
      <c r="C769" s="20"/>
      <c r="D769" s="20"/>
      <c r="E769" s="20"/>
      <c r="F769" s="20"/>
      <c r="G769" s="20"/>
      <c r="H769" s="20"/>
      <c r="I769" s="20"/>
      <c r="J769" s="20"/>
      <c r="K769" s="20"/>
      <c r="L769" s="20"/>
      <c r="M769" s="20"/>
      <c r="N769" s="20"/>
      <c r="O769" s="20"/>
      <c r="P769" s="20"/>
      <c r="Q769" s="20"/>
      <c r="R769" s="20"/>
      <c r="S769" s="20"/>
      <c r="T769" s="20"/>
      <c r="U769" s="20"/>
      <c r="V769" s="20"/>
      <c r="W769" s="20"/>
      <c r="X769" s="20"/>
    </row>
    <row r="770" ht="13.5" customHeight="1" spans="1:24">
      <c r="A770" s="20"/>
      <c r="B770" s="20"/>
      <c r="C770" s="20"/>
      <c r="D770" s="20"/>
      <c r="E770" s="20"/>
      <c r="F770" s="20"/>
      <c r="G770" s="20"/>
      <c r="H770" s="20"/>
      <c r="I770" s="20"/>
      <c r="J770" s="20"/>
      <c r="K770" s="20"/>
      <c r="L770" s="20"/>
      <c r="M770" s="20"/>
      <c r="N770" s="20"/>
      <c r="O770" s="20"/>
      <c r="P770" s="20"/>
      <c r="Q770" s="20"/>
      <c r="R770" s="20"/>
      <c r="S770" s="20"/>
      <c r="T770" s="20"/>
      <c r="U770" s="20"/>
      <c r="V770" s="20"/>
      <c r="W770" s="20"/>
      <c r="X770" s="20"/>
    </row>
    <row r="771" ht="13.5" customHeight="1" spans="1:24">
      <c r="A771" s="20"/>
      <c r="B771" s="20"/>
      <c r="C771" s="20"/>
      <c r="D771" s="20"/>
      <c r="E771" s="20"/>
      <c r="F771" s="20"/>
      <c r="G771" s="20"/>
      <c r="H771" s="20"/>
      <c r="I771" s="20"/>
      <c r="J771" s="20"/>
      <c r="K771" s="20"/>
      <c r="L771" s="20"/>
      <c r="M771" s="20"/>
      <c r="N771" s="20"/>
      <c r="O771" s="20"/>
      <c r="P771" s="20"/>
      <c r="Q771" s="20"/>
      <c r="R771" s="20"/>
      <c r="S771" s="20"/>
      <c r="T771" s="20"/>
      <c r="U771" s="20"/>
      <c r="V771" s="20"/>
      <c r="W771" s="20"/>
      <c r="X771" s="20"/>
    </row>
    <row r="772" ht="13.5" customHeight="1" spans="1:24">
      <c r="A772" s="20"/>
      <c r="B772" s="20"/>
      <c r="C772" s="20"/>
      <c r="D772" s="20"/>
      <c r="E772" s="20"/>
      <c r="F772" s="20"/>
      <c r="G772" s="20"/>
      <c r="H772" s="20"/>
      <c r="I772" s="20"/>
      <c r="J772" s="20"/>
      <c r="K772" s="20"/>
      <c r="L772" s="20"/>
      <c r="M772" s="20"/>
      <c r="N772" s="20"/>
      <c r="O772" s="20"/>
      <c r="P772" s="20"/>
      <c r="Q772" s="20"/>
      <c r="R772" s="20"/>
      <c r="S772" s="20"/>
      <c r="T772" s="20"/>
      <c r="U772" s="20"/>
      <c r="V772" s="20"/>
      <c r="W772" s="20"/>
      <c r="X772" s="20"/>
    </row>
    <row r="773" ht="13.5" customHeight="1" spans="1:24">
      <c r="A773" s="20"/>
      <c r="B773" s="20"/>
      <c r="C773" s="20"/>
      <c r="D773" s="20"/>
      <c r="E773" s="20"/>
      <c r="F773" s="20"/>
      <c r="G773" s="20"/>
      <c r="H773" s="20"/>
      <c r="I773" s="20"/>
      <c r="J773" s="20"/>
      <c r="K773" s="20"/>
      <c r="L773" s="20"/>
      <c r="M773" s="20"/>
      <c r="N773" s="20"/>
      <c r="O773" s="20"/>
      <c r="P773" s="20"/>
      <c r="Q773" s="20"/>
      <c r="R773" s="20"/>
      <c r="S773" s="20"/>
      <c r="T773" s="20"/>
      <c r="U773" s="20"/>
      <c r="V773" s="20"/>
      <c r="W773" s="20"/>
      <c r="X773" s="20"/>
    </row>
    <row r="774" ht="13.5" customHeight="1" spans="1:24">
      <c r="A774" s="20"/>
      <c r="B774" s="20"/>
      <c r="C774" s="20"/>
      <c r="D774" s="20"/>
      <c r="E774" s="20"/>
      <c r="F774" s="20"/>
      <c r="G774" s="20"/>
      <c r="H774" s="20"/>
      <c r="I774" s="20"/>
      <c r="J774" s="20"/>
      <c r="K774" s="20"/>
      <c r="L774" s="20"/>
      <c r="M774" s="20"/>
      <c r="N774" s="20"/>
      <c r="O774" s="20"/>
      <c r="P774" s="20"/>
      <c r="Q774" s="20"/>
      <c r="R774" s="20"/>
      <c r="S774" s="20"/>
      <c r="T774" s="20"/>
      <c r="U774" s="20"/>
      <c r="V774" s="20"/>
      <c r="W774" s="20"/>
      <c r="X774" s="20"/>
    </row>
    <row r="775" ht="13.5" customHeight="1" spans="1:24">
      <c r="A775" s="20"/>
      <c r="B775" s="20"/>
      <c r="C775" s="20"/>
      <c r="D775" s="20"/>
      <c r="E775" s="20"/>
      <c r="F775" s="20"/>
      <c r="G775" s="20"/>
      <c r="H775" s="20"/>
      <c r="I775" s="20"/>
      <c r="J775" s="20"/>
      <c r="K775" s="20"/>
      <c r="L775" s="20"/>
      <c r="M775" s="20"/>
      <c r="N775" s="20"/>
      <c r="O775" s="20"/>
      <c r="P775" s="20"/>
      <c r="Q775" s="20"/>
      <c r="R775" s="20"/>
      <c r="S775" s="20"/>
      <c r="T775" s="20"/>
      <c r="U775" s="20"/>
      <c r="V775" s="20"/>
      <c r="W775" s="20"/>
      <c r="X775" s="20"/>
    </row>
    <row r="776" ht="13.5" customHeight="1" spans="1:24">
      <c r="A776" s="20"/>
      <c r="B776" s="20"/>
      <c r="C776" s="20"/>
      <c r="D776" s="20"/>
      <c r="E776" s="20"/>
      <c r="F776" s="20"/>
      <c r="G776" s="20"/>
      <c r="H776" s="20"/>
      <c r="I776" s="20"/>
      <c r="J776" s="20"/>
      <c r="K776" s="20"/>
      <c r="L776" s="20"/>
      <c r="M776" s="20"/>
      <c r="N776" s="20"/>
      <c r="O776" s="20"/>
      <c r="P776" s="20"/>
      <c r="Q776" s="20"/>
      <c r="R776" s="20"/>
      <c r="S776" s="20"/>
      <c r="T776" s="20"/>
      <c r="U776" s="20"/>
      <c r="V776" s="20"/>
      <c r="W776" s="20"/>
      <c r="X776" s="20"/>
    </row>
    <row r="777" ht="13.5" customHeight="1" spans="1:24">
      <c r="A777" s="20"/>
      <c r="B777" s="20"/>
      <c r="C777" s="20"/>
      <c r="D777" s="20"/>
      <c r="E777" s="20"/>
      <c r="F777" s="20"/>
      <c r="G777" s="20"/>
      <c r="H777" s="20"/>
      <c r="I777" s="20"/>
      <c r="J777" s="20"/>
      <c r="K777" s="20"/>
      <c r="L777" s="20"/>
      <c r="M777" s="20"/>
      <c r="N777" s="20"/>
      <c r="O777" s="20"/>
      <c r="P777" s="20"/>
      <c r="Q777" s="20"/>
      <c r="R777" s="20"/>
      <c r="S777" s="20"/>
      <c r="T777" s="20"/>
      <c r="U777" s="20"/>
      <c r="V777" s="20"/>
      <c r="W777" s="20"/>
      <c r="X777" s="20"/>
    </row>
    <row r="778" ht="13.5" customHeight="1" spans="1:24">
      <c r="A778" s="20"/>
      <c r="B778" s="20"/>
      <c r="C778" s="20"/>
      <c r="D778" s="20"/>
      <c r="E778" s="20"/>
      <c r="F778" s="20"/>
      <c r="G778" s="20"/>
      <c r="H778" s="20"/>
      <c r="I778" s="20"/>
      <c r="J778" s="20"/>
      <c r="K778" s="20"/>
      <c r="L778" s="20"/>
      <c r="M778" s="20"/>
      <c r="N778" s="20"/>
      <c r="O778" s="20"/>
      <c r="P778" s="20"/>
      <c r="Q778" s="20"/>
      <c r="R778" s="20"/>
      <c r="S778" s="20"/>
      <c r="T778" s="20"/>
      <c r="U778" s="20"/>
      <c r="V778" s="20"/>
      <c r="W778" s="20"/>
      <c r="X778" s="20"/>
    </row>
    <row r="779" ht="13.5" customHeight="1" spans="1:24">
      <c r="A779" s="20"/>
      <c r="B779" s="20"/>
      <c r="C779" s="20"/>
      <c r="D779" s="20"/>
      <c r="E779" s="20"/>
      <c r="F779" s="20"/>
      <c r="G779" s="20"/>
      <c r="H779" s="20"/>
      <c r="I779" s="20"/>
      <c r="J779" s="20"/>
      <c r="K779" s="20"/>
      <c r="L779" s="20"/>
      <c r="M779" s="20"/>
      <c r="N779" s="20"/>
      <c r="O779" s="20"/>
      <c r="P779" s="20"/>
      <c r="Q779" s="20"/>
      <c r="R779" s="20"/>
      <c r="S779" s="20"/>
      <c r="T779" s="20"/>
      <c r="U779" s="20"/>
      <c r="V779" s="20"/>
      <c r="W779" s="20"/>
      <c r="X779" s="20"/>
    </row>
    <row r="780" ht="13.5" customHeight="1" spans="1:24">
      <c r="A780" s="20"/>
      <c r="B780" s="20"/>
      <c r="C780" s="20"/>
      <c r="D780" s="20"/>
      <c r="E780" s="20"/>
      <c r="F780" s="20"/>
      <c r="G780" s="20"/>
      <c r="H780" s="20"/>
      <c r="I780" s="20"/>
      <c r="J780" s="20"/>
      <c r="K780" s="20"/>
      <c r="L780" s="20"/>
      <c r="M780" s="20"/>
      <c r="N780" s="20"/>
      <c r="O780" s="20"/>
      <c r="P780" s="20"/>
      <c r="Q780" s="20"/>
      <c r="R780" s="20"/>
      <c r="S780" s="20"/>
      <c r="T780" s="20"/>
      <c r="U780" s="20"/>
      <c r="V780" s="20"/>
      <c r="W780" s="20"/>
      <c r="X780" s="20"/>
    </row>
    <row r="781" ht="13.5" customHeight="1" spans="1:24">
      <c r="A781" s="20"/>
      <c r="B781" s="20"/>
      <c r="C781" s="20"/>
      <c r="D781" s="20"/>
      <c r="E781" s="20"/>
      <c r="F781" s="20"/>
      <c r="G781" s="20"/>
      <c r="H781" s="20"/>
      <c r="I781" s="20"/>
      <c r="J781" s="20"/>
      <c r="K781" s="20"/>
      <c r="L781" s="20"/>
      <c r="M781" s="20"/>
      <c r="N781" s="20"/>
      <c r="O781" s="20"/>
      <c r="P781" s="20"/>
      <c r="Q781" s="20"/>
      <c r="R781" s="20"/>
      <c r="S781" s="20"/>
      <c r="T781" s="20"/>
      <c r="U781" s="20"/>
      <c r="V781" s="20"/>
      <c r="W781" s="20"/>
      <c r="X781" s="20"/>
    </row>
    <row r="782" ht="13.5" customHeight="1" spans="1:24">
      <c r="A782" s="20"/>
      <c r="B782" s="20"/>
      <c r="C782" s="20"/>
      <c r="D782" s="20"/>
      <c r="E782" s="20"/>
      <c r="F782" s="20"/>
      <c r="G782" s="20"/>
      <c r="H782" s="20"/>
      <c r="I782" s="20"/>
      <c r="J782" s="20"/>
      <c r="K782" s="20"/>
      <c r="L782" s="20"/>
      <c r="M782" s="20"/>
      <c r="N782" s="20"/>
      <c r="O782" s="20"/>
      <c r="P782" s="20"/>
      <c r="Q782" s="20"/>
      <c r="R782" s="20"/>
      <c r="S782" s="20"/>
      <c r="T782" s="20"/>
      <c r="U782" s="20"/>
      <c r="V782" s="20"/>
      <c r="W782" s="20"/>
      <c r="X782" s="20"/>
    </row>
    <row r="783" ht="13.5" customHeight="1" spans="1:24">
      <c r="A783" s="20"/>
      <c r="B783" s="20"/>
      <c r="C783" s="20"/>
      <c r="D783" s="20"/>
      <c r="E783" s="20"/>
      <c r="F783" s="20"/>
      <c r="G783" s="20"/>
      <c r="H783" s="20"/>
      <c r="I783" s="20"/>
      <c r="J783" s="20"/>
      <c r="K783" s="20"/>
      <c r="L783" s="20"/>
      <c r="M783" s="20"/>
      <c r="N783" s="20"/>
      <c r="O783" s="20"/>
      <c r="P783" s="20"/>
      <c r="Q783" s="20"/>
      <c r="R783" s="20"/>
      <c r="S783" s="20"/>
      <c r="T783" s="20"/>
      <c r="U783" s="20"/>
      <c r="V783" s="20"/>
      <c r="W783" s="20"/>
      <c r="X783" s="20"/>
    </row>
    <row r="784" ht="13.5" customHeight="1" spans="1:24">
      <c r="A784" s="20"/>
      <c r="B784" s="20"/>
      <c r="C784" s="20"/>
      <c r="D784" s="20"/>
      <c r="E784" s="20"/>
      <c r="F784" s="20"/>
      <c r="G784" s="20"/>
      <c r="H784" s="20"/>
      <c r="I784" s="20"/>
      <c r="J784" s="20"/>
      <c r="K784" s="20"/>
      <c r="L784" s="20"/>
      <c r="M784" s="20"/>
      <c r="N784" s="20"/>
      <c r="O784" s="20"/>
      <c r="P784" s="20"/>
      <c r="Q784" s="20"/>
      <c r="R784" s="20"/>
      <c r="S784" s="20"/>
      <c r="T784" s="20"/>
      <c r="U784" s="20"/>
      <c r="V784" s="20"/>
      <c r="W784" s="20"/>
      <c r="X784" s="20"/>
    </row>
    <row r="785" ht="13.5" customHeight="1" spans="1:24">
      <c r="A785" s="20"/>
      <c r="B785" s="20"/>
      <c r="C785" s="20"/>
      <c r="D785" s="20"/>
      <c r="E785" s="20"/>
      <c r="F785" s="20"/>
      <c r="G785" s="20"/>
      <c r="H785" s="20"/>
      <c r="I785" s="20"/>
      <c r="J785" s="20"/>
      <c r="K785" s="20"/>
      <c r="L785" s="20"/>
      <c r="M785" s="20"/>
      <c r="N785" s="20"/>
      <c r="O785" s="20"/>
      <c r="P785" s="20"/>
      <c r="Q785" s="20"/>
      <c r="R785" s="20"/>
      <c r="S785" s="20"/>
      <c r="T785" s="20"/>
      <c r="U785" s="20"/>
      <c r="V785" s="20"/>
      <c r="W785" s="20"/>
      <c r="X785" s="20"/>
    </row>
    <row r="786" ht="13.5" customHeight="1" spans="1:24">
      <c r="A786" s="20"/>
      <c r="B786" s="20"/>
      <c r="C786" s="20"/>
      <c r="D786" s="20"/>
      <c r="E786" s="20"/>
      <c r="F786" s="20"/>
      <c r="G786" s="20"/>
      <c r="H786" s="20"/>
      <c r="I786" s="20"/>
      <c r="J786" s="20"/>
      <c r="K786" s="20"/>
      <c r="L786" s="20"/>
      <c r="M786" s="20"/>
      <c r="N786" s="20"/>
      <c r="O786" s="20"/>
      <c r="P786" s="20"/>
      <c r="Q786" s="20"/>
      <c r="R786" s="20"/>
      <c r="S786" s="20"/>
      <c r="T786" s="20"/>
      <c r="U786" s="20"/>
      <c r="V786" s="20"/>
      <c r="W786" s="20"/>
      <c r="X786" s="20"/>
    </row>
    <row r="787" ht="13.5" customHeight="1" spans="1:24">
      <c r="A787" s="20"/>
      <c r="B787" s="20"/>
      <c r="C787" s="20"/>
      <c r="D787" s="20"/>
      <c r="E787" s="20"/>
      <c r="F787" s="20"/>
      <c r="G787" s="20"/>
      <c r="H787" s="20"/>
      <c r="I787" s="20"/>
      <c r="J787" s="20"/>
      <c r="K787" s="20"/>
      <c r="L787" s="20"/>
      <c r="M787" s="20"/>
      <c r="N787" s="20"/>
      <c r="O787" s="20"/>
      <c r="P787" s="20"/>
      <c r="Q787" s="20"/>
      <c r="R787" s="20"/>
      <c r="S787" s="20"/>
      <c r="T787" s="20"/>
      <c r="U787" s="20"/>
      <c r="V787" s="20"/>
      <c r="W787" s="20"/>
      <c r="X787" s="20"/>
    </row>
    <row r="788" ht="13.5" customHeight="1" spans="1:24">
      <c r="A788" s="20"/>
      <c r="B788" s="20"/>
      <c r="C788" s="20"/>
      <c r="D788" s="20"/>
      <c r="E788" s="20"/>
      <c r="F788" s="20"/>
      <c r="G788" s="20"/>
      <c r="H788" s="20"/>
      <c r="I788" s="20"/>
      <c r="J788" s="20"/>
      <c r="K788" s="20"/>
      <c r="L788" s="20"/>
      <c r="M788" s="20"/>
      <c r="N788" s="20"/>
      <c r="O788" s="20"/>
      <c r="P788" s="20"/>
      <c r="Q788" s="20"/>
      <c r="R788" s="20"/>
      <c r="S788" s="20"/>
      <c r="T788" s="20"/>
      <c r="U788" s="20"/>
      <c r="V788" s="20"/>
      <c r="W788" s="20"/>
      <c r="X788" s="20"/>
    </row>
    <row r="789" ht="13.5" customHeight="1" spans="1:24">
      <c r="A789" s="20"/>
      <c r="B789" s="20"/>
      <c r="C789" s="20"/>
      <c r="D789" s="20"/>
      <c r="E789" s="20"/>
      <c r="F789" s="20"/>
      <c r="G789" s="20"/>
      <c r="H789" s="20"/>
      <c r="I789" s="20"/>
      <c r="J789" s="20"/>
      <c r="K789" s="20"/>
      <c r="L789" s="20"/>
      <c r="M789" s="20"/>
      <c r="N789" s="20"/>
      <c r="O789" s="20"/>
      <c r="P789" s="20"/>
      <c r="Q789" s="20"/>
      <c r="R789" s="20"/>
      <c r="S789" s="20"/>
      <c r="T789" s="20"/>
      <c r="U789" s="20"/>
      <c r="V789" s="20"/>
      <c r="W789" s="20"/>
      <c r="X789" s="20"/>
    </row>
    <row r="790" ht="13.5" customHeight="1" spans="1:24">
      <c r="A790" s="20"/>
      <c r="B790" s="20"/>
      <c r="C790" s="20"/>
      <c r="D790" s="20"/>
      <c r="E790" s="20"/>
      <c r="F790" s="20"/>
      <c r="G790" s="20"/>
      <c r="H790" s="20"/>
      <c r="I790" s="20"/>
      <c r="J790" s="20"/>
      <c r="K790" s="20"/>
      <c r="L790" s="20"/>
      <c r="M790" s="20"/>
      <c r="N790" s="20"/>
      <c r="O790" s="20"/>
      <c r="P790" s="20"/>
      <c r="Q790" s="20"/>
      <c r="R790" s="20"/>
      <c r="S790" s="20"/>
      <c r="T790" s="20"/>
      <c r="U790" s="20"/>
      <c r="V790" s="20"/>
      <c r="W790" s="20"/>
      <c r="X790" s="20"/>
    </row>
    <row r="791" ht="13.5" customHeight="1" spans="1:24">
      <c r="A791" s="20"/>
      <c r="B791" s="20"/>
      <c r="C791" s="20"/>
      <c r="D791" s="20"/>
      <c r="E791" s="20"/>
      <c r="F791" s="20"/>
      <c r="G791" s="20"/>
      <c r="H791" s="20"/>
      <c r="I791" s="20"/>
      <c r="J791" s="20"/>
      <c r="K791" s="20"/>
      <c r="L791" s="20"/>
      <c r="M791" s="20"/>
      <c r="N791" s="20"/>
      <c r="O791" s="20"/>
      <c r="P791" s="20"/>
      <c r="Q791" s="20"/>
      <c r="R791" s="20"/>
      <c r="S791" s="20"/>
      <c r="T791" s="20"/>
      <c r="U791" s="20"/>
      <c r="V791" s="20"/>
      <c r="W791" s="20"/>
      <c r="X791" s="20"/>
    </row>
    <row r="792" ht="13.5" customHeight="1" spans="1:24">
      <c r="A792" s="20"/>
      <c r="B792" s="20"/>
      <c r="C792" s="20"/>
      <c r="D792" s="20"/>
      <c r="E792" s="20"/>
      <c r="F792" s="20"/>
      <c r="G792" s="20"/>
      <c r="H792" s="20"/>
      <c r="I792" s="20"/>
      <c r="J792" s="20"/>
      <c r="K792" s="20"/>
      <c r="L792" s="20"/>
      <c r="M792" s="20"/>
      <c r="N792" s="20"/>
      <c r="O792" s="20"/>
      <c r="P792" s="20"/>
      <c r="Q792" s="20"/>
      <c r="R792" s="20"/>
      <c r="S792" s="20"/>
      <c r="T792" s="20"/>
      <c r="U792" s="20"/>
      <c r="V792" s="20"/>
      <c r="W792" s="20"/>
      <c r="X792" s="20"/>
    </row>
    <row r="793" ht="13.5" customHeight="1" spans="1:24">
      <c r="A793" s="20"/>
      <c r="B793" s="20"/>
      <c r="C793" s="20"/>
      <c r="D793" s="20"/>
      <c r="E793" s="20"/>
      <c r="F793" s="20"/>
      <c r="G793" s="20"/>
      <c r="H793" s="20"/>
      <c r="I793" s="20"/>
      <c r="J793" s="20"/>
      <c r="K793" s="20"/>
      <c r="L793" s="20"/>
      <c r="M793" s="20"/>
      <c r="N793" s="20"/>
      <c r="O793" s="20"/>
      <c r="P793" s="20"/>
      <c r="Q793" s="20"/>
      <c r="R793" s="20"/>
      <c r="S793" s="20"/>
      <c r="T793" s="20"/>
      <c r="U793" s="20"/>
      <c r="V793" s="20"/>
      <c r="W793" s="20"/>
      <c r="X793" s="20"/>
    </row>
    <row r="794" ht="13.5" customHeight="1" spans="1:24">
      <c r="A794" s="20"/>
      <c r="B794" s="20"/>
      <c r="C794" s="20"/>
      <c r="D794" s="20"/>
      <c r="E794" s="20"/>
      <c r="F794" s="20"/>
      <c r="G794" s="20"/>
      <c r="H794" s="20"/>
      <c r="I794" s="20"/>
      <c r="J794" s="20"/>
      <c r="K794" s="20"/>
      <c r="L794" s="20"/>
      <c r="M794" s="20"/>
      <c r="N794" s="20"/>
      <c r="O794" s="20"/>
      <c r="P794" s="20"/>
      <c r="Q794" s="20"/>
      <c r="R794" s="20"/>
      <c r="S794" s="20"/>
      <c r="T794" s="20"/>
      <c r="U794" s="20"/>
      <c r="V794" s="20"/>
      <c r="W794" s="20"/>
      <c r="X794" s="20"/>
    </row>
    <row r="795" ht="13.5" customHeight="1" spans="1:24">
      <c r="A795" s="20"/>
      <c r="B795" s="20"/>
      <c r="C795" s="20"/>
      <c r="D795" s="20"/>
      <c r="E795" s="20"/>
      <c r="F795" s="20"/>
      <c r="G795" s="20"/>
      <c r="H795" s="20"/>
      <c r="I795" s="20"/>
      <c r="J795" s="20"/>
      <c r="K795" s="20"/>
      <c r="L795" s="20"/>
      <c r="M795" s="20"/>
      <c r="N795" s="20"/>
      <c r="O795" s="20"/>
      <c r="P795" s="20"/>
      <c r="Q795" s="20"/>
      <c r="R795" s="20"/>
      <c r="S795" s="20"/>
      <c r="T795" s="20"/>
      <c r="U795" s="20"/>
      <c r="V795" s="20"/>
      <c r="W795" s="20"/>
      <c r="X795" s="20"/>
    </row>
    <row r="796" ht="13.5" customHeight="1" spans="1:24">
      <c r="A796" s="20"/>
      <c r="B796" s="20"/>
      <c r="C796" s="20"/>
      <c r="D796" s="20"/>
      <c r="E796" s="20"/>
      <c r="F796" s="20"/>
      <c r="G796" s="20"/>
      <c r="H796" s="20"/>
      <c r="I796" s="20"/>
      <c r="J796" s="20"/>
      <c r="K796" s="20"/>
      <c r="L796" s="20"/>
      <c r="M796" s="20"/>
      <c r="N796" s="20"/>
      <c r="O796" s="20"/>
      <c r="P796" s="20"/>
      <c r="Q796" s="20"/>
      <c r="R796" s="20"/>
      <c r="S796" s="20"/>
      <c r="T796" s="20"/>
      <c r="U796" s="20"/>
      <c r="V796" s="20"/>
      <c r="W796" s="20"/>
      <c r="X796" s="20"/>
    </row>
    <row r="797" ht="13.5" customHeight="1" spans="1:24">
      <c r="A797" s="20"/>
      <c r="B797" s="20"/>
      <c r="C797" s="20"/>
      <c r="D797" s="20"/>
      <c r="E797" s="20"/>
      <c r="F797" s="20"/>
      <c r="G797" s="20"/>
      <c r="H797" s="20"/>
      <c r="I797" s="20"/>
      <c r="J797" s="20"/>
      <c r="K797" s="20"/>
      <c r="L797" s="20"/>
      <c r="M797" s="20"/>
      <c r="N797" s="20"/>
      <c r="O797" s="20"/>
      <c r="P797" s="20"/>
      <c r="Q797" s="20"/>
      <c r="R797" s="20"/>
      <c r="S797" s="20"/>
      <c r="T797" s="20"/>
      <c r="U797" s="20"/>
      <c r="V797" s="20"/>
      <c r="W797" s="20"/>
      <c r="X797" s="20"/>
    </row>
    <row r="798" ht="13.5" customHeight="1" spans="1:24">
      <c r="A798" s="20"/>
      <c r="B798" s="20"/>
      <c r="C798" s="20"/>
      <c r="D798" s="20"/>
      <c r="E798" s="20"/>
      <c r="F798" s="20"/>
      <c r="G798" s="20"/>
      <c r="H798" s="20"/>
      <c r="I798" s="20"/>
      <c r="J798" s="20"/>
      <c r="K798" s="20"/>
      <c r="L798" s="20"/>
      <c r="M798" s="20"/>
      <c r="N798" s="20"/>
      <c r="O798" s="20"/>
      <c r="P798" s="20"/>
      <c r="Q798" s="20"/>
      <c r="R798" s="20"/>
      <c r="S798" s="20"/>
      <c r="T798" s="20"/>
      <c r="U798" s="20"/>
      <c r="V798" s="20"/>
      <c r="W798" s="20"/>
      <c r="X798" s="20"/>
    </row>
    <row r="799" ht="13.5" customHeight="1" spans="1:24">
      <c r="A799" s="20"/>
      <c r="B799" s="20"/>
      <c r="C799" s="20"/>
      <c r="D799" s="20"/>
      <c r="E799" s="20"/>
      <c r="F799" s="20"/>
      <c r="G799" s="20"/>
      <c r="H799" s="20"/>
      <c r="I799" s="20"/>
      <c r="J799" s="20"/>
      <c r="K799" s="20"/>
      <c r="L799" s="20"/>
      <c r="M799" s="20"/>
      <c r="N799" s="20"/>
      <c r="O799" s="20"/>
      <c r="P799" s="20"/>
      <c r="Q799" s="20"/>
      <c r="R799" s="20"/>
      <c r="S799" s="20"/>
      <c r="T799" s="20"/>
      <c r="U799" s="20"/>
      <c r="V799" s="20"/>
      <c r="W799" s="20"/>
      <c r="X799" s="20"/>
    </row>
    <row r="800" ht="13.5" customHeight="1" spans="1:24">
      <c r="A800" s="20"/>
      <c r="B800" s="20"/>
      <c r="C800" s="20"/>
      <c r="D800" s="20"/>
      <c r="E800" s="20"/>
      <c r="F800" s="20"/>
      <c r="G800" s="20"/>
      <c r="H800" s="20"/>
      <c r="I800" s="20"/>
      <c r="J800" s="20"/>
      <c r="K800" s="20"/>
      <c r="L800" s="20"/>
      <c r="M800" s="20"/>
      <c r="N800" s="20"/>
      <c r="O800" s="20"/>
      <c r="P800" s="20"/>
      <c r="Q800" s="20"/>
      <c r="R800" s="20"/>
      <c r="S800" s="20"/>
      <c r="T800" s="20"/>
      <c r="U800" s="20"/>
      <c r="V800" s="20"/>
      <c r="W800" s="20"/>
      <c r="X800" s="20"/>
    </row>
    <row r="801" ht="13.5" customHeight="1" spans="1:24">
      <c r="A801" s="20"/>
      <c r="B801" s="20"/>
      <c r="C801" s="20"/>
      <c r="D801" s="20"/>
      <c r="E801" s="20"/>
      <c r="F801" s="20"/>
      <c r="G801" s="20"/>
      <c r="H801" s="20"/>
      <c r="I801" s="20"/>
      <c r="J801" s="20"/>
      <c r="K801" s="20"/>
      <c r="L801" s="20"/>
      <c r="M801" s="20"/>
      <c r="N801" s="20"/>
      <c r="O801" s="20"/>
      <c r="P801" s="20"/>
      <c r="Q801" s="20"/>
      <c r="R801" s="20"/>
      <c r="S801" s="20"/>
      <c r="T801" s="20"/>
      <c r="U801" s="20"/>
      <c r="V801" s="20"/>
      <c r="W801" s="20"/>
      <c r="X801" s="20"/>
    </row>
    <row r="802" ht="13.5" customHeight="1" spans="1:24">
      <c r="A802" s="20"/>
      <c r="B802" s="20"/>
      <c r="C802" s="20"/>
      <c r="D802" s="20"/>
      <c r="E802" s="20"/>
      <c r="F802" s="20"/>
      <c r="G802" s="20"/>
      <c r="H802" s="20"/>
      <c r="I802" s="20"/>
      <c r="J802" s="20"/>
      <c r="K802" s="20"/>
      <c r="L802" s="20"/>
      <c r="M802" s="20"/>
      <c r="N802" s="20"/>
      <c r="O802" s="20"/>
      <c r="P802" s="20"/>
      <c r="Q802" s="20"/>
      <c r="R802" s="20"/>
      <c r="S802" s="20"/>
      <c r="T802" s="20"/>
      <c r="U802" s="20"/>
      <c r="V802" s="20"/>
      <c r="W802" s="20"/>
      <c r="X802" s="20"/>
    </row>
    <row r="803" ht="13.5" customHeight="1" spans="1:24">
      <c r="A803" s="20"/>
      <c r="B803" s="20"/>
      <c r="C803" s="20"/>
      <c r="D803" s="20"/>
      <c r="E803" s="20"/>
      <c r="F803" s="20"/>
      <c r="G803" s="20"/>
      <c r="H803" s="20"/>
      <c r="I803" s="20"/>
      <c r="J803" s="20"/>
      <c r="K803" s="20"/>
      <c r="L803" s="20"/>
      <c r="M803" s="20"/>
      <c r="N803" s="20"/>
      <c r="O803" s="20"/>
      <c r="P803" s="20"/>
      <c r="Q803" s="20"/>
      <c r="R803" s="20"/>
      <c r="S803" s="20"/>
      <c r="T803" s="20"/>
      <c r="U803" s="20"/>
      <c r="V803" s="20"/>
      <c r="W803" s="20"/>
      <c r="X803" s="20"/>
    </row>
    <row r="804" ht="13.5" customHeight="1" spans="1:24">
      <c r="A804" s="20"/>
      <c r="B804" s="20"/>
      <c r="C804" s="20"/>
      <c r="D804" s="20"/>
      <c r="E804" s="20"/>
      <c r="F804" s="20"/>
      <c r="G804" s="20"/>
      <c r="H804" s="20"/>
      <c r="I804" s="20"/>
      <c r="J804" s="20"/>
      <c r="K804" s="20"/>
      <c r="L804" s="20"/>
      <c r="M804" s="20"/>
      <c r="N804" s="20"/>
      <c r="O804" s="20"/>
      <c r="P804" s="20"/>
      <c r="Q804" s="20"/>
      <c r="R804" s="20"/>
      <c r="S804" s="20"/>
      <c r="T804" s="20"/>
      <c r="U804" s="20"/>
      <c r="V804" s="20"/>
      <c r="W804" s="20"/>
      <c r="X804" s="20"/>
    </row>
    <row r="805" ht="13.5" customHeight="1" spans="1:24">
      <c r="A805" s="20"/>
      <c r="B805" s="20"/>
      <c r="C805" s="20"/>
      <c r="D805" s="20"/>
      <c r="E805" s="20"/>
      <c r="F805" s="20"/>
      <c r="G805" s="20"/>
      <c r="H805" s="20"/>
      <c r="I805" s="20"/>
      <c r="J805" s="20"/>
      <c r="K805" s="20"/>
      <c r="L805" s="20"/>
      <c r="M805" s="20"/>
      <c r="N805" s="20"/>
      <c r="O805" s="20"/>
      <c r="P805" s="20"/>
      <c r="Q805" s="20"/>
      <c r="R805" s="20"/>
      <c r="S805" s="20"/>
      <c r="T805" s="20"/>
      <c r="U805" s="20"/>
      <c r="V805" s="20"/>
      <c r="W805" s="20"/>
      <c r="X805" s="20"/>
    </row>
    <row r="806" ht="13.5" customHeight="1" spans="1:24">
      <c r="A806" s="20"/>
      <c r="B806" s="20"/>
      <c r="C806" s="20"/>
      <c r="D806" s="20"/>
      <c r="E806" s="20"/>
      <c r="F806" s="20"/>
      <c r="G806" s="20"/>
      <c r="H806" s="20"/>
      <c r="I806" s="20"/>
      <c r="J806" s="20"/>
      <c r="K806" s="20"/>
      <c r="L806" s="20"/>
      <c r="M806" s="20"/>
      <c r="N806" s="20"/>
      <c r="O806" s="20"/>
      <c r="P806" s="20"/>
      <c r="Q806" s="20"/>
      <c r="R806" s="20"/>
      <c r="S806" s="20"/>
      <c r="T806" s="20"/>
      <c r="U806" s="20"/>
      <c r="V806" s="20"/>
      <c r="W806" s="20"/>
      <c r="X806" s="20"/>
    </row>
    <row r="807" ht="13.5" customHeight="1" spans="1:24">
      <c r="A807" s="20"/>
      <c r="B807" s="20"/>
      <c r="C807" s="20"/>
      <c r="D807" s="20"/>
      <c r="E807" s="20"/>
      <c r="F807" s="20"/>
      <c r="G807" s="20"/>
      <c r="H807" s="20"/>
      <c r="I807" s="20"/>
      <c r="J807" s="20"/>
      <c r="K807" s="20"/>
      <c r="L807" s="20"/>
      <c r="M807" s="20"/>
      <c r="N807" s="20"/>
      <c r="O807" s="20"/>
      <c r="P807" s="20"/>
      <c r="Q807" s="20"/>
      <c r="R807" s="20"/>
      <c r="S807" s="20"/>
      <c r="T807" s="20"/>
      <c r="U807" s="20"/>
      <c r="V807" s="20"/>
      <c r="W807" s="20"/>
      <c r="X807" s="20"/>
    </row>
    <row r="808" ht="13.5" customHeight="1" spans="1:24">
      <c r="A808" s="20"/>
      <c r="B808" s="20"/>
      <c r="C808" s="20"/>
      <c r="D808" s="20"/>
      <c r="E808" s="20"/>
      <c r="F808" s="20"/>
      <c r="G808" s="20"/>
      <c r="H808" s="20"/>
      <c r="I808" s="20"/>
      <c r="J808" s="20"/>
      <c r="K808" s="20"/>
      <c r="L808" s="20"/>
      <c r="M808" s="20"/>
      <c r="N808" s="20"/>
      <c r="O808" s="20"/>
      <c r="P808" s="20"/>
      <c r="Q808" s="20"/>
      <c r="R808" s="20"/>
      <c r="S808" s="20"/>
      <c r="T808" s="20"/>
      <c r="U808" s="20"/>
      <c r="V808" s="20"/>
      <c r="W808" s="20"/>
      <c r="X808" s="20"/>
    </row>
    <row r="809" ht="13.5" customHeight="1" spans="1:24">
      <c r="A809" s="20"/>
      <c r="B809" s="20"/>
      <c r="C809" s="20"/>
      <c r="D809" s="20"/>
      <c r="E809" s="20"/>
      <c r="F809" s="20"/>
      <c r="G809" s="20"/>
      <c r="H809" s="20"/>
      <c r="I809" s="20"/>
      <c r="J809" s="20"/>
      <c r="K809" s="20"/>
      <c r="L809" s="20"/>
      <c r="M809" s="20"/>
      <c r="N809" s="20"/>
      <c r="O809" s="20"/>
      <c r="P809" s="20"/>
      <c r="Q809" s="20"/>
      <c r="R809" s="20"/>
      <c r="S809" s="20"/>
      <c r="T809" s="20"/>
      <c r="U809" s="20"/>
      <c r="V809" s="20"/>
      <c r="W809" s="20"/>
      <c r="X809" s="20"/>
    </row>
    <row r="810" ht="13.5" customHeight="1" spans="1:24">
      <c r="A810" s="20"/>
      <c r="B810" s="20"/>
      <c r="C810" s="20"/>
      <c r="D810" s="20"/>
      <c r="E810" s="20"/>
      <c r="F810" s="20"/>
      <c r="G810" s="20"/>
      <c r="H810" s="20"/>
      <c r="I810" s="20"/>
      <c r="J810" s="20"/>
      <c r="K810" s="20"/>
      <c r="L810" s="20"/>
      <c r="M810" s="20"/>
      <c r="N810" s="20"/>
      <c r="O810" s="20"/>
      <c r="P810" s="20"/>
      <c r="Q810" s="20"/>
      <c r="R810" s="20"/>
      <c r="S810" s="20"/>
      <c r="T810" s="20"/>
      <c r="U810" s="20"/>
      <c r="V810" s="20"/>
      <c r="W810" s="20"/>
      <c r="X810" s="20"/>
    </row>
    <row r="811" ht="13.5" customHeight="1" spans="1:24">
      <c r="A811" s="20"/>
      <c r="B811" s="20"/>
      <c r="C811" s="20"/>
      <c r="D811" s="20"/>
      <c r="E811" s="20"/>
      <c r="F811" s="20"/>
      <c r="G811" s="20"/>
      <c r="H811" s="20"/>
      <c r="I811" s="20"/>
      <c r="J811" s="20"/>
      <c r="K811" s="20"/>
      <c r="L811" s="20"/>
      <c r="M811" s="20"/>
      <c r="N811" s="20"/>
      <c r="O811" s="20"/>
      <c r="P811" s="20"/>
      <c r="Q811" s="20"/>
      <c r="R811" s="20"/>
      <c r="S811" s="20"/>
      <c r="T811" s="20"/>
      <c r="U811" s="20"/>
      <c r="V811" s="20"/>
      <c r="W811" s="20"/>
      <c r="X811" s="20"/>
    </row>
    <row r="812" ht="13.5" customHeight="1" spans="1:24">
      <c r="A812" s="20"/>
      <c r="B812" s="20"/>
      <c r="C812" s="20"/>
      <c r="D812" s="20"/>
      <c r="E812" s="20"/>
      <c r="F812" s="20"/>
      <c r="G812" s="20"/>
      <c r="H812" s="20"/>
      <c r="I812" s="20"/>
      <c r="J812" s="20"/>
      <c r="K812" s="20"/>
      <c r="L812" s="20"/>
      <c r="M812" s="20"/>
      <c r="N812" s="20"/>
      <c r="O812" s="20"/>
      <c r="P812" s="20"/>
      <c r="Q812" s="20"/>
      <c r="R812" s="20"/>
      <c r="S812" s="20"/>
      <c r="T812" s="20"/>
      <c r="U812" s="20"/>
      <c r="V812" s="20"/>
      <c r="W812" s="20"/>
      <c r="X812" s="20"/>
    </row>
    <row r="813" ht="13.5" customHeight="1" spans="1:24">
      <c r="A813" s="20"/>
      <c r="B813" s="20"/>
      <c r="C813" s="20"/>
      <c r="D813" s="20"/>
      <c r="E813" s="20"/>
      <c r="F813" s="20"/>
      <c r="G813" s="20"/>
      <c r="H813" s="20"/>
      <c r="I813" s="20"/>
      <c r="J813" s="20"/>
      <c r="K813" s="20"/>
      <c r="L813" s="20"/>
      <c r="M813" s="20"/>
      <c r="N813" s="20"/>
      <c r="O813" s="20"/>
      <c r="P813" s="20"/>
      <c r="Q813" s="20"/>
      <c r="R813" s="20"/>
      <c r="S813" s="20"/>
      <c r="T813" s="20"/>
      <c r="U813" s="20"/>
      <c r="V813" s="20"/>
      <c r="W813" s="20"/>
      <c r="X813" s="20"/>
    </row>
    <row r="814" ht="13.5" customHeight="1" spans="1:24">
      <c r="A814" s="20"/>
      <c r="B814" s="20"/>
      <c r="C814" s="20"/>
      <c r="D814" s="20"/>
      <c r="E814" s="20"/>
      <c r="F814" s="20"/>
      <c r="G814" s="20"/>
      <c r="H814" s="20"/>
      <c r="I814" s="20"/>
      <c r="J814" s="20"/>
      <c r="K814" s="20"/>
      <c r="L814" s="20"/>
      <c r="M814" s="20"/>
      <c r="N814" s="20"/>
      <c r="O814" s="20"/>
      <c r="P814" s="20"/>
      <c r="Q814" s="20"/>
      <c r="R814" s="20"/>
      <c r="S814" s="20"/>
      <c r="T814" s="20"/>
      <c r="U814" s="20"/>
      <c r="V814" s="20"/>
      <c r="W814" s="20"/>
      <c r="X814" s="20"/>
    </row>
    <row r="815" ht="13.5" customHeight="1" spans="1:24">
      <c r="A815" s="20"/>
      <c r="B815" s="20"/>
      <c r="C815" s="20"/>
      <c r="D815" s="20"/>
      <c r="E815" s="20"/>
      <c r="F815" s="20"/>
      <c r="G815" s="20"/>
      <c r="H815" s="20"/>
      <c r="I815" s="20"/>
      <c r="J815" s="20"/>
      <c r="K815" s="20"/>
      <c r="L815" s="20"/>
      <c r="M815" s="20"/>
      <c r="N815" s="20"/>
      <c r="O815" s="20"/>
      <c r="P815" s="20"/>
      <c r="Q815" s="20"/>
      <c r="R815" s="20"/>
      <c r="S815" s="20"/>
      <c r="T815" s="20"/>
      <c r="U815" s="20"/>
      <c r="V815" s="20"/>
      <c r="W815" s="20"/>
      <c r="X815" s="20"/>
    </row>
    <row r="816" ht="13.5" customHeight="1" spans="1:24">
      <c r="A816" s="20"/>
      <c r="B816" s="20"/>
      <c r="C816" s="20"/>
      <c r="D816" s="20"/>
      <c r="E816" s="20"/>
      <c r="F816" s="20"/>
      <c r="G816" s="20"/>
      <c r="H816" s="20"/>
      <c r="I816" s="20"/>
      <c r="J816" s="20"/>
      <c r="K816" s="20"/>
      <c r="L816" s="20"/>
      <c r="M816" s="20"/>
      <c r="N816" s="20"/>
      <c r="O816" s="20"/>
      <c r="P816" s="20"/>
      <c r="Q816" s="20"/>
      <c r="R816" s="20"/>
      <c r="S816" s="20"/>
      <c r="T816" s="20"/>
      <c r="U816" s="20"/>
      <c r="V816" s="20"/>
      <c r="W816" s="20"/>
      <c r="X816" s="20"/>
    </row>
    <row r="817" ht="13.5" customHeight="1" spans="1:24">
      <c r="A817" s="20"/>
      <c r="B817" s="20"/>
      <c r="C817" s="20"/>
      <c r="D817" s="20"/>
      <c r="E817" s="20"/>
      <c r="F817" s="20"/>
      <c r="G817" s="20"/>
      <c r="H817" s="20"/>
      <c r="I817" s="20"/>
      <c r="J817" s="20"/>
      <c r="K817" s="20"/>
      <c r="L817" s="20"/>
      <c r="M817" s="20"/>
      <c r="N817" s="20"/>
      <c r="O817" s="20"/>
      <c r="P817" s="20"/>
      <c r="Q817" s="20"/>
      <c r="R817" s="20"/>
      <c r="S817" s="20"/>
      <c r="T817" s="20"/>
      <c r="U817" s="20"/>
      <c r="V817" s="20"/>
      <c r="W817" s="20"/>
      <c r="X817" s="20"/>
    </row>
    <row r="818" ht="13.5" customHeight="1" spans="1:24">
      <c r="A818" s="20"/>
      <c r="B818" s="20"/>
      <c r="C818" s="20"/>
      <c r="D818" s="20"/>
      <c r="E818" s="20"/>
      <c r="F818" s="20"/>
      <c r="G818" s="20"/>
      <c r="H818" s="20"/>
      <c r="I818" s="20"/>
      <c r="J818" s="20"/>
      <c r="K818" s="20"/>
      <c r="L818" s="20"/>
      <c r="M818" s="20"/>
      <c r="N818" s="20"/>
      <c r="O818" s="20"/>
      <c r="P818" s="20"/>
      <c r="Q818" s="20"/>
      <c r="R818" s="20"/>
      <c r="S818" s="20"/>
      <c r="T818" s="20"/>
      <c r="U818" s="20"/>
      <c r="V818" s="20"/>
      <c r="W818" s="20"/>
      <c r="X818" s="20"/>
    </row>
    <row r="819" ht="13.5" customHeight="1" spans="1:24">
      <c r="A819" s="20"/>
      <c r="B819" s="20"/>
      <c r="C819" s="20"/>
      <c r="D819" s="20"/>
      <c r="E819" s="20"/>
      <c r="F819" s="20"/>
      <c r="G819" s="20"/>
      <c r="H819" s="20"/>
      <c r="I819" s="20"/>
      <c r="J819" s="20"/>
      <c r="K819" s="20"/>
      <c r="L819" s="20"/>
      <c r="M819" s="20"/>
      <c r="N819" s="20"/>
      <c r="O819" s="20"/>
      <c r="P819" s="20"/>
      <c r="Q819" s="20"/>
      <c r="R819" s="20"/>
      <c r="S819" s="20"/>
      <c r="T819" s="20"/>
      <c r="U819" s="20"/>
      <c r="V819" s="20"/>
      <c r="W819" s="20"/>
      <c r="X819" s="20"/>
    </row>
    <row r="820" ht="13.5" customHeight="1" spans="1:24">
      <c r="A820" s="20"/>
      <c r="B820" s="20"/>
      <c r="C820" s="20"/>
      <c r="D820" s="20"/>
      <c r="E820" s="20"/>
      <c r="F820" s="20"/>
      <c r="G820" s="20"/>
      <c r="H820" s="20"/>
      <c r="I820" s="20"/>
      <c r="J820" s="20"/>
      <c r="K820" s="20"/>
      <c r="L820" s="20"/>
      <c r="M820" s="20"/>
      <c r="N820" s="20"/>
      <c r="O820" s="20"/>
      <c r="P820" s="20"/>
      <c r="Q820" s="20"/>
      <c r="R820" s="20"/>
      <c r="S820" s="20"/>
      <c r="T820" s="20"/>
      <c r="U820" s="20"/>
      <c r="V820" s="20"/>
      <c r="W820" s="20"/>
      <c r="X820" s="20"/>
    </row>
    <row r="821" ht="13.5" customHeight="1" spans="1:24">
      <c r="A821" s="20"/>
      <c r="B821" s="20"/>
      <c r="C821" s="20"/>
      <c r="D821" s="20"/>
      <c r="E821" s="20"/>
      <c r="F821" s="20"/>
      <c r="G821" s="20"/>
      <c r="H821" s="20"/>
      <c r="I821" s="20"/>
      <c r="J821" s="20"/>
      <c r="K821" s="20"/>
      <c r="L821" s="20"/>
      <c r="M821" s="20"/>
      <c r="N821" s="20"/>
      <c r="O821" s="20"/>
      <c r="P821" s="20"/>
      <c r="Q821" s="20"/>
      <c r="R821" s="20"/>
      <c r="S821" s="20"/>
      <c r="T821" s="20"/>
      <c r="U821" s="20"/>
      <c r="V821" s="20"/>
      <c r="W821" s="20"/>
      <c r="X821" s="20"/>
    </row>
    <row r="822" ht="13.5" customHeight="1" spans="1:24">
      <c r="A822" s="20"/>
      <c r="B822" s="20"/>
      <c r="C822" s="20"/>
      <c r="D822" s="20"/>
      <c r="E822" s="20"/>
      <c r="F822" s="20"/>
      <c r="G822" s="20"/>
      <c r="H822" s="20"/>
      <c r="I822" s="20"/>
      <c r="J822" s="20"/>
      <c r="K822" s="20"/>
      <c r="L822" s="20"/>
      <c r="M822" s="20"/>
      <c r="N822" s="20"/>
      <c r="O822" s="20"/>
      <c r="P822" s="20"/>
      <c r="Q822" s="20"/>
      <c r="R822" s="20"/>
      <c r="S822" s="20"/>
      <c r="T822" s="20"/>
      <c r="U822" s="20"/>
      <c r="V822" s="20"/>
      <c r="W822" s="20"/>
      <c r="X822" s="20"/>
    </row>
    <row r="823" ht="13.5" customHeight="1" spans="1:24">
      <c r="A823" s="20"/>
      <c r="B823" s="20"/>
      <c r="C823" s="20"/>
      <c r="D823" s="20"/>
      <c r="E823" s="20"/>
      <c r="F823" s="20"/>
      <c r="G823" s="20"/>
      <c r="H823" s="20"/>
      <c r="I823" s="20"/>
      <c r="J823" s="20"/>
      <c r="K823" s="20"/>
      <c r="L823" s="20"/>
      <c r="M823" s="20"/>
      <c r="N823" s="20"/>
      <c r="O823" s="20"/>
      <c r="P823" s="20"/>
      <c r="Q823" s="20"/>
      <c r="R823" s="20"/>
      <c r="S823" s="20"/>
      <c r="T823" s="20"/>
      <c r="U823" s="20"/>
      <c r="V823" s="20"/>
      <c r="W823" s="20"/>
      <c r="X823" s="20"/>
    </row>
    <row r="824" ht="13.5" customHeight="1" spans="1:24">
      <c r="A824" s="20"/>
      <c r="B824" s="20"/>
      <c r="C824" s="20"/>
      <c r="D824" s="20"/>
      <c r="E824" s="20"/>
      <c r="F824" s="20"/>
      <c r="G824" s="20"/>
      <c r="H824" s="20"/>
      <c r="I824" s="20"/>
      <c r="J824" s="20"/>
      <c r="K824" s="20"/>
      <c r="L824" s="20"/>
      <c r="M824" s="20"/>
      <c r="N824" s="20"/>
      <c r="O824" s="20"/>
      <c r="P824" s="20"/>
      <c r="Q824" s="20"/>
      <c r="R824" s="20"/>
      <c r="S824" s="20"/>
      <c r="T824" s="20"/>
      <c r="U824" s="20"/>
      <c r="V824" s="20"/>
      <c r="W824" s="20"/>
      <c r="X824" s="20"/>
    </row>
    <row r="825" ht="13.5" customHeight="1" spans="1:24">
      <c r="A825" s="20"/>
      <c r="B825" s="20"/>
      <c r="C825" s="20"/>
      <c r="D825" s="20"/>
      <c r="E825" s="20"/>
      <c r="F825" s="20"/>
      <c r="G825" s="20"/>
      <c r="H825" s="20"/>
      <c r="I825" s="20"/>
      <c r="J825" s="20"/>
      <c r="K825" s="20"/>
      <c r="L825" s="20"/>
      <c r="M825" s="20"/>
      <c r="N825" s="20"/>
      <c r="O825" s="20"/>
      <c r="P825" s="20"/>
      <c r="Q825" s="20"/>
      <c r="R825" s="20"/>
      <c r="S825" s="20"/>
      <c r="T825" s="20"/>
      <c r="U825" s="20"/>
      <c r="V825" s="20"/>
      <c r="W825" s="20"/>
      <c r="X825" s="20"/>
    </row>
    <row r="826" ht="13.5" customHeight="1" spans="1:24">
      <c r="A826" s="20"/>
      <c r="B826" s="20"/>
      <c r="C826" s="20"/>
      <c r="D826" s="20"/>
      <c r="E826" s="20"/>
      <c r="F826" s="20"/>
      <c r="G826" s="20"/>
      <c r="H826" s="20"/>
      <c r="I826" s="20"/>
      <c r="J826" s="20"/>
      <c r="K826" s="20"/>
      <c r="L826" s="20"/>
      <c r="M826" s="20"/>
      <c r="N826" s="20"/>
      <c r="O826" s="20"/>
      <c r="P826" s="20"/>
      <c r="Q826" s="20"/>
      <c r="R826" s="20"/>
      <c r="S826" s="20"/>
      <c r="T826" s="20"/>
      <c r="U826" s="20"/>
      <c r="V826" s="20"/>
      <c r="W826" s="20"/>
      <c r="X826" s="20"/>
    </row>
    <row r="827" ht="13.5" customHeight="1" spans="1:24">
      <c r="A827" s="20"/>
      <c r="B827" s="20"/>
      <c r="C827" s="20"/>
      <c r="D827" s="20"/>
      <c r="E827" s="20"/>
      <c r="F827" s="20"/>
      <c r="G827" s="20"/>
      <c r="H827" s="20"/>
      <c r="I827" s="20"/>
      <c r="J827" s="20"/>
      <c r="K827" s="20"/>
      <c r="L827" s="20"/>
      <c r="M827" s="20"/>
      <c r="N827" s="20"/>
      <c r="O827" s="20"/>
      <c r="P827" s="20"/>
      <c r="Q827" s="20"/>
      <c r="R827" s="20"/>
      <c r="S827" s="20"/>
      <c r="T827" s="20"/>
      <c r="U827" s="20"/>
      <c r="V827" s="20"/>
      <c r="W827" s="20"/>
      <c r="X827" s="20"/>
    </row>
    <row r="828" ht="13.5" customHeight="1" spans="1:24">
      <c r="A828" s="20"/>
      <c r="B828" s="20"/>
      <c r="C828" s="20"/>
      <c r="D828" s="20"/>
      <c r="E828" s="20"/>
      <c r="F828" s="20"/>
      <c r="G828" s="20"/>
      <c r="H828" s="20"/>
      <c r="I828" s="20"/>
      <c r="J828" s="20"/>
      <c r="K828" s="20"/>
      <c r="L828" s="20"/>
      <c r="M828" s="20"/>
      <c r="N828" s="20"/>
      <c r="O828" s="20"/>
      <c r="P828" s="20"/>
      <c r="Q828" s="20"/>
      <c r="R828" s="20"/>
      <c r="S828" s="20"/>
      <c r="T828" s="20"/>
      <c r="U828" s="20"/>
      <c r="V828" s="20"/>
      <c r="W828" s="20"/>
      <c r="X828" s="20"/>
    </row>
    <row r="829" ht="13.5" customHeight="1" spans="1:24">
      <c r="A829" s="20"/>
      <c r="B829" s="20"/>
      <c r="C829" s="20"/>
      <c r="D829" s="20"/>
      <c r="E829" s="20"/>
      <c r="F829" s="20"/>
      <c r="G829" s="20"/>
      <c r="H829" s="20"/>
      <c r="I829" s="20"/>
      <c r="J829" s="20"/>
      <c r="K829" s="20"/>
      <c r="L829" s="20"/>
      <c r="M829" s="20"/>
      <c r="N829" s="20"/>
      <c r="O829" s="20"/>
      <c r="P829" s="20"/>
      <c r="Q829" s="20"/>
      <c r="R829" s="20"/>
      <c r="S829" s="20"/>
      <c r="T829" s="20"/>
      <c r="U829" s="20"/>
      <c r="V829" s="20"/>
      <c r="W829" s="20"/>
      <c r="X829" s="20"/>
    </row>
    <row r="830" ht="13.5" customHeight="1" spans="1:24">
      <c r="A830" s="20"/>
      <c r="B830" s="20"/>
      <c r="C830" s="20"/>
      <c r="D830" s="20"/>
      <c r="E830" s="20"/>
      <c r="F830" s="20"/>
      <c r="G830" s="20"/>
      <c r="H830" s="20"/>
      <c r="I830" s="20"/>
      <c r="J830" s="20"/>
      <c r="K830" s="20"/>
      <c r="L830" s="20"/>
      <c r="M830" s="20"/>
      <c r="N830" s="20"/>
      <c r="O830" s="20"/>
      <c r="P830" s="20"/>
      <c r="Q830" s="20"/>
      <c r="R830" s="20"/>
      <c r="S830" s="20"/>
      <c r="T830" s="20"/>
      <c r="U830" s="20"/>
      <c r="V830" s="20"/>
      <c r="W830" s="20"/>
      <c r="X830" s="20"/>
    </row>
    <row r="831" ht="13.5" customHeight="1" spans="1:24">
      <c r="A831" s="20"/>
      <c r="B831" s="20"/>
      <c r="C831" s="20"/>
      <c r="D831" s="20"/>
      <c r="E831" s="20"/>
      <c r="F831" s="20"/>
      <c r="G831" s="20"/>
      <c r="H831" s="20"/>
      <c r="I831" s="20"/>
      <c r="J831" s="20"/>
      <c r="K831" s="20"/>
      <c r="L831" s="20"/>
      <c r="M831" s="20"/>
      <c r="N831" s="20"/>
      <c r="O831" s="20"/>
      <c r="P831" s="20"/>
      <c r="Q831" s="20"/>
      <c r="R831" s="20"/>
      <c r="S831" s="20"/>
      <c r="T831" s="20"/>
      <c r="U831" s="20"/>
      <c r="V831" s="20"/>
      <c r="W831" s="20"/>
      <c r="X831" s="20"/>
    </row>
    <row r="832" ht="13.5" customHeight="1" spans="1:24">
      <c r="A832" s="20"/>
      <c r="B832" s="20"/>
      <c r="C832" s="20"/>
      <c r="D832" s="20"/>
      <c r="E832" s="20"/>
      <c r="F832" s="20"/>
      <c r="G832" s="20"/>
      <c r="H832" s="20"/>
      <c r="I832" s="20"/>
      <c r="J832" s="20"/>
      <c r="K832" s="20"/>
      <c r="L832" s="20"/>
      <c r="M832" s="20"/>
      <c r="N832" s="20"/>
      <c r="O832" s="20"/>
      <c r="P832" s="20"/>
      <c r="Q832" s="20"/>
      <c r="R832" s="20"/>
      <c r="S832" s="20"/>
      <c r="T832" s="20"/>
      <c r="U832" s="20"/>
      <c r="V832" s="20"/>
      <c r="W832" s="20"/>
      <c r="X832" s="20"/>
    </row>
    <row r="833" ht="13.5" customHeight="1" spans="1:24">
      <c r="A833" s="20"/>
      <c r="B833" s="20"/>
      <c r="C833" s="20"/>
      <c r="D833" s="20"/>
      <c r="E833" s="20"/>
      <c r="F833" s="20"/>
      <c r="G833" s="20"/>
      <c r="H833" s="20"/>
      <c r="I833" s="20"/>
      <c r="J833" s="20"/>
      <c r="K833" s="20"/>
      <c r="L833" s="20"/>
      <c r="M833" s="20"/>
      <c r="N833" s="20"/>
      <c r="O833" s="20"/>
      <c r="P833" s="20"/>
      <c r="Q833" s="20"/>
      <c r="R833" s="20"/>
      <c r="S833" s="20"/>
      <c r="T833" s="20"/>
      <c r="U833" s="20"/>
      <c r="V833" s="20"/>
      <c r="W833" s="20"/>
      <c r="X833" s="20"/>
    </row>
    <row r="834" ht="13.5" customHeight="1" spans="1:24">
      <c r="A834" s="20"/>
      <c r="B834" s="20"/>
      <c r="C834" s="20"/>
      <c r="D834" s="20"/>
      <c r="E834" s="20"/>
      <c r="F834" s="20"/>
      <c r="G834" s="20"/>
      <c r="H834" s="20"/>
      <c r="I834" s="20"/>
      <c r="J834" s="20"/>
      <c r="K834" s="20"/>
      <c r="L834" s="20"/>
      <c r="M834" s="20"/>
      <c r="N834" s="20"/>
      <c r="O834" s="20"/>
      <c r="P834" s="20"/>
      <c r="Q834" s="20"/>
      <c r="R834" s="20"/>
      <c r="S834" s="20"/>
      <c r="T834" s="20"/>
      <c r="U834" s="20"/>
      <c r="V834" s="20"/>
      <c r="W834" s="20"/>
      <c r="X834" s="20"/>
    </row>
    <row r="835" ht="13.5" customHeight="1" spans="1:24">
      <c r="A835" s="20"/>
      <c r="B835" s="20"/>
      <c r="C835" s="20"/>
      <c r="D835" s="20"/>
      <c r="E835" s="20"/>
      <c r="F835" s="20"/>
      <c r="G835" s="20"/>
      <c r="H835" s="20"/>
      <c r="I835" s="20"/>
      <c r="J835" s="20"/>
      <c r="K835" s="20"/>
      <c r="L835" s="20"/>
      <c r="M835" s="20"/>
      <c r="N835" s="20"/>
      <c r="O835" s="20"/>
      <c r="P835" s="20"/>
      <c r="Q835" s="20"/>
      <c r="R835" s="20"/>
      <c r="S835" s="20"/>
      <c r="T835" s="20"/>
      <c r="U835" s="20"/>
      <c r="V835" s="20"/>
      <c r="W835" s="20"/>
      <c r="X835" s="20"/>
    </row>
    <row r="836" ht="13.5" customHeight="1" spans="1:24">
      <c r="A836" s="20"/>
      <c r="B836" s="20"/>
      <c r="C836" s="20"/>
      <c r="D836" s="20"/>
      <c r="E836" s="20"/>
      <c r="F836" s="20"/>
      <c r="G836" s="20"/>
      <c r="H836" s="20"/>
      <c r="I836" s="20"/>
      <c r="J836" s="20"/>
      <c r="K836" s="20"/>
      <c r="L836" s="20"/>
      <c r="M836" s="20"/>
      <c r="N836" s="20"/>
      <c r="O836" s="20"/>
      <c r="P836" s="20"/>
      <c r="Q836" s="20"/>
      <c r="R836" s="20"/>
      <c r="S836" s="20"/>
      <c r="T836" s="20"/>
      <c r="U836" s="20"/>
      <c r="V836" s="20"/>
      <c r="W836" s="20"/>
      <c r="X836" s="20"/>
    </row>
    <row r="837" ht="13.5" customHeight="1" spans="1:24">
      <c r="A837" s="20"/>
      <c r="B837" s="20"/>
      <c r="C837" s="20"/>
      <c r="D837" s="20"/>
      <c r="E837" s="20"/>
      <c r="F837" s="20"/>
      <c r="G837" s="20"/>
      <c r="H837" s="20"/>
      <c r="I837" s="20"/>
      <c r="J837" s="20"/>
      <c r="K837" s="20"/>
      <c r="L837" s="20"/>
      <c r="M837" s="20"/>
      <c r="N837" s="20"/>
      <c r="O837" s="20"/>
      <c r="P837" s="20"/>
      <c r="Q837" s="20"/>
      <c r="R837" s="20"/>
      <c r="S837" s="20"/>
      <c r="T837" s="20"/>
      <c r="U837" s="20"/>
      <c r="V837" s="20"/>
      <c r="W837" s="20"/>
      <c r="X837" s="20"/>
    </row>
    <row r="838" ht="13.5" customHeight="1" spans="1:24">
      <c r="A838" s="20"/>
      <c r="B838" s="20"/>
      <c r="C838" s="20"/>
      <c r="D838" s="20"/>
      <c r="E838" s="20"/>
      <c r="F838" s="20"/>
      <c r="G838" s="20"/>
      <c r="H838" s="20"/>
      <c r="I838" s="20"/>
      <c r="J838" s="20"/>
      <c r="K838" s="20"/>
      <c r="L838" s="20"/>
      <c r="M838" s="20"/>
      <c r="N838" s="20"/>
      <c r="O838" s="20"/>
      <c r="P838" s="20"/>
      <c r="Q838" s="20"/>
      <c r="R838" s="20"/>
      <c r="S838" s="20"/>
      <c r="T838" s="20"/>
      <c r="U838" s="20"/>
      <c r="V838" s="20"/>
      <c r="W838" s="20"/>
      <c r="X838" s="20"/>
    </row>
    <row r="839" ht="13.5" customHeight="1" spans="1:24">
      <c r="A839" s="20"/>
      <c r="B839" s="20"/>
      <c r="C839" s="20"/>
      <c r="D839" s="20"/>
      <c r="E839" s="20"/>
      <c r="F839" s="20"/>
      <c r="G839" s="20"/>
      <c r="H839" s="20"/>
      <c r="I839" s="20"/>
      <c r="J839" s="20"/>
      <c r="K839" s="20"/>
      <c r="L839" s="20"/>
      <c r="M839" s="20"/>
      <c r="N839" s="20"/>
      <c r="O839" s="20"/>
      <c r="P839" s="20"/>
      <c r="Q839" s="20"/>
      <c r="R839" s="20"/>
      <c r="S839" s="20"/>
      <c r="T839" s="20"/>
      <c r="U839" s="20"/>
      <c r="V839" s="20"/>
      <c r="W839" s="20"/>
      <c r="X839" s="20"/>
    </row>
    <row r="840" ht="13.5" customHeight="1" spans="1:24">
      <c r="A840" s="20"/>
      <c r="B840" s="20"/>
      <c r="C840" s="20"/>
      <c r="D840" s="20"/>
      <c r="E840" s="20"/>
      <c r="F840" s="20"/>
      <c r="G840" s="20"/>
      <c r="H840" s="20"/>
      <c r="I840" s="20"/>
      <c r="J840" s="20"/>
      <c r="K840" s="20"/>
      <c r="L840" s="20"/>
      <c r="M840" s="20"/>
      <c r="N840" s="20"/>
      <c r="O840" s="20"/>
      <c r="P840" s="20"/>
      <c r="Q840" s="20"/>
      <c r="R840" s="20"/>
      <c r="S840" s="20"/>
      <c r="T840" s="20"/>
      <c r="U840" s="20"/>
      <c r="V840" s="20"/>
      <c r="W840" s="20"/>
      <c r="X840" s="20"/>
    </row>
    <row r="841" ht="13.5" customHeight="1" spans="1:24">
      <c r="A841" s="20"/>
      <c r="B841" s="20"/>
      <c r="C841" s="20"/>
      <c r="D841" s="20"/>
      <c r="E841" s="20"/>
      <c r="F841" s="20"/>
      <c r="G841" s="20"/>
      <c r="H841" s="20"/>
      <c r="I841" s="20"/>
      <c r="J841" s="20"/>
      <c r="K841" s="20"/>
      <c r="L841" s="20"/>
      <c r="M841" s="20"/>
      <c r="N841" s="20"/>
      <c r="O841" s="20"/>
      <c r="P841" s="20"/>
      <c r="Q841" s="20"/>
      <c r="R841" s="20"/>
      <c r="S841" s="20"/>
      <c r="T841" s="20"/>
      <c r="U841" s="20"/>
      <c r="V841" s="20"/>
      <c r="W841" s="20"/>
      <c r="X841" s="20"/>
    </row>
    <row r="842" ht="13.5" customHeight="1" spans="1:24">
      <c r="A842" s="20"/>
      <c r="B842" s="20"/>
      <c r="C842" s="20"/>
      <c r="D842" s="20"/>
      <c r="E842" s="20"/>
      <c r="F842" s="20"/>
      <c r="G842" s="20"/>
      <c r="H842" s="20"/>
      <c r="I842" s="20"/>
      <c r="J842" s="20"/>
      <c r="K842" s="20"/>
      <c r="L842" s="20"/>
      <c r="M842" s="20"/>
      <c r="N842" s="20"/>
      <c r="O842" s="20"/>
      <c r="P842" s="20"/>
      <c r="Q842" s="20"/>
      <c r="R842" s="20"/>
      <c r="S842" s="20"/>
      <c r="T842" s="20"/>
      <c r="U842" s="20"/>
      <c r="V842" s="20"/>
      <c r="W842" s="20"/>
      <c r="X842" s="20"/>
    </row>
    <row r="843" ht="13.5" customHeight="1" spans="1:24">
      <c r="A843" s="20"/>
      <c r="B843" s="20"/>
      <c r="C843" s="20"/>
      <c r="D843" s="20"/>
      <c r="E843" s="20"/>
      <c r="F843" s="20"/>
      <c r="G843" s="20"/>
      <c r="H843" s="20"/>
      <c r="I843" s="20"/>
      <c r="J843" s="20"/>
      <c r="K843" s="20"/>
      <c r="L843" s="20"/>
      <c r="M843" s="20"/>
      <c r="N843" s="20"/>
      <c r="O843" s="20"/>
      <c r="P843" s="20"/>
      <c r="Q843" s="20"/>
      <c r="R843" s="20"/>
      <c r="S843" s="20"/>
      <c r="T843" s="20"/>
      <c r="U843" s="20"/>
      <c r="V843" s="20"/>
      <c r="W843" s="20"/>
      <c r="X843" s="20"/>
    </row>
    <row r="844" ht="13.5" customHeight="1" spans="1:24">
      <c r="A844" s="20"/>
      <c r="B844" s="20"/>
      <c r="C844" s="20"/>
      <c r="D844" s="20"/>
      <c r="E844" s="20"/>
      <c r="F844" s="20"/>
      <c r="G844" s="20"/>
      <c r="H844" s="20"/>
      <c r="I844" s="20"/>
      <c r="J844" s="20"/>
      <c r="K844" s="20"/>
      <c r="L844" s="20"/>
      <c r="M844" s="20"/>
      <c r="N844" s="20"/>
      <c r="O844" s="20"/>
      <c r="P844" s="20"/>
      <c r="Q844" s="20"/>
      <c r="R844" s="20"/>
      <c r="S844" s="20"/>
      <c r="T844" s="20"/>
      <c r="U844" s="20"/>
      <c r="V844" s="20"/>
      <c r="W844" s="20"/>
      <c r="X844" s="20"/>
    </row>
    <row r="845" ht="13.5" customHeight="1" spans="1:24">
      <c r="A845" s="20"/>
      <c r="B845" s="20"/>
      <c r="C845" s="20"/>
      <c r="D845" s="20"/>
      <c r="E845" s="20"/>
      <c r="F845" s="20"/>
      <c r="G845" s="20"/>
      <c r="H845" s="20"/>
      <c r="I845" s="20"/>
      <c r="J845" s="20"/>
      <c r="K845" s="20"/>
      <c r="L845" s="20"/>
      <c r="M845" s="20"/>
      <c r="N845" s="20"/>
      <c r="O845" s="20"/>
      <c r="P845" s="20"/>
      <c r="Q845" s="20"/>
      <c r="R845" s="20"/>
      <c r="S845" s="20"/>
      <c r="T845" s="20"/>
      <c r="U845" s="20"/>
      <c r="V845" s="20"/>
      <c r="W845" s="20"/>
      <c r="X845" s="20"/>
    </row>
    <row r="846" ht="13.5" customHeight="1" spans="1:24">
      <c r="A846" s="20"/>
      <c r="B846" s="20"/>
      <c r="C846" s="20"/>
      <c r="D846" s="20"/>
      <c r="E846" s="20"/>
      <c r="F846" s="20"/>
      <c r="G846" s="20"/>
      <c r="H846" s="20"/>
      <c r="I846" s="20"/>
      <c r="J846" s="20"/>
      <c r="K846" s="20"/>
      <c r="L846" s="20"/>
      <c r="M846" s="20"/>
      <c r="N846" s="20"/>
      <c r="O846" s="20"/>
      <c r="P846" s="20"/>
      <c r="Q846" s="20"/>
      <c r="R846" s="20"/>
      <c r="S846" s="20"/>
      <c r="T846" s="20"/>
      <c r="U846" s="20"/>
      <c r="V846" s="20"/>
      <c r="W846" s="20"/>
      <c r="X846" s="20"/>
    </row>
    <row r="847" ht="13.5" customHeight="1" spans="1:24">
      <c r="A847" s="20"/>
      <c r="B847" s="20"/>
      <c r="C847" s="20"/>
      <c r="D847" s="20"/>
      <c r="E847" s="20"/>
      <c r="F847" s="20"/>
      <c r="G847" s="20"/>
      <c r="H847" s="20"/>
      <c r="I847" s="20"/>
      <c r="J847" s="20"/>
      <c r="K847" s="20"/>
      <c r="L847" s="20"/>
      <c r="M847" s="20"/>
      <c r="N847" s="20"/>
      <c r="O847" s="20"/>
      <c r="P847" s="20"/>
      <c r="Q847" s="20"/>
      <c r="R847" s="20"/>
      <c r="S847" s="20"/>
      <c r="T847" s="20"/>
      <c r="U847" s="20"/>
      <c r="V847" s="20"/>
      <c r="W847" s="20"/>
      <c r="X847" s="20"/>
    </row>
    <row r="848" ht="13.5" customHeight="1" spans="1:24">
      <c r="A848" s="20"/>
      <c r="B848" s="20"/>
      <c r="C848" s="20"/>
      <c r="D848" s="20"/>
      <c r="E848" s="20"/>
      <c r="F848" s="20"/>
      <c r="G848" s="20"/>
      <c r="H848" s="20"/>
      <c r="I848" s="20"/>
      <c r="J848" s="20"/>
      <c r="K848" s="20"/>
      <c r="L848" s="20"/>
      <c r="M848" s="20"/>
      <c r="N848" s="20"/>
      <c r="O848" s="20"/>
      <c r="P848" s="20"/>
      <c r="Q848" s="20"/>
      <c r="R848" s="20"/>
      <c r="S848" s="20"/>
      <c r="T848" s="20"/>
      <c r="U848" s="20"/>
      <c r="V848" s="20"/>
      <c r="W848" s="20"/>
      <c r="X848" s="20"/>
    </row>
    <row r="849" ht="13.5" customHeight="1" spans="1:24">
      <c r="A849" s="20"/>
      <c r="B849" s="20"/>
      <c r="C849" s="20"/>
      <c r="D849" s="20"/>
      <c r="E849" s="20"/>
      <c r="F849" s="20"/>
      <c r="G849" s="20"/>
      <c r="H849" s="20"/>
      <c r="I849" s="20"/>
      <c r="J849" s="20"/>
      <c r="K849" s="20"/>
      <c r="L849" s="20"/>
      <c r="M849" s="20"/>
      <c r="N849" s="20"/>
      <c r="O849" s="20"/>
      <c r="P849" s="20"/>
      <c r="Q849" s="20"/>
      <c r="R849" s="20"/>
      <c r="S849" s="20"/>
      <c r="T849" s="20"/>
      <c r="U849" s="20"/>
      <c r="V849" s="20"/>
      <c r="W849" s="20"/>
      <c r="X849" s="20"/>
    </row>
    <row r="850" ht="13.5" customHeight="1" spans="1:24">
      <c r="A850" s="20"/>
      <c r="B850" s="20"/>
      <c r="C850" s="20"/>
      <c r="D850" s="20"/>
      <c r="E850" s="20"/>
      <c r="F850" s="20"/>
      <c r="G850" s="20"/>
      <c r="H850" s="20"/>
      <c r="I850" s="20"/>
      <c r="J850" s="20"/>
      <c r="K850" s="20"/>
      <c r="L850" s="20"/>
      <c r="M850" s="20"/>
      <c r="N850" s="20"/>
      <c r="O850" s="20"/>
      <c r="P850" s="20"/>
      <c r="Q850" s="20"/>
      <c r="R850" s="20"/>
      <c r="S850" s="20"/>
      <c r="T850" s="20"/>
      <c r="U850" s="20"/>
      <c r="V850" s="20"/>
      <c r="W850" s="20"/>
      <c r="X850" s="20"/>
    </row>
    <row r="851" ht="13.5" customHeight="1" spans="1:24">
      <c r="A851" s="20"/>
      <c r="B851" s="20"/>
      <c r="C851" s="20"/>
      <c r="D851" s="20"/>
      <c r="E851" s="20"/>
      <c r="F851" s="20"/>
      <c r="G851" s="20"/>
      <c r="H851" s="20"/>
      <c r="I851" s="20"/>
      <c r="J851" s="20"/>
      <c r="K851" s="20"/>
      <c r="L851" s="20"/>
      <c r="M851" s="20"/>
      <c r="N851" s="20"/>
      <c r="O851" s="20"/>
      <c r="P851" s="20"/>
      <c r="Q851" s="20"/>
      <c r="R851" s="20"/>
      <c r="S851" s="20"/>
      <c r="T851" s="20"/>
      <c r="U851" s="20"/>
      <c r="V851" s="20"/>
      <c r="W851" s="20"/>
      <c r="X851" s="20"/>
    </row>
    <row r="852" ht="13.5" customHeight="1" spans="1:24">
      <c r="A852" s="20"/>
      <c r="B852" s="20"/>
      <c r="C852" s="20"/>
      <c r="D852" s="20"/>
      <c r="E852" s="20"/>
      <c r="F852" s="20"/>
      <c r="G852" s="20"/>
      <c r="H852" s="20"/>
      <c r="I852" s="20"/>
      <c r="J852" s="20"/>
      <c r="K852" s="20"/>
      <c r="L852" s="20"/>
      <c r="M852" s="20"/>
      <c r="N852" s="20"/>
      <c r="O852" s="20"/>
      <c r="P852" s="20"/>
      <c r="Q852" s="20"/>
      <c r="R852" s="20"/>
      <c r="S852" s="20"/>
      <c r="T852" s="20"/>
      <c r="U852" s="20"/>
      <c r="V852" s="20"/>
      <c r="W852" s="20"/>
      <c r="X852" s="20"/>
    </row>
    <row r="853" ht="13.5" customHeight="1" spans="1:24">
      <c r="A853" s="20"/>
      <c r="B853" s="20"/>
      <c r="C853" s="20"/>
      <c r="D853" s="20"/>
      <c r="E853" s="20"/>
      <c r="F853" s="20"/>
      <c r="G853" s="20"/>
      <c r="H853" s="20"/>
      <c r="I853" s="20"/>
      <c r="J853" s="20"/>
      <c r="K853" s="20"/>
      <c r="L853" s="20"/>
      <c r="M853" s="20"/>
      <c r="N853" s="20"/>
      <c r="O853" s="20"/>
      <c r="P853" s="20"/>
      <c r="Q853" s="20"/>
      <c r="R853" s="20"/>
      <c r="S853" s="20"/>
      <c r="T853" s="20"/>
      <c r="U853" s="20"/>
      <c r="V853" s="20"/>
      <c r="W853" s="20"/>
      <c r="X853" s="20"/>
    </row>
    <row r="854" ht="13.5" customHeight="1" spans="1:24">
      <c r="A854" s="20"/>
      <c r="B854" s="20"/>
      <c r="C854" s="20"/>
      <c r="D854" s="20"/>
      <c r="E854" s="20"/>
      <c r="F854" s="20"/>
      <c r="G854" s="20"/>
      <c r="H854" s="20"/>
      <c r="I854" s="20"/>
      <c r="J854" s="20"/>
      <c r="K854" s="20"/>
      <c r="L854" s="20"/>
      <c r="M854" s="20"/>
      <c r="N854" s="20"/>
      <c r="O854" s="20"/>
      <c r="P854" s="20"/>
      <c r="Q854" s="20"/>
      <c r="R854" s="20"/>
      <c r="S854" s="20"/>
      <c r="T854" s="20"/>
      <c r="U854" s="20"/>
      <c r="V854" s="20"/>
      <c r="W854" s="20"/>
      <c r="X854" s="20"/>
    </row>
    <row r="855" ht="13.5" customHeight="1" spans="1:24">
      <c r="A855" s="20"/>
      <c r="B855" s="20"/>
      <c r="C855" s="20"/>
      <c r="D855" s="20"/>
      <c r="E855" s="20"/>
      <c r="F855" s="20"/>
      <c r="G855" s="20"/>
      <c r="H855" s="20"/>
      <c r="I855" s="20"/>
      <c r="J855" s="20"/>
      <c r="K855" s="20"/>
      <c r="L855" s="20"/>
      <c r="M855" s="20"/>
      <c r="N855" s="20"/>
      <c r="O855" s="20"/>
      <c r="P855" s="20"/>
      <c r="Q855" s="20"/>
      <c r="R855" s="20"/>
      <c r="S855" s="20"/>
      <c r="T855" s="20"/>
      <c r="U855" s="20"/>
      <c r="V855" s="20"/>
      <c r="W855" s="20"/>
      <c r="X855" s="20"/>
    </row>
    <row r="856" ht="13.5" customHeight="1" spans="1:24">
      <c r="A856" s="20"/>
      <c r="B856" s="20"/>
      <c r="C856" s="20"/>
      <c r="D856" s="20"/>
      <c r="E856" s="20"/>
      <c r="F856" s="20"/>
      <c r="G856" s="20"/>
      <c r="H856" s="20"/>
      <c r="I856" s="20"/>
      <c r="J856" s="20"/>
      <c r="K856" s="20"/>
      <c r="L856" s="20"/>
      <c r="M856" s="20"/>
      <c r="N856" s="20"/>
      <c r="O856" s="20"/>
      <c r="P856" s="20"/>
      <c r="Q856" s="20"/>
      <c r="R856" s="20"/>
      <c r="S856" s="20"/>
      <c r="T856" s="20"/>
      <c r="U856" s="20"/>
      <c r="V856" s="20"/>
      <c r="W856" s="20"/>
      <c r="X856" s="20"/>
    </row>
    <row r="857" ht="13.5" customHeight="1" spans="1:24">
      <c r="A857" s="20"/>
      <c r="B857" s="20"/>
      <c r="C857" s="20"/>
      <c r="D857" s="20"/>
      <c r="E857" s="20"/>
      <c r="F857" s="20"/>
      <c r="G857" s="20"/>
      <c r="H857" s="20"/>
      <c r="I857" s="20"/>
      <c r="J857" s="20"/>
      <c r="K857" s="20"/>
      <c r="L857" s="20"/>
      <c r="M857" s="20"/>
      <c r="N857" s="20"/>
      <c r="O857" s="20"/>
      <c r="P857" s="20"/>
      <c r="Q857" s="20"/>
      <c r="R857" s="20"/>
      <c r="S857" s="20"/>
      <c r="T857" s="20"/>
      <c r="U857" s="20"/>
      <c r="V857" s="20"/>
      <c r="W857" s="20"/>
      <c r="X857" s="20"/>
    </row>
    <row r="858" ht="13.5" customHeight="1" spans="1:24">
      <c r="A858" s="20"/>
      <c r="B858" s="20"/>
      <c r="C858" s="20"/>
      <c r="D858" s="20"/>
      <c r="E858" s="20"/>
      <c r="F858" s="20"/>
      <c r="G858" s="20"/>
      <c r="H858" s="20"/>
      <c r="I858" s="20"/>
      <c r="J858" s="20"/>
      <c r="K858" s="20"/>
      <c r="L858" s="20"/>
      <c r="M858" s="20"/>
      <c r="N858" s="20"/>
      <c r="O858" s="20"/>
      <c r="P858" s="20"/>
      <c r="Q858" s="20"/>
      <c r="R858" s="20"/>
      <c r="S858" s="20"/>
      <c r="T858" s="20"/>
      <c r="U858" s="20"/>
      <c r="V858" s="20"/>
      <c r="W858" s="20"/>
      <c r="X858" s="20"/>
    </row>
    <row r="859" ht="13.5" customHeight="1" spans="1:24">
      <c r="A859" s="20"/>
      <c r="B859" s="20"/>
      <c r="C859" s="20"/>
      <c r="D859" s="20"/>
      <c r="E859" s="20"/>
      <c r="F859" s="20"/>
      <c r="G859" s="20"/>
      <c r="H859" s="20"/>
      <c r="I859" s="20"/>
      <c r="J859" s="20"/>
      <c r="K859" s="20"/>
      <c r="L859" s="20"/>
      <c r="M859" s="20"/>
      <c r="N859" s="20"/>
      <c r="O859" s="20"/>
      <c r="P859" s="20"/>
      <c r="Q859" s="20"/>
      <c r="R859" s="20"/>
      <c r="S859" s="20"/>
      <c r="T859" s="20"/>
      <c r="U859" s="20"/>
      <c r="V859" s="20"/>
      <c r="W859" s="20"/>
      <c r="X859" s="20"/>
    </row>
    <row r="860" ht="13.5" customHeight="1" spans="1:24">
      <c r="A860" s="20"/>
      <c r="B860" s="20"/>
      <c r="C860" s="20"/>
      <c r="D860" s="20"/>
      <c r="E860" s="20"/>
      <c r="F860" s="20"/>
      <c r="G860" s="20"/>
      <c r="H860" s="20"/>
      <c r="I860" s="20"/>
      <c r="J860" s="20"/>
      <c r="K860" s="20"/>
      <c r="L860" s="20"/>
      <c r="M860" s="20"/>
      <c r="N860" s="20"/>
      <c r="O860" s="20"/>
      <c r="P860" s="20"/>
      <c r="Q860" s="20"/>
      <c r="R860" s="20"/>
      <c r="S860" s="20"/>
      <c r="T860" s="20"/>
      <c r="U860" s="20"/>
      <c r="V860" s="20"/>
      <c r="W860" s="20"/>
      <c r="X860" s="20"/>
    </row>
    <row r="861" ht="13.5" customHeight="1" spans="1:24">
      <c r="A861" s="20"/>
      <c r="B861" s="20"/>
      <c r="C861" s="20"/>
      <c r="D861" s="20"/>
      <c r="E861" s="20"/>
      <c r="F861" s="20"/>
      <c r="G861" s="20"/>
      <c r="H861" s="20"/>
      <c r="I861" s="20"/>
      <c r="J861" s="20"/>
      <c r="K861" s="20"/>
      <c r="L861" s="20"/>
      <c r="M861" s="20"/>
      <c r="N861" s="20"/>
      <c r="O861" s="20"/>
      <c r="P861" s="20"/>
      <c r="Q861" s="20"/>
      <c r="R861" s="20"/>
      <c r="S861" s="20"/>
      <c r="T861" s="20"/>
      <c r="U861" s="20"/>
      <c r="V861" s="20"/>
      <c r="W861" s="20"/>
      <c r="X861" s="20"/>
    </row>
    <row r="862" ht="13.5" customHeight="1" spans="1:24">
      <c r="A862" s="20"/>
      <c r="B862" s="20"/>
      <c r="C862" s="20"/>
      <c r="D862" s="20"/>
      <c r="E862" s="20"/>
      <c r="F862" s="20"/>
      <c r="G862" s="20"/>
      <c r="H862" s="20"/>
      <c r="I862" s="20"/>
      <c r="J862" s="20"/>
      <c r="K862" s="20"/>
      <c r="L862" s="20"/>
      <c r="M862" s="20"/>
      <c r="N862" s="20"/>
      <c r="O862" s="20"/>
      <c r="P862" s="20"/>
      <c r="Q862" s="20"/>
      <c r="R862" s="20"/>
      <c r="S862" s="20"/>
      <c r="T862" s="20"/>
      <c r="U862" s="20"/>
      <c r="V862" s="20"/>
      <c r="W862" s="20"/>
      <c r="X862" s="20"/>
    </row>
    <row r="863" ht="13.5" customHeight="1" spans="1:24">
      <c r="A863" s="20"/>
      <c r="B863" s="20"/>
      <c r="C863" s="20"/>
      <c r="D863" s="20"/>
      <c r="E863" s="20"/>
      <c r="F863" s="20"/>
      <c r="G863" s="20"/>
      <c r="H863" s="20"/>
      <c r="I863" s="20"/>
      <c r="J863" s="20"/>
      <c r="K863" s="20"/>
      <c r="L863" s="20"/>
      <c r="M863" s="20"/>
      <c r="N863" s="20"/>
      <c r="O863" s="20"/>
      <c r="P863" s="20"/>
      <c r="Q863" s="20"/>
      <c r="R863" s="20"/>
      <c r="S863" s="20"/>
      <c r="T863" s="20"/>
      <c r="U863" s="20"/>
      <c r="V863" s="20"/>
      <c r="W863" s="20"/>
      <c r="X863" s="20"/>
    </row>
    <row r="864" ht="13.5" customHeight="1" spans="1:24">
      <c r="A864" s="20"/>
      <c r="B864" s="20"/>
      <c r="C864" s="20"/>
      <c r="D864" s="20"/>
      <c r="E864" s="20"/>
      <c r="F864" s="20"/>
      <c r="G864" s="20"/>
      <c r="H864" s="20"/>
      <c r="I864" s="20"/>
      <c r="J864" s="20"/>
      <c r="K864" s="20"/>
      <c r="L864" s="20"/>
      <c r="M864" s="20"/>
      <c r="N864" s="20"/>
      <c r="O864" s="20"/>
      <c r="P864" s="20"/>
      <c r="Q864" s="20"/>
      <c r="R864" s="20"/>
      <c r="S864" s="20"/>
      <c r="T864" s="20"/>
      <c r="U864" s="20"/>
      <c r="V864" s="20"/>
      <c r="W864" s="20"/>
      <c r="X864" s="20"/>
    </row>
    <row r="865" ht="13.5" customHeight="1" spans="1:24">
      <c r="A865" s="20"/>
      <c r="B865" s="20"/>
      <c r="C865" s="20"/>
      <c r="D865" s="20"/>
      <c r="E865" s="20"/>
      <c r="F865" s="20"/>
      <c r="G865" s="20"/>
      <c r="H865" s="20"/>
      <c r="I865" s="20"/>
      <c r="J865" s="20"/>
      <c r="K865" s="20"/>
      <c r="L865" s="20"/>
      <c r="M865" s="20"/>
      <c r="N865" s="20"/>
      <c r="O865" s="20"/>
      <c r="P865" s="20"/>
      <c r="Q865" s="20"/>
      <c r="R865" s="20"/>
      <c r="S865" s="20"/>
      <c r="T865" s="20"/>
      <c r="U865" s="20"/>
      <c r="V865" s="20"/>
      <c r="W865" s="20"/>
      <c r="X865" s="20"/>
    </row>
    <row r="866" ht="13.5" customHeight="1" spans="1:24">
      <c r="A866" s="20"/>
      <c r="B866" s="20"/>
      <c r="C866" s="20"/>
      <c r="D866" s="20"/>
      <c r="E866" s="20"/>
      <c r="F866" s="20"/>
      <c r="G866" s="20"/>
      <c r="H866" s="20"/>
      <c r="I866" s="20"/>
      <c r="J866" s="20"/>
      <c r="K866" s="20"/>
      <c r="L866" s="20"/>
      <c r="M866" s="20"/>
      <c r="N866" s="20"/>
      <c r="O866" s="20"/>
      <c r="P866" s="20"/>
      <c r="Q866" s="20"/>
      <c r="R866" s="20"/>
      <c r="S866" s="20"/>
      <c r="T866" s="20"/>
      <c r="U866" s="20"/>
      <c r="V866" s="20"/>
      <c r="W866" s="20"/>
      <c r="X866" s="20"/>
    </row>
    <row r="867" ht="13.5" customHeight="1" spans="1:24">
      <c r="A867" s="20"/>
      <c r="B867" s="20"/>
      <c r="C867" s="20"/>
      <c r="D867" s="20"/>
      <c r="E867" s="20"/>
      <c r="F867" s="20"/>
      <c r="G867" s="20"/>
      <c r="H867" s="20"/>
      <c r="I867" s="20"/>
      <c r="J867" s="20"/>
      <c r="K867" s="20"/>
      <c r="L867" s="20"/>
      <c r="M867" s="20"/>
      <c r="N867" s="20"/>
      <c r="O867" s="20"/>
      <c r="P867" s="20"/>
      <c r="Q867" s="20"/>
      <c r="R867" s="20"/>
      <c r="S867" s="20"/>
      <c r="T867" s="20"/>
      <c r="U867" s="20"/>
      <c r="V867" s="20"/>
      <c r="W867" s="20"/>
      <c r="X867" s="20"/>
    </row>
    <row r="868" ht="13.5" customHeight="1" spans="1:24">
      <c r="A868" s="20"/>
      <c r="B868" s="20"/>
      <c r="C868" s="20"/>
      <c r="D868" s="20"/>
      <c r="E868" s="20"/>
      <c r="F868" s="20"/>
      <c r="G868" s="20"/>
      <c r="H868" s="20"/>
      <c r="I868" s="20"/>
      <c r="J868" s="20"/>
      <c r="K868" s="20"/>
      <c r="L868" s="20"/>
      <c r="M868" s="20"/>
      <c r="N868" s="20"/>
      <c r="O868" s="20"/>
      <c r="P868" s="20"/>
      <c r="Q868" s="20"/>
      <c r="R868" s="20"/>
      <c r="S868" s="20"/>
      <c r="T868" s="20"/>
      <c r="U868" s="20"/>
      <c r="V868" s="20"/>
      <c r="W868" s="20"/>
      <c r="X868" s="20"/>
    </row>
    <row r="869" ht="13.5" customHeight="1" spans="1:24">
      <c r="A869" s="20"/>
      <c r="B869" s="20"/>
      <c r="C869" s="20"/>
      <c r="D869" s="20"/>
      <c r="E869" s="20"/>
      <c r="F869" s="20"/>
      <c r="G869" s="20"/>
      <c r="H869" s="20"/>
      <c r="I869" s="20"/>
      <c r="J869" s="20"/>
      <c r="K869" s="20"/>
      <c r="L869" s="20"/>
      <c r="M869" s="20"/>
      <c r="N869" s="20"/>
      <c r="O869" s="20"/>
      <c r="P869" s="20"/>
      <c r="Q869" s="20"/>
      <c r="R869" s="20"/>
      <c r="S869" s="20"/>
      <c r="T869" s="20"/>
      <c r="U869" s="20"/>
      <c r="V869" s="20"/>
      <c r="W869" s="20"/>
      <c r="X869" s="20"/>
    </row>
    <row r="870" ht="13.5" customHeight="1" spans="1:24">
      <c r="A870" s="20"/>
      <c r="B870" s="20"/>
      <c r="C870" s="20"/>
      <c r="D870" s="20"/>
      <c r="E870" s="20"/>
      <c r="F870" s="20"/>
      <c r="G870" s="20"/>
      <c r="H870" s="20"/>
      <c r="I870" s="20"/>
      <c r="J870" s="20"/>
      <c r="K870" s="20"/>
      <c r="L870" s="20"/>
      <c r="M870" s="20"/>
      <c r="N870" s="20"/>
      <c r="O870" s="20"/>
      <c r="P870" s="20"/>
      <c r="Q870" s="20"/>
      <c r="R870" s="20"/>
      <c r="S870" s="20"/>
      <c r="T870" s="20"/>
      <c r="U870" s="20"/>
      <c r="V870" s="20"/>
      <c r="W870" s="20"/>
      <c r="X870" s="20"/>
    </row>
    <row r="871" ht="13.5" customHeight="1" spans="1:24">
      <c r="A871" s="20"/>
      <c r="B871" s="20"/>
      <c r="C871" s="20"/>
      <c r="D871" s="20"/>
      <c r="E871" s="20"/>
      <c r="F871" s="20"/>
      <c r="G871" s="20"/>
      <c r="H871" s="20"/>
      <c r="I871" s="20"/>
      <c r="J871" s="20"/>
      <c r="K871" s="20"/>
      <c r="L871" s="20"/>
      <c r="M871" s="20"/>
      <c r="N871" s="20"/>
      <c r="O871" s="20"/>
      <c r="P871" s="20"/>
      <c r="Q871" s="20"/>
      <c r="R871" s="20"/>
      <c r="S871" s="20"/>
      <c r="T871" s="20"/>
      <c r="U871" s="20"/>
      <c r="V871" s="20"/>
      <c r="W871" s="20"/>
      <c r="X871" s="20"/>
    </row>
    <row r="872" ht="13.5" customHeight="1" spans="1:24">
      <c r="A872" s="20"/>
      <c r="B872" s="20"/>
      <c r="C872" s="20"/>
      <c r="D872" s="20"/>
      <c r="E872" s="20"/>
      <c r="F872" s="20"/>
      <c r="G872" s="20"/>
      <c r="H872" s="20"/>
      <c r="I872" s="20"/>
      <c r="J872" s="20"/>
      <c r="K872" s="20"/>
      <c r="L872" s="20"/>
      <c r="M872" s="20"/>
      <c r="N872" s="20"/>
      <c r="O872" s="20"/>
      <c r="P872" s="20"/>
      <c r="Q872" s="20"/>
      <c r="R872" s="20"/>
      <c r="S872" s="20"/>
      <c r="T872" s="20"/>
      <c r="U872" s="20"/>
      <c r="V872" s="20"/>
      <c r="W872" s="20"/>
      <c r="X872" s="20"/>
    </row>
    <row r="873" ht="13.5" customHeight="1" spans="1:24">
      <c r="A873" s="20"/>
      <c r="B873" s="20"/>
      <c r="C873" s="20"/>
      <c r="D873" s="20"/>
      <c r="E873" s="20"/>
      <c r="F873" s="20"/>
      <c r="G873" s="20"/>
      <c r="H873" s="20"/>
      <c r="I873" s="20"/>
      <c r="J873" s="20"/>
      <c r="K873" s="20"/>
      <c r="L873" s="20"/>
      <c r="M873" s="20"/>
      <c r="N873" s="20"/>
      <c r="O873" s="20"/>
      <c r="P873" s="20"/>
      <c r="Q873" s="20"/>
      <c r="R873" s="20"/>
      <c r="S873" s="20"/>
      <c r="T873" s="20"/>
      <c r="U873" s="20"/>
      <c r="V873" s="20"/>
      <c r="W873" s="20"/>
      <c r="X873" s="20"/>
    </row>
    <row r="874" ht="13.5" customHeight="1" spans="1:24">
      <c r="A874" s="20"/>
      <c r="B874" s="20"/>
      <c r="C874" s="20"/>
      <c r="D874" s="20"/>
      <c r="E874" s="20"/>
      <c r="F874" s="20"/>
      <c r="G874" s="20"/>
      <c r="H874" s="20"/>
      <c r="I874" s="20"/>
      <c r="J874" s="20"/>
      <c r="K874" s="20"/>
      <c r="L874" s="20"/>
      <c r="M874" s="20"/>
      <c r="N874" s="20"/>
      <c r="O874" s="20"/>
      <c r="P874" s="20"/>
      <c r="Q874" s="20"/>
      <c r="R874" s="20"/>
      <c r="S874" s="20"/>
      <c r="T874" s="20"/>
      <c r="U874" s="20"/>
      <c r="V874" s="20"/>
      <c r="W874" s="20"/>
      <c r="X874" s="20"/>
    </row>
    <row r="875" ht="13.5" customHeight="1" spans="1:24">
      <c r="A875" s="20"/>
      <c r="B875" s="20"/>
      <c r="C875" s="20"/>
      <c r="D875" s="20"/>
      <c r="E875" s="20"/>
      <c r="F875" s="20"/>
      <c r="G875" s="20"/>
      <c r="H875" s="20"/>
      <c r="I875" s="20"/>
      <c r="J875" s="20"/>
      <c r="K875" s="20"/>
      <c r="L875" s="20"/>
      <c r="M875" s="20"/>
      <c r="N875" s="20"/>
      <c r="O875" s="20"/>
      <c r="P875" s="20"/>
      <c r="Q875" s="20"/>
      <c r="R875" s="20"/>
      <c r="S875" s="20"/>
      <c r="T875" s="20"/>
      <c r="U875" s="20"/>
      <c r="V875" s="20"/>
      <c r="W875" s="20"/>
      <c r="X875" s="20"/>
    </row>
    <row r="876" ht="13.5" customHeight="1" spans="1:24">
      <c r="A876" s="20"/>
      <c r="B876" s="20"/>
      <c r="C876" s="20"/>
      <c r="D876" s="20"/>
      <c r="E876" s="20"/>
      <c r="F876" s="20"/>
      <c r="G876" s="20"/>
      <c r="H876" s="20"/>
      <c r="I876" s="20"/>
      <c r="J876" s="20"/>
      <c r="K876" s="20"/>
      <c r="L876" s="20"/>
      <c r="M876" s="20"/>
      <c r="N876" s="20"/>
      <c r="O876" s="20"/>
      <c r="P876" s="20"/>
      <c r="Q876" s="20"/>
      <c r="R876" s="20"/>
      <c r="S876" s="20"/>
      <c r="T876" s="20"/>
      <c r="U876" s="20"/>
      <c r="V876" s="20"/>
      <c r="W876" s="20"/>
      <c r="X876" s="20"/>
    </row>
    <row r="877" ht="13.5" customHeight="1" spans="1:24">
      <c r="A877" s="20"/>
      <c r="B877" s="20"/>
      <c r="C877" s="20"/>
      <c r="D877" s="20"/>
      <c r="E877" s="20"/>
      <c r="F877" s="20"/>
      <c r="G877" s="20"/>
      <c r="H877" s="20"/>
      <c r="I877" s="20"/>
      <c r="J877" s="20"/>
      <c r="K877" s="20"/>
      <c r="L877" s="20"/>
      <c r="M877" s="20"/>
      <c r="N877" s="20"/>
      <c r="O877" s="20"/>
      <c r="P877" s="20"/>
      <c r="Q877" s="20"/>
      <c r="R877" s="20"/>
      <c r="S877" s="20"/>
      <c r="T877" s="20"/>
      <c r="U877" s="20"/>
      <c r="V877" s="20"/>
      <c r="W877" s="20"/>
      <c r="X877" s="20"/>
    </row>
    <row r="878" ht="13.5" customHeight="1" spans="1:24">
      <c r="A878" s="20"/>
      <c r="B878" s="20"/>
      <c r="C878" s="20"/>
      <c r="D878" s="20"/>
      <c r="E878" s="20"/>
      <c r="F878" s="20"/>
      <c r="G878" s="20"/>
      <c r="H878" s="20"/>
      <c r="I878" s="20"/>
      <c r="J878" s="20"/>
      <c r="K878" s="20"/>
      <c r="L878" s="20"/>
      <c r="M878" s="20"/>
      <c r="N878" s="20"/>
      <c r="O878" s="20"/>
      <c r="P878" s="20"/>
      <c r="Q878" s="20"/>
      <c r="R878" s="20"/>
      <c r="S878" s="20"/>
      <c r="T878" s="20"/>
      <c r="U878" s="20"/>
      <c r="V878" s="20"/>
      <c r="W878" s="20"/>
      <c r="X878" s="20"/>
    </row>
    <row r="879" ht="13.5" customHeight="1" spans="1:24">
      <c r="A879" s="20"/>
      <c r="B879" s="20"/>
      <c r="C879" s="20"/>
      <c r="D879" s="20"/>
      <c r="E879" s="20"/>
      <c r="F879" s="20"/>
      <c r="G879" s="20"/>
      <c r="H879" s="20"/>
      <c r="I879" s="20"/>
      <c r="J879" s="20"/>
      <c r="K879" s="20"/>
      <c r="L879" s="20"/>
      <c r="M879" s="20"/>
      <c r="N879" s="20"/>
      <c r="O879" s="20"/>
      <c r="P879" s="20"/>
      <c r="Q879" s="20"/>
      <c r="R879" s="20"/>
      <c r="S879" s="20"/>
      <c r="T879" s="20"/>
      <c r="U879" s="20"/>
      <c r="V879" s="20"/>
      <c r="W879" s="20"/>
      <c r="X879" s="20"/>
    </row>
    <row r="880" ht="13.5" customHeight="1" spans="1:24">
      <c r="A880" s="20"/>
      <c r="B880" s="20"/>
      <c r="C880" s="20"/>
      <c r="D880" s="20"/>
      <c r="E880" s="20"/>
      <c r="F880" s="20"/>
      <c r="G880" s="20"/>
      <c r="H880" s="20"/>
      <c r="I880" s="20"/>
      <c r="J880" s="20"/>
      <c r="K880" s="20"/>
      <c r="L880" s="20"/>
      <c r="M880" s="20"/>
      <c r="N880" s="20"/>
      <c r="O880" s="20"/>
      <c r="P880" s="20"/>
      <c r="Q880" s="20"/>
      <c r="R880" s="20"/>
      <c r="S880" s="20"/>
      <c r="T880" s="20"/>
      <c r="U880" s="20"/>
      <c r="V880" s="20"/>
      <c r="W880" s="20"/>
      <c r="X880" s="20"/>
    </row>
    <row r="881" ht="13.5" customHeight="1" spans="1:24">
      <c r="A881" s="20"/>
      <c r="B881" s="20"/>
      <c r="C881" s="20"/>
      <c r="D881" s="20"/>
      <c r="E881" s="20"/>
      <c r="F881" s="20"/>
      <c r="G881" s="20"/>
      <c r="H881" s="20"/>
      <c r="I881" s="20"/>
      <c r="J881" s="20"/>
      <c r="K881" s="20"/>
      <c r="L881" s="20"/>
      <c r="M881" s="20"/>
      <c r="N881" s="20"/>
      <c r="O881" s="20"/>
      <c r="P881" s="20"/>
      <c r="Q881" s="20"/>
      <c r="R881" s="20"/>
      <c r="S881" s="20"/>
      <c r="T881" s="20"/>
      <c r="U881" s="20"/>
      <c r="V881" s="20"/>
      <c r="W881" s="20"/>
      <c r="X881" s="20"/>
    </row>
    <row r="882" ht="13.5" customHeight="1" spans="1:24">
      <c r="A882" s="20"/>
      <c r="B882" s="20"/>
      <c r="C882" s="20"/>
      <c r="D882" s="20"/>
      <c r="E882" s="20"/>
      <c r="F882" s="20"/>
      <c r="G882" s="20"/>
      <c r="H882" s="20"/>
      <c r="I882" s="20"/>
      <c r="J882" s="20"/>
      <c r="K882" s="20"/>
      <c r="L882" s="20"/>
      <c r="M882" s="20"/>
      <c r="N882" s="20"/>
      <c r="O882" s="20"/>
      <c r="P882" s="20"/>
      <c r="Q882" s="20"/>
      <c r="R882" s="20"/>
      <c r="S882" s="20"/>
      <c r="T882" s="20"/>
      <c r="U882" s="20"/>
      <c r="V882" s="20"/>
      <c r="W882" s="20"/>
      <c r="X882" s="20"/>
    </row>
    <row r="883" ht="13.5" customHeight="1" spans="1:24">
      <c r="A883" s="20"/>
      <c r="B883" s="20"/>
      <c r="C883" s="20"/>
      <c r="D883" s="20"/>
      <c r="E883" s="20"/>
      <c r="F883" s="20"/>
      <c r="G883" s="20"/>
      <c r="H883" s="20"/>
      <c r="I883" s="20"/>
      <c r="J883" s="20"/>
      <c r="K883" s="20"/>
      <c r="L883" s="20"/>
      <c r="M883" s="20"/>
      <c r="N883" s="20"/>
      <c r="O883" s="20"/>
      <c r="P883" s="20"/>
      <c r="Q883" s="20"/>
      <c r="R883" s="20"/>
      <c r="S883" s="20"/>
      <c r="T883" s="20"/>
      <c r="U883" s="20"/>
      <c r="V883" s="20"/>
      <c r="W883" s="20"/>
      <c r="X883" s="20"/>
    </row>
    <row r="884" ht="13.5" customHeight="1" spans="1:24">
      <c r="A884" s="20"/>
      <c r="B884" s="20"/>
      <c r="C884" s="20"/>
      <c r="D884" s="20"/>
      <c r="E884" s="20"/>
      <c r="F884" s="20"/>
      <c r="G884" s="20"/>
      <c r="H884" s="20"/>
      <c r="I884" s="20"/>
      <c r="J884" s="20"/>
      <c r="K884" s="20"/>
      <c r="L884" s="20"/>
      <c r="M884" s="20"/>
      <c r="N884" s="20"/>
      <c r="O884" s="20"/>
      <c r="P884" s="20"/>
      <c r="Q884" s="20"/>
      <c r="R884" s="20"/>
      <c r="S884" s="20"/>
      <c r="T884" s="20"/>
      <c r="U884" s="20"/>
      <c r="V884" s="20"/>
      <c r="W884" s="20"/>
      <c r="X884" s="20"/>
    </row>
    <row r="885" ht="13.5" customHeight="1" spans="1:24">
      <c r="A885" s="20"/>
      <c r="B885" s="20"/>
      <c r="C885" s="20"/>
      <c r="D885" s="20"/>
      <c r="E885" s="20"/>
      <c r="F885" s="20"/>
      <c r="G885" s="20"/>
      <c r="H885" s="20"/>
      <c r="I885" s="20"/>
      <c r="J885" s="20"/>
      <c r="K885" s="20"/>
      <c r="L885" s="20"/>
      <c r="M885" s="20"/>
      <c r="N885" s="20"/>
      <c r="O885" s="20"/>
      <c r="P885" s="20"/>
      <c r="Q885" s="20"/>
      <c r="R885" s="20"/>
      <c r="S885" s="20"/>
      <c r="T885" s="20"/>
      <c r="U885" s="20"/>
      <c r="V885" s="20"/>
      <c r="W885" s="20"/>
      <c r="X885" s="20"/>
    </row>
    <row r="886" ht="13.5" customHeight="1" spans="1:24">
      <c r="A886" s="20"/>
      <c r="B886" s="20"/>
      <c r="C886" s="20"/>
      <c r="D886" s="20"/>
      <c r="E886" s="20"/>
      <c r="F886" s="20"/>
      <c r="G886" s="20"/>
      <c r="H886" s="20"/>
      <c r="I886" s="20"/>
      <c r="J886" s="20"/>
      <c r="K886" s="20"/>
      <c r="L886" s="20"/>
      <c r="M886" s="20"/>
      <c r="N886" s="20"/>
      <c r="O886" s="20"/>
      <c r="P886" s="20"/>
      <c r="Q886" s="20"/>
      <c r="R886" s="20"/>
      <c r="S886" s="20"/>
      <c r="T886" s="20"/>
      <c r="U886" s="20"/>
      <c r="V886" s="20"/>
      <c r="W886" s="20"/>
      <c r="X886" s="20"/>
    </row>
    <row r="887" ht="13.5" customHeight="1" spans="1:24">
      <c r="A887" s="20"/>
      <c r="B887" s="20"/>
      <c r="C887" s="20"/>
      <c r="D887" s="20"/>
      <c r="E887" s="20"/>
      <c r="F887" s="20"/>
      <c r="G887" s="20"/>
      <c r="H887" s="20"/>
      <c r="I887" s="20"/>
      <c r="J887" s="20"/>
      <c r="K887" s="20"/>
      <c r="L887" s="20"/>
      <c r="M887" s="20"/>
      <c r="N887" s="20"/>
      <c r="O887" s="20"/>
      <c r="P887" s="20"/>
      <c r="Q887" s="20"/>
      <c r="R887" s="20"/>
      <c r="S887" s="20"/>
      <c r="T887" s="20"/>
      <c r="U887" s="20"/>
      <c r="V887" s="20"/>
      <c r="W887" s="20"/>
      <c r="X887" s="20"/>
    </row>
    <row r="888" ht="13.5" customHeight="1" spans="1:24">
      <c r="A888" s="20"/>
      <c r="B888" s="20"/>
      <c r="C888" s="20"/>
      <c r="D888" s="20"/>
      <c r="E888" s="20"/>
      <c r="F888" s="20"/>
      <c r="G888" s="20"/>
      <c r="H888" s="20"/>
      <c r="I888" s="20"/>
      <c r="J888" s="20"/>
      <c r="K888" s="20"/>
      <c r="L888" s="20"/>
      <c r="M888" s="20"/>
      <c r="N888" s="20"/>
      <c r="O888" s="20"/>
      <c r="P888" s="20"/>
      <c r="Q888" s="20"/>
      <c r="R888" s="20"/>
      <c r="S888" s="20"/>
      <c r="T888" s="20"/>
      <c r="U888" s="20"/>
      <c r="V888" s="20"/>
      <c r="W888" s="20"/>
      <c r="X888" s="20"/>
    </row>
    <row r="889" ht="13.5" customHeight="1" spans="1:24">
      <c r="A889" s="20"/>
      <c r="B889" s="20"/>
      <c r="C889" s="20"/>
      <c r="D889" s="20"/>
      <c r="E889" s="20"/>
      <c r="F889" s="20"/>
      <c r="G889" s="20"/>
      <c r="H889" s="20"/>
      <c r="I889" s="20"/>
      <c r="J889" s="20"/>
      <c r="K889" s="20"/>
      <c r="L889" s="20"/>
      <c r="M889" s="20"/>
      <c r="N889" s="20"/>
      <c r="O889" s="20"/>
      <c r="P889" s="20"/>
      <c r="Q889" s="20"/>
      <c r="R889" s="20"/>
      <c r="S889" s="20"/>
      <c r="T889" s="20"/>
      <c r="U889" s="20"/>
      <c r="V889" s="20"/>
      <c r="W889" s="20"/>
      <c r="X889" s="20"/>
    </row>
    <row r="890" ht="13.5" customHeight="1" spans="1:24">
      <c r="A890" s="20"/>
      <c r="B890" s="20"/>
      <c r="C890" s="20"/>
      <c r="D890" s="20"/>
      <c r="E890" s="20"/>
      <c r="F890" s="20"/>
      <c r="G890" s="20"/>
      <c r="H890" s="20"/>
      <c r="I890" s="20"/>
      <c r="J890" s="20"/>
      <c r="K890" s="20"/>
      <c r="L890" s="20"/>
      <c r="M890" s="20"/>
      <c r="N890" s="20"/>
      <c r="O890" s="20"/>
      <c r="P890" s="20"/>
      <c r="Q890" s="20"/>
      <c r="R890" s="20"/>
      <c r="S890" s="20"/>
      <c r="T890" s="20"/>
      <c r="U890" s="20"/>
      <c r="V890" s="20"/>
      <c r="W890" s="20"/>
      <c r="X890" s="20"/>
    </row>
    <row r="891" ht="13.5" customHeight="1" spans="1:24">
      <c r="A891" s="20"/>
      <c r="B891" s="20"/>
      <c r="C891" s="20"/>
      <c r="D891" s="20"/>
      <c r="E891" s="20"/>
      <c r="F891" s="20"/>
      <c r="G891" s="20"/>
      <c r="H891" s="20"/>
      <c r="I891" s="20"/>
      <c r="J891" s="20"/>
      <c r="K891" s="20"/>
      <c r="L891" s="20"/>
      <c r="M891" s="20"/>
      <c r="N891" s="20"/>
      <c r="O891" s="20"/>
      <c r="P891" s="20"/>
      <c r="Q891" s="20"/>
      <c r="R891" s="20"/>
      <c r="S891" s="20"/>
      <c r="T891" s="20"/>
      <c r="U891" s="20"/>
      <c r="V891" s="20"/>
      <c r="W891" s="20"/>
      <c r="X891" s="20"/>
    </row>
    <row r="892" ht="13.5" customHeight="1" spans="1:24">
      <c r="A892" s="20"/>
      <c r="B892" s="20"/>
      <c r="C892" s="20"/>
      <c r="D892" s="20"/>
      <c r="E892" s="20"/>
      <c r="F892" s="20"/>
      <c r="G892" s="20"/>
      <c r="H892" s="20"/>
      <c r="I892" s="20"/>
      <c r="J892" s="20"/>
      <c r="K892" s="20"/>
      <c r="L892" s="20"/>
      <c r="M892" s="20"/>
      <c r="N892" s="20"/>
      <c r="O892" s="20"/>
      <c r="P892" s="20"/>
      <c r="Q892" s="20"/>
      <c r="R892" s="20"/>
      <c r="S892" s="20"/>
      <c r="T892" s="20"/>
      <c r="U892" s="20"/>
      <c r="V892" s="20"/>
      <c r="W892" s="20"/>
      <c r="X892" s="20"/>
    </row>
    <row r="893" ht="13.5" customHeight="1" spans="1:24">
      <c r="A893" s="20"/>
      <c r="B893" s="20"/>
      <c r="C893" s="20"/>
      <c r="D893" s="20"/>
      <c r="E893" s="20"/>
      <c r="F893" s="20"/>
      <c r="G893" s="20"/>
      <c r="H893" s="20"/>
      <c r="I893" s="20"/>
      <c r="J893" s="20"/>
      <c r="K893" s="20"/>
      <c r="L893" s="20"/>
      <c r="M893" s="20"/>
      <c r="N893" s="20"/>
      <c r="O893" s="20"/>
      <c r="P893" s="20"/>
      <c r="Q893" s="20"/>
      <c r="R893" s="20"/>
      <c r="S893" s="20"/>
      <c r="T893" s="20"/>
      <c r="U893" s="20"/>
      <c r="V893" s="20"/>
      <c r="W893" s="20"/>
      <c r="X893" s="20"/>
    </row>
    <row r="894" ht="13.5" customHeight="1" spans="1:24">
      <c r="A894" s="20"/>
      <c r="B894" s="20"/>
      <c r="C894" s="20"/>
      <c r="D894" s="20"/>
      <c r="E894" s="20"/>
      <c r="F894" s="20"/>
      <c r="G894" s="20"/>
      <c r="H894" s="20"/>
      <c r="I894" s="20"/>
      <c r="J894" s="20"/>
      <c r="K894" s="20"/>
      <c r="L894" s="20"/>
      <c r="M894" s="20"/>
      <c r="N894" s="20"/>
      <c r="O894" s="20"/>
      <c r="P894" s="20"/>
      <c r="Q894" s="20"/>
      <c r="R894" s="20"/>
      <c r="S894" s="20"/>
      <c r="T894" s="20"/>
      <c r="U894" s="20"/>
      <c r="V894" s="20"/>
      <c r="W894" s="20"/>
      <c r="X894" s="20"/>
    </row>
    <row r="895" ht="13.5" customHeight="1" spans="1:24">
      <c r="A895" s="20"/>
      <c r="B895" s="20"/>
      <c r="C895" s="20"/>
      <c r="D895" s="20"/>
      <c r="E895" s="20"/>
      <c r="F895" s="20"/>
      <c r="G895" s="20"/>
      <c r="H895" s="20"/>
      <c r="I895" s="20"/>
      <c r="J895" s="20"/>
      <c r="K895" s="20"/>
      <c r="L895" s="20"/>
      <c r="M895" s="20"/>
      <c r="N895" s="20"/>
      <c r="O895" s="20"/>
      <c r="P895" s="20"/>
      <c r="Q895" s="20"/>
      <c r="R895" s="20"/>
      <c r="S895" s="20"/>
      <c r="T895" s="20"/>
      <c r="U895" s="20"/>
      <c r="V895" s="20"/>
      <c r="W895" s="20"/>
      <c r="X895" s="20"/>
    </row>
    <row r="896" ht="13.5" customHeight="1" spans="1:24">
      <c r="A896" s="20"/>
      <c r="B896" s="20"/>
      <c r="C896" s="20"/>
      <c r="D896" s="20"/>
      <c r="E896" s="20"/>
      <c r="F896" s="20"/>
      <c r="G896" s="20"/>
      <c r="H896" s="20"/>
      <c r="I896" s="20"/>
      <c r="J896" s="20"/>
      <c r="K896" s="20"/>
      <c r="L896" s="20"/>
      <c r="M896" s="20"/>
      <c r="N896" s="20"/>
      <c r="O896" s="20"/>
      <c r="P896" s="20"/>
      <c r="Q896" s="20"/>
      <c r="R896" s="20"/>
      <c r="S896" s="20"/>
      <c r="T896" s="20"/>
      <c r="U896" s="20"/>
      <c r="V896" s="20"/>
      <c r="W896" s="20"/>
      <c r="X896" s="20"/>
    </row>
    <row r="897" ht="13.5" customHeight="1" spans="1:24">
      <c r="A897" s="20"/>
      <c r="B897" s="20"/>
      <c r="C897" s="20"/>
      <c r="D897" s="20"/>
      <c r="E897" s="20"/>
      <c r="F897" s="20"/>
      <c r="G897" s="20"/>
      <c r="H897" s="20"/>
      <c r="I897" s="20"/>
      <c r="J897" s="20"/>
      <c r="K897" s="20"/>
      <c r="L897" s="20"/>
      <c r="M897" s="20"/>
      <c r="N897" s="20"/>
      <c r="O897" s="20"/>
      <c r="P897" s="20"/>
      <c r="Q897" s="20"/>
      <c r="R897" s="20"/>
      <c r="S897" s="20"/>
      <c r="T897" s="20"/>
      <c r="U897" s="20"/>
      <c r="V897" s="20"/>
      <c r="W897" s="20"/>
      <c r="X897" s="20"/>
    </row>
    <row r="898" ht="13.5" customHeight="1" spans="1:24">
      <c r="A898" s="20"/>
      <c r="B898" s="20"/>
      <c r="C898" s="20"/>
      <c r="D898" s="20"/>
      <c r="E898" s="20"/>
      <c r="F898" s="20"/>
      <c r="G898" s="20"/>
      <c r="H898" s="20"/>
      <c r="I898" s="20"/>
      <c r="J898" s="20"/>
      <c r="K898" s="20"/>
      <c r="L898" s="20"/>
      <c r="M898" s="20"/>
      <c r="N898" s="20"/>
      <c r="O898" s="20"/>
      <c r="P898" s="20"/>
      <c r="Q898" s="20"/>
      <c r="R898" s="20"/>
      <c r="S898" s="20"/>
      <c r="T898" s="20"/>
      <c r="U898" s="20"/>
      <c r="V898" s="20"/>
      <c r="W898" s="20"/>
      <c r="X898" s="20"/>
    </row>
    <row r="899" ht="13.5" customHeight="1" spans="1:24">
      <c r="A899" s="20"/>
      <c r="B899" s="20"/>
      <c r="C899" s="20"/>
      <c r="D899" s="20"/>
      <c r="E899" s="20"/>
      <c r="F899" s="20"/>
      <c r="G899" s="20"/>
      <c r="H899" s="20"/>
      <c r="I899" s="20"/>
      <c r="J899" s="20"/>
      <c r="K899" s="20"/>
      <c r="L899" s="20"/>
      <c r="M899" s="20"/>
      <c r="N899" s="20"/>
      <c r="O899" s="20"/>
      <c r="P899" s="20"/>
      <c r="Q899" s="20"/>
      <c r="R899" s="20"/>
      <c r="S899" s="20"/>
      <c r="T899" s="20"/>
      <c r="U899" s="20"/>
      <c r="V899" s="20"/>
      <c r="W899" s="20"/>
      <c r="X899" s="20"/>
    </row>
    <row r="900" ht="13.5" customHeight="1" spans="1:24">
      <c r="A900" s="20"/>
      <c r="B900" s="20"/>
      <c r="C900" s="20"/>
      <c r="D900" s="20"/>
      <c r="E900" s="20"/>
      <c r="F900" s="20"/>
      <c r="G900" s="20"/>
      <c r="H900" s="20"/>
      <c r="I900" s="20"/>
      <c r="J900" s="20"/>
      <c r="K900" s="20"/>
      <c r="L900" s="20"/>
      <c r="M900" s="20"/>
      <c r="N900" s="20"/>
      <c r="O900" s="20"/>
      <c r="P900" s="20"/>
      <c r="Q900" s="20"/>
      <c r="R900" s="20"/>
      <c r="S900" s="20"/>
      <c r="T900" s="20"/>
      <c r="U900" s="20"/>
      <c r="V900" s="20"/>
      <c r="W900" s="20"/>
      <c r="X900" s="20"/>
    </row>
    <row r="901" ht="13.5" customHeight="1" spans="1:24">
      <c r="A901" s="20"/>
      <c r="B901" s="20"/>
      <c r="C901" s="20"/>
      <c r="D901" s="20"/>
      <c r="E901" s="20"/>
      <c r="F901" s="20"/>
      <c r="G901" s="20"/>
      <c r="H901" s="20"/>
      <c r="I901" s="20"/>
      <c r="J901" s="20"/>
      <c r="K901" s="20"/>
      <c r="L901" s="20"/>
      <c r="M901" s="20"/>
      <c r="N901" s="20"/>
      <c r="O901" s="20"/>
      <c r="P901" s="20"/>
      <c r="Q901" s="20"/>
      <c r="R901" s="20"/>
      <c r="S901" s="20"/>
      <c r="T901" s="20"/>
      <c r="U901" s="20"/>
      <c r="V901" s="20"/>
      <c r="W901" s="20"/>
      <c r="X901" s="20"/>
    </row>
    <row r="902" ht="13.5" customHeight="1" spans="1:24">
      <c r="A902" s="20"/>
      <c r="B902" s="20"/>
      <c r="C902" s="20"/>
      <c r="D902" s="20"/>
      <c r="E902" s="20"/>
      <c r="F902" s="20"/>
      <c r="G902" s="20"/>
      <c r="H902" s="20"/>
      <c r="I902" s="20"/>
      <c r="J902" s="20"/>
      <c r="K902" s="20"/>
      <c r="L902" s="20"/>
      <c r="M902" s="20"/>
      <c r="N902" s="20"/>
      <c r="O902" s="20"/>
      <c r="P902" s="20"/>
      <c r="Q902" s="20"/>
      <c r="R902" s="20"/>
      <c r="S902" s="20"/>
      <c r="T902" s="20"/>
      <c r="U902" s="20"/>
      <c r="V902" s="20"/>
      <c r="W902" s="20"/>
      <c r="X902" s="20"/>
    </row>
    <row r="903" ht="13.5" customHeight="1" spans="1:24">
      <c r="A903" s="20"/>
      <c r="B903" s="20"/>
      <c r="C903" s="20"/>
      <c r="D903" s="20"/>
      <c r="E903" s="20"/>
      <c r="F903" s="20"/>
      <c r="G903" s="20"/>
      <c r="H903" s="20"/>
      <c r="I903" s="20"/>
      <c r="J903" s="20"/>
      <c r="K903" s="20"/>
      <c r="L903" s="20"/>
      <c r="M903" s="20"/>
      <c r="N903" s="20"/>
      <c r="O903" s="20"/>
      <c r="P903" s="20"/>
      <c r="Q903" s="20"/>
      <c r="R903" s="20"/>
      <c r="S903" s="20"/>
      <c r="T903" s="20"/>
      <c r="U903" s="20"/>
      <c r="V903" s="20"/>
      <c r="W903" s="20"/>
      <c r="X903" s="20"/>
    </row>
    <row r="904" ht="13.5" customHeight="1" spans="1:24">
      <c r="A904" s="20"/>
      <c r="B904" s="20"/>
      <c r="C904" s="20"/>
      <c r="D904" s="20"/>
      <c r="E904" s="20"/>
      <c r="F904" s="20"/>
      <c r="G904" s="20"/>
      <c r="H904" s="20"/>
      <c r="I904" s="20"/>
      <c r="J904" s="20"/>
      <c r="K904" s="20"/>
      <c r="L904" s="20"/>
      <c r="M904" s="20"/>
      <c r="N904" s="20"/>
      <c r="O904" s="20"/>
      <c r="P904" s="20"/>
      <c r="Q904" s="20"/>
      <c r="R904" s="20"/>
      <c r="S904" s="20"/>
      <c r="T904" s="20"/>
      <c r="U904" s="20"/>
      <c r="V904" s="20"/>
      <c r="W904" s="20"/>
      <c r="X904" s="20"/>
    </row>
    <row r="905" ht="13.5" customHeight="1" spans="1:24">
      <c r="A905" s="20"/>
      <c r="B905" s="20"/>
      <c r="C905" s="20"/>
      <c r="D905" s="20"/>
      <c r="E905" s="20"/>
      <c r="F905" s="20"/>
      <c r="G905" s="20"/>
      <c r="H905" s="20"/>
      <c r="I905" s="20"/>
      <c r="J905" s="20"/>
      <c r="K905" s="20"/>
      <c r="L905" s="20"/>
      <c r="M905" s="20"/>
      <c r="N905" s="20"/>
      <c r="O905" s="20"/>
      <c r="P905" s="20"/>
      <c r="Q905" s="20"/>
      <c r="R905" s="20"/>
      <c r="S905" s="20"/>
      <c r="T905" s="20"/>
      <c r="U905" s="20"/>
      <c r="V905" s="20"/>
      <c r="W905" s="20"/>
      <c r="X905" s="20"/>
    </row>
    <row r="906" ht="13.5" customHeight="1" spans="1:24">
      <c r="A906" s="20"/>
      <c r="B906" s="20"/>
      <c r="C906" s="20"/>
      <c r="D906" s="20"/>
      <c r="E906" s="20"/>
      <c r="F906" s="20"/>
      <c r="G906" s="20"/>
      <c r="H906" s="20"/>
      <c r="I906" s="20"/>
      <c r="J906" s="20"/>
      <c r="K906" s="20"/>
      <c r="L906" s="20"/>
      <c r="M906" s="20"/>
      <c r="N906" s="20"/>
      <c r="O906" s="20"/>
      <c r="P906" s="20"/>
      <c r="Q906" s="20"/>
      <c r="R906" s="20"/>
      <c r="S906" s="20"/>
      <c r="T906" s="20"/>
      <c r="U906" s="20"/>
      <c r="V906" s="20"/>
      <c r="W906" s="20"/>
      <c r="X906" s="20"/>
    </row>
    <row r="907" ht="13.5" customHeight="1" spans="1:24">
      <c r="A907" s="20"/>
      <c r="B907" s="20"/>
      <c r="C907" s="20"/>
      <c r="D907" s="20"/>
      <c r="E907" s="20"/>
      <c r="F907" s="20"/>
      <c r="G907" s="20"/>
      <c r="H907" s="20"/>
      <c r="I907" s="20"/>
      <c r="J907" s="20"/>
      <c r="K907" s="20"/>
      <c r="L907" s="20"/>
      <c r="M907" s="20"/>
      <c r="N907" s="20"/>
      <c r="O907" s="20"/>
      <c r="P907" s="20"/>
      <c r="Q907" s="20"/>
      <c r="R907" s="20"/>
      <c r="S907" s="20"/>
      <c r="T907" s="20"/>
      <c r="U907" s="20"/>
      <c r="V907" s="20"/>
      <c r="W907" s="20"/>
      <c r="X907" s="20"/>
    </row>
    <row r="908" ht="13.5" customHeight="1" spans="1:24">
      <c r="A908" s="20"/>
      <c r="B908" s="20"/>
      <c r="C908" s="20"/>
      <c r="D908" s="20"/>
      <c r="E908" s="20"/>
      <c r="F908" s="20"/>
      <c r="G908" s="20"/>
      <c r="H908" s="20"/>
      <c r="I908" s="20"/>
      <c r="J908" s="20"/>
      <c r="K908" s="20"/>
      <c r="L908" s="20"/>
      <c r="M908" s="20"/>
      <c r="N908" s="20"/>
      <c r="O908" s="20"/>
      <c r="P908" s="20"/>
      <c r="Q908" s="20"/>
      <c r="R908" s="20"/>
      <c r="S908" s="20"/>
      <c r="T908" s="20"/>
      <c r="U908" s="20"/>
      <c r="V908" s="20"/>
      <c r="W908" s="20"/>
      <c r="X908" s="20"/>
    </row>
    <row r="909" ht="13.5" customHeight="1" spans="1:24">
      <c r="A909" s="20"/>
      <c r="B909" s="20"/>
      <c r="C909" s="20"/>
      <c r="D909" s="20"/>
      <c r="E909" s="20"/>
      <c r="F909" s="20"/>
      <c r="G909" s="20"/>
      <c r="H909" s="20"/>
      <c r="I909" s="20"/>
      <c r="J909" s="20"/>
      <c r="K909" s="20"/>
      <c r="L909" s="20"/>
      <c r="M909" s="20"/>
      <c r="N909" s="20"/>
      <c r="O909" s="20"/>
      <c r="P909" s="20"/>
      <c r="Q909" s="20"/>
      <c r="R909" s="20"/>
      <c r="S909" s="20"/>
      <c r="T909" s="20"/>
      <c r="U909" s="20"/>
      <c r="V909" s="20"/>
      <c r="W909" s="20"/>
      <c r="X909" s="20"/>
    </row>
    <row r="910" ht="13.5" customHeight="1" spans="1:24">
      <c r="A910" s="20"/>
      <c r="B910" s="20"/>
      <c r="C910" s="20"/>
      <c r="D910" s="20"/>
      <c r="E910" s="20"/>
      <c r="F910" s="20"/>
      <c r="G910" s="20"/>
      <c r="H910" s="20"/>
      <c r="I910" s="20"/>
      <c r="J910" s="20"/>
      <c r="K910" s="20"/>
      <c r="L910" s="20"/>
      <c r="M910" s="20"/>
      <c r="N910" s="20"/>
      <c r="O910" s="20"/>
      <c r="P910" s="20"/>
      <c r="Q910" s="20"/>
      <c r="R910" s="20"/>
      <c r="S910" s="20"/>
      <c r="T910" s="20"/>
      <c r="U910" s="20"/>
      <c r="V910" s="20"/>
      <c r="W910" s="20"/>
      <c r="X910" s="20"/>
    </row>
    <row r="911" ht="13.5" customHeight="1" spans="1:24">
      <c r="A911" s="20"/>
      <c r="B911" s="20"/>
      <c r="C911" s="20"/>
      <c r="D911" s="20"/>
      <c r="E911" s="20"/>
      <c r="F911" s="20"/>
      <c r="G911" s="20"/>
      <c r="H911" s="20"/>
      <c r="I911" s="20"/>
      <c r="J911" s="20"/>
      <c r="K911" s="20"/>
      <c r="L911" s="20"/>
      <c r="M911" s="20"/>
      <c r="N911" s="20"/>
      <c r="O911" s="20"/>
      <c r="P911" s="20"/>
      <c r="Q911" s="20"/>
      <c r="R911" s="20"/>
      <c r="S911" s="20"/>
      <c r="T911" s="20"/>
      <c r="U911" s="20"/>
      <c r="V911" s="20"/>
      <c r="W911" s="20"/>
      <c r="X911" s="20"/>
    </row>
    <row r="912" ht="13.5" customHeight="1" spans="1:24">
      <c r="A912" s="20"/>
      <c r="B912" s="20"/>
      <c r="C912" s="20"/>
      <c r="D912" s="20"/>
      <c r="E912" s="20"/>
      <c r="F912" s="20"/>
      <c r="G912" s="20"/>
      <c r="H912" s="20"/>
      <c r="I912" s="20"/>
      <c r="J912" s="20"/>
      <c r="K912" s="20"/>
      <c r="L912" s="20"/>
      <c r="M912" s="20"/>
      <c r="N912" s="20"/>
      <c r="O912" s="20"/>
      <c r="P912" s="20"/>
      <c r="Q912" s="20"/>
      <c r="R912" s="20"/>
      <c r="S912" s="20"/>
      <c r="T912" s="20"/>
      <c r="U912" s="20"/>
      <c r="V912" s="20"/>
      <c r="W912" s="20"/>
      <c r="X912" s="20"/>
    </row>
    <row r="913" ht="13.5" customHeight="1" spans="1:24">
      <c r="A913" s="20"/>
      <c r="B913" s="20"/>
      <c r="C913" s="20"/>
      <c r="D913" s="20"/>
      <c r="E913" s="20"/>
      <c r="F913" s="20"/>
      <c r="G913" s="20"/>
      <c r="H913" s="20"/>
      <c r="I913" s="20"/>
      <c r="J913" s="20"/>
      <c r="K913" s="20"/>
      <c r="L913" s="20"/>
      <c r="M913" s="20"/>
      <c r="N913" s="20"/>
      <c r="O913" s="20"/>
      <c r="P913" s="20"/>
      <c r="Q913" s="20"/>
      <c r="R913" s="20"/>
      <c r="S913" s="20"/>
      <c r="T913" s="20"/>
      <c r="U913" s="20"/>
      <c r="V913" s="20"/>
      <c r="W913" s="20"/>
      <c r="X913" s="20"/>
    </row>
    <row r="914" ht="13.5" customHeight="1" spans="1:24">
      <c r="A914" s="20"/>
      <c r="B914" s="20"/>
      <c r="C914" s="20"/>
      <c r="D914" s="20"/>
      <c r="E914" s="20"/>
      <c r="F914" s="20"/>
      <c r="G914" s="20"/>
      <c r="H914" s="20"/>
      <c r="I914" s="20"/>
      <c r="J914" s="20"/>
      <c r="K914" s="20"/>
      <c r="L914" s="20"/>
      <c r="M914" s="20"/>
      <c r="N914" s="20"/>
      <c r="O914" s="20"/>
      <c r="P914" s="20"/>
      <c r="Q914" s="20"/>
      <c r="R914" s="20"/>
      <c r="S914" s="20"/>
      <c r="T914" s="20"/>
      <c r="U914" s="20"/>
      <c r="V914" s="20"/>
      <c r="W914" s="20"/>
      <c r="X914" s="20"/>
    </row>
    <row r="915" ht="13.5" customHeight="1" spans="1:24">
      <c r="A915" s="20"/>
      <c r="B915" s="20"/>
      <c r="C915" s="20"/>
      <c r="D915" s="20"/>
      <c r="E915" s="20"/>
      <c r="F915" s="20"/>
      <c r="G915" s="20"/>
      <c r="H915" s="20"/>
      <c r="I915" s="20"/>
      <c r="J915" s="20"/>
      <c r="K915" s="20"/>
      <c r="L915" s="20"/>
      <c r="M915" s="20"/>
      <c r="N915" s="20"/>
      <c r="O915" s="20"/>
      <c r="P915" s="20"/>
      <c r="Q915" s="20"/>
      <c r="R915" s="20"/>
      <c r="S915" s="20"/>
      <c r="T915" s="20"/>
      <c r="U915" s="20"/>
      <c r="V915" s="20"/>
      <c r="W915" s="20"/>
      <c r="X915" s="20"/>
    </row>
    <row r="916" ht="13.5" customHeight="1" spans="1:24">
      <c r="A916" s="20"/>
      <c r="B916" s="20"/>
      <c r="C916" s="20"/>
      <c r="D916" s="20"/>
      <c r="E916" s="20"/>
      <c r="F916" s="20"/>
      <c r="G916" s="20"/>
      <c r="H916" s="20"/>
      <c r="I916" s="20"/>
      <c r="J916" s="20"/>
      <c r="K916" s="20"/>
      <c r="L916" s="20"/>
      <c r="M916" s="20"/>
      <c r="N916" s="20"/>
      <c r="O916" s="20"/>
      <c r="P916" s="20"/>
      <c r="Q916" s="20"/>
      <c r="R916" s="20"/>
      <c r="S916" s="20"/>
      <c r="T916" s="20"/>
      <c r="U916" s="20"/>
      <c r="V916" s="20"/>
      <c r="W916" s="20"/>
      <c r="X916" s="20"/>
    </row>
    <row r="917" ht="13.5" customHeight="1" spans="1:24">
      <c r="A917" s="20"/>
      <c r="B917" s="20"/>
      <c r="C917" s="20"/>
      <c r="D917" s="20"/>
      <c r="E917" s="20"/>
      <c r="F917" s="20"/>
      <c r="G917" s="20"/>
      <c r="H917" s="20"/>
      <c r="I917" s="20"/>
      <c r="J917" s="20"/>
      <c r="K917" s="20"/>
      <c r="L917" s="20"/>
      <c r="M917" s="20"/>
      <c r="N917" s="20"/>
      <c r="O917" s="20"/>
      <c r="P917" s="20"/>
      <c r="Q917" s="20"/>
      <c r="R917" s="20"/>
      <c r="S917" s="20"/>
      <c r="T917" s="20"/>
      <c r="U917" s="20"/>
      <c r="V917" s="20"/>
      <c r="W917" s="20"/>
      <c r="X917" s="20"/>
    </row>
    <row r="918" ht="13.5" customHeight="1" spans="1:24">
      <c r="A918" s="20"/>
      <c r="B918" s="20"/>
      <c r="C918" s="20"/>
      <c r="D918" s="20"/>
      <c r="E918" s="20"/>
      <c r="F918" s="20"/>
      <c r="G918" s="20"/>
      <c r="H918" s="20"/>
      <c r="I918" s="20"/>
      <c r="J918" s="20"/>
      <c r="K918" s="20"/>
      <c r="L918" s="20"/>
      <c r="M918" s="20"/>
      <c r="N918" s="20"/>
      <c r="O918" s="20"/>
      <c r="P918" s="20"/>
      <c r="Q918" s="20"/>
      <c r="R918" s="20"/>
      <c r="S918" s="20"/>
      <c r="T918" s="20"/>
      <c r="U918" s="20"/>
      <c r="V918" s="20"/>
      <c r="W918" s="20"/>
      <c r="X918" s="20"/>
    </row>
    <row r="919" ht="13.5" customHeight="1" spans="1:24">
      <c r="A919" s="20"/>
      <c r="B919" s="20"/>
      <c r="C919" s="20"/>
      <c r="D919" s="20"/>
      <c r="E919" s="20"/>
      <c r="F919" s="20"/>
      <c r="G919" s="20"/>
      <c r="H919" s="20"/>
      <c r="I919" s="20"/>
      <c r="J919" s="20"/>
      <c r="K919" s="20"/>
      <c r="L919" s="20"/>
      <c r="M919" s="20"/>
      <c r="N919" s="20"/>
      <c r="O919" s="20"/>
      <c r="P919" s="20"/>
      <c r="Q919" s="20"/>
      <c r="R919" s="20"/>
      <c r="S919" s="20"/>
      <c r="T919" s="20"/>
      <c r="U919" s="20"/>
      <c r="V919" s="20"/>
      <c r="W919" s="20"/>
      <c r="X919" s="20"/>
    </row>
    <row r="920" ht="13.5" customHeight="1" spans="1:24">
      <c r="A920" s="20"/>
      <c r="B920" s="20"/>
      <c r="C920" s="20"/>
      <c r="D920" s="20"/>
      <c r="E920" s="20"/>
      <c r="F920" s="20"/>
      <c r="G920" s="20"/>
      <c r="H920" s="20"/>
      <c r="I920" s="20"/>
      <c r="J920" s="20"/>
      <c r="K920" s="20"/>
      <c r="L920" s="20"/>
      <c r="M920" s="20"/>
      <c r="N920" s="20"/>
      <c r="O920" s="20"/>
      <c r="P920" s="20"/>
      <c r="Q920" s="20"/>
      <c r="R920" s="20"/>
      <c r="S920" s="20"/>
      <c r="T920" s="20"/>
      <c r="U920" s="20"/>
      <c r="V920" s="20"/>
      <c r="W920" s="20"/>
      <c r="X920" s="20"/>
    </row>
    <row r="921" ht="13.5" customHeight="1" spans="1:24">
      <c r="A921" s="20"/>
      <c r="B921" s="20"/>
      <c r="C921" s="20"/>
      <c r="D921" s="20"/>
      <c r="E921" s="20"/>
      <c r="F921" s="20"/>
      <c r="G921" s="20"/>
      <c r="H921" s="20"/>
      <c r="I921" s="20"/>
      <c r="J921" s="20"/>
      <c r="K921" s="20"/>
      <c r="L921" s="20"/>
      <c r="M921" s="20"/>
      <c r="N921" s="20"/>
      <c r="O921" s="20"/>
      <c r="P921" s="20"/>
      <c r="Q921" s="20"/>
      <c r="R921" s="20"/>
      <c r="S921" s="20"/>
      <c r="T921" s="20"/>
      <c r="U921" s="20"/>
      <c r="V921" s="20"/>
      <c r="W921" s="20"/>
      <c r="X921" s="20"/>
    </row>
    <row r="922" ht="13.5" customHeight="1" spans="1:24">
      <c r="A922" s="20"/>
      <c r="B922" s="20"/>
      <c r="C922" s="20"/>
      <c r="D922" s="20"/>
      <c r="E922" s="20"/>
      <c r="F922" s="20"/>
      <c r="G922" s="20"/>
      <c r="H922" s="20"/>
      <c r="I922" s="20"/>
      <c r="J922" s="20"/>
      <c r="K922" s="20"/>
      <c r="L922" s="20"/>
      <c r="M922" s="20"/>
      <c r="N922" s="20"/>
      <c r="O922" s="20"/>
      <c r="P922" s="20"/>
      <c r="Q922" s="20"/>
      <c r="R922" s="20"/>
      <c r="S922" s="20"/>
      <c r="T922" s="20"/>
      <c r="U922" s="20"/>
      <c r="V922" s="20"/>
      <c r="W922" s="20"/>
      <c r="X922" s="20"/>
    </row>
    <row r="923" ht="13.5" customHeight="1" spans="1:24">
      <c r="A923" s="20"/>
      <c r="B923" s="20"/>
      <c r="C923" s="20"/>
      <c r="D923" s="20"/>
      <c r="E923" s="20"/>
      <c r="F923" s="20"/>
      <c r="G923" s="20"/>
      <c r="H923" s="20"/>
      <c r="I923" s="20"/>
      <c r="J923" s="20"/>
      <c r="K923" s="20"/>
      <c r="L923" s="20"/>
      <c r="M923" s="20"/>
      <c r="N923" s="20"/>
      <c r="O923" s="20"/>
      <c r="P923" s="20"/>
      <c r="Q923" s="20"/>
      <c r="R923" s="20"/>
      <c r="S923" s="20"/>
      <c r="T923" s="20"/>
      <c r="U923" s="20"/>
      <c r="V923" s="20"/>
      <c r="W923" s="20"/>
      <c r="X923" s="20"/>
    </row>
    <row r="924" ht="13.5" customHeight="1" spans="1:24">
      <c r="A924" s="20"/>
      <c r="B924" s="20"/>
      <c r="C924" s="20"/>
      <c r="D924" s="20"/>
      <c r="E924" s="20"/>
      <c r="F924" s="20"/>
      <c r="G924" s="20"/>
      <c r="H924" s="20"/>
      <c r="I924" s="20"/>
      <c r="J924" s="20"/>
      <c r="K924" s="20"/>
      <c r="L924" s="20"/>
      <c r="M924" s="20"/>
      <c r="N924" s="20"/>
      <c r="O924" s="20"/>
      <c r="P924" s="20"/>
      <c r="Q924" s="20"/>
      <c r="R924" s="20"/>
      <c r="S924" s="20"/>
      <c r="T924" s="20"/>
      <c r="U924" s="20"/>
      <c r="V924" s="20"/>
      <c r="W924" s="20"/>
      <c r="X924" s="20"/>
    </row>
    <row r="925" ht="13.5" customHeight="1" spans="1:24">
      <c r="A925" s="20"/>
      <c r="B925" s="20"/>
      <c r="C925" s="20"/>
      <c r="D925" s="20"/>
      <c r="E925" s="20"/>
      <c r="F925" s="20"/>
      <c r="G925" s="20"/>
      <c r="H925" s="20"/>
      <c r="I925" s="20"/>
      <c r="J925" s="20"/>
      <c r="K925" s="20"/>
      <c r="L925" s="20"/>
      <c r="M925" s="20"/>
      <c r="N925" s="20"/>
      <c r="O925" s="20"/>
      <c r="P925" s="20"/>
      <c r="Q925" s="20"/>
      <c r="R925" s="20"/>
      <c r="S925" s="20"/>
      <c r="T925" s="20"/>
      <c r="U925" s="20"/>
      <c r="V925" s="20"/>
      <c r="W925" s="20"/>
      <c r="X925" s="20"/>
    </row>
    <row r="926" ht="13.5" customHeight="1" spans="1:24">
      <c r="A926" s="20"/>
      <c r="B926" s="20"/>
      <c r="C926" s="20"/>
      <c r="D926" s="20"/>
      <c r="E926" s="20"/>
      <c r="F926" s="20"/>
      <c r="G926" s="20"/>
      <c r="H926" s="20"/>
      <c r="I926" s="20"/>
      <c r="J926" s="20"/>
      <c r="K926" s="20"/>
      <c r="L926" s="20"/>
      <c r="M926" s="20"/>
      <c r="N926" s="20"/>
      <c r="O926" s="20"/>
      <c r="P926" s="20"/>
      <c r="Q926" s="20"/>
      <c r="R926" s="20"/>
      <c r="S926" s="20"/>
      <c r="T926" s="20"/>
      <c r="U926" s="20"/>
      <c r="V926" s="20"/>
      <c r="W926" s="20"/>
      <c r="X926" s="20"/>
    </row>
    <row r="927" ht="13.5" customHeight="1" spans="1:24">
      <c r="A927" s="20"/>
      <c r="B927" s="20"/>
      <c r="C927" s="20"/>
      <c r="D927" s="20"/>
      <c r="E927" s="20"/>
      <c r="F927" s="20"/>
      <c r="G927" s="20"/>
      <c r="H927" s="20"/>
      <c r="I927" s="20"/>
      <c r="J927" s="20"/>
      <c r="K927" s="20"/>
      <c r="L927" s="20"/>
      <c r="M927" s="20"/>
      <c r="N927" s="20"/>
      <c r="O927" s="20"/>
      <c r="P927" s="20"/>
      <c r="Q927" s="20"/>
      <c r="R927" s="20"/>
      <c r="S927" s="20"/>
      <c r="T927" s="20"/>
      <c r="U927" s="20"/>
      <c r="V927" s="20"/>
      <c r="W927" s="20"/>
      <c r="X927" s="20"/>
    </row>
    <row r="928" ht="13.5" customHeight="1" spans="1:24">
      <c r="A928" s="20"/>
      <c r="B928" s="20"/>
      <c r="C928" s="20"/>
      <c r="D928" s="20"/>
      <c r="E928" s="20"/>
      <c r="F928" s="20"/>
      <c r="G928" s="20"/>
      <c r="H928" s="20"/>
      <c r="I928" s="20"/>
      <c r="J928" s="20"/>
      <c r="K928" s="20"/>
      <c r="L928" s="20"/>
      <c r="M928" s="20"/>
      <c r="N928" s="20"/>
      <c r="O928" s="20"/>
      <c r="P928" s="20"/>
      <c r="Q928" s="20"/>
      <c r="R928" s="20"/>
      <c r="S928" s="20"/>
      <c r="T928" s="20"/>
      <c r="U928" s="20"/>
      <c r="V928" s="20"/>
      <c r="W928" s="20"/>
      <c r="X928" s="20"/>
    </row>
    <row r="929" ht="13.5" customHeight="1" spans="1:24">
      <c r="A929" s="20"/>
      <c r="B929" s="20"/>
      <c r="C929" s="20"/>
      <c r="D929" s="20"/>
      <c r="E929" s="20"/>
      <c r="F929" s="20"/>
      <c r="G929" s="20"/>
      <c r="H929" s="20"/>
      <c r="I929" s="20"/>
      <c r="J929" s="20"/>
      <c r="K929" s="20"/>
      <c r="L929" s="20"/>
      <c r="M929" s="20"/>
      <c r="N929" s="20"/>
      <c r="O929" s="20"/>
      <c r="P929" s="20"/>
      <c r="Q929" s="20"/>
      <c r="R929" s="20"/>
      <c r="S929" s="20"/>
      <c r="T929" s="20"/>
      <c r="U929" s="20"/>
      <c r="V929" s="20"/>
      <c r="W929" s="20"/>
      <c r="X929" s="20"/>
    </row>
    <row r="930" ht="13.5" customHeight="1" spans="1:24">
      <c r="A930" s="20"/>
      <c r="B930" s="20"/>
      <c r="C930" s="20"/>
      <c r="D930" s="20"/>
      <c r="E930" s="20"/>
      <c r="F930" s="20"/>
      <c r="G930" s="20"/>
      <c r="H930" s="20"/>
      <c r="I930" s="20"/>
      <c r="J930" s="20"/>
      <c r="K930" s="20"/>
      <c r="L930" s="20"/>
      <c r="M930" s="20"/>
      <c r="N930" s="20"/>
      <c r="O930" s="20"/>
      <c r="P930" s="20"/>
      <c r="Q930" s="20"/>
      <c r="R930" s="20"/>
      <c r="S930" s="20"/>
      <c r="T930" s="20"/>
      <c r="U930" s="20"/>
      <c r="V930" s="20"/>
      <c r="W930" s="20"/>
      <c r="X930" s="20"/>
    </row>
    <row r="931" ht="13.5" customHeight="1" spans="1:24">
      <c r="A931" s="20"/>
      <c r="B931" s="20"/>
      <c r="C931" s="20"/>
      <c r="D931" s="20"/>
      <c r="E931" s="20"/>
      <c r="F931" s="20"/>
      <c r="G931" s="20"/>
      <c r="H931" s="20"/>
      <c r="I931" s="20"/>
      <c r="J931" s="20"/>
      <c r="K931" s="20"/>
      <c r="L931" s="20"/>
      <c r="M931" s="20"/>
      <c r="N931" s="20"/>
      <c r="O931" s="20"/>
      <c r="P931" s="20"/>
      <c r="Q931" s="20"/>
      <c r="R931" s="20"/>
      <c r="S931" s="20"/>
      <c r="T931" s="20"/>
      <c r="U931" s="20"/>
      <c r="V931" s="20"/>
      <c r="W931" s="20"/>
      <c r="X931" s="20"/>
    </row>
    <row r="932" ht="13.5" customHeight="1" spans="1:24">
      <c r="A932" s="20"/>
      <c r="B932" s="20"/>
      <c r="C932" s="20"/>
      <c r="D932" s="20"/>
      <c r="E932" s="20"/>
      <c r="F932" s="20"/>
      <c r="G932" s="20"/>
      <c r="H932" s="20"/>
      <c r="I932" s="20"/>
      <c r="J932" s="20"/>
      <c r="K932" s="20"/>
      <c r="L932" s="20"/>
      <c r="M932" s="20"/>
      <c r="N932" s="20"/>
      <c r="O932" s="20"/>
      <c r="P932" s="20"/>
      <c r="Q932" s="20"/>
      <c r="R932" s="20"/>
      <c r="S932" s="20"/>
      <c r="T932" s="20"/>
      <c r="U932" s="20"/>
      <c r="V932" s="20"/>
      <c r="W932" s="20"/>
      <c r="X932" s="20"/>
    </row>
    <row r="933" ht="13.5" customHeight="1" spans="1:24">
      <c r="A933" s="20"/>
      <c r="B933" s="20"/>
      <c r="C933" s="20"/>
      <c r="D933" s="20"/>
      <c r="E933" s="20"/>
      <c r="F933" s="20"/>
      <c r="G933" s="20"/>
      <c r="H933" s="20"/>
      <c r="I933" s="20"/>
      <c r="J933" s="20"/>
      <c r="K933" s="20"/>
      <c r="L933" s="20"/>
      <c r="M933" s="20"/>
      <c r="N933" s="20"/>
      <c r="O933" s="20"/>
      <c r="P933" s="20"/>
      <c r="Q933" s="20"/>
      <c r="R933" s="20"/>
      <c r="S933" s="20"/>
      <c r="T933" s="20"/>
      <c r="U933" s="20"/>
      <c r="V933" s="20"/>
      <c r="W933" s="20"/>
      <c r="X933" s="20"/>
    </row>
    <row r="934" ht="13.5" customHeight="1" spans="1:24">
      <c r="A934" s="20"/>
      <c r="B934" s="20"/>
      <c r="C934" s="20"/>
      <c r="D934" s="20"/>
      <c r="E934" s="20"/>
      <c r="F934" s="20"/>
      <c r="G934" s="20"/>
      <c r="H934" s="20"/>
      <c r="I934" s="20"/>
      <c r="J934" s="20"/>
      <c r="K934" s="20"/>
      <c r="L934" s="20"/>
      <c r="M934" s="20"/>
      <c r="N934" s="20"/>
      <c r="O934" s="20"/>
      <c r="P934" s="20"/>
      <c r="Q934" s="20"/>
      <c r="R934" s="20"/>
      <c r="S934" s="20"/>
      <c r="T934" s="20"/>
      <c r="U934" s="20"/>
      <c r="V934" s="20"/>
      <c r="W934" s="20"/>
      <c r="X934" s="20"/>
    </row>
    <row r="935" ht="13.5" customHeight="1" spans="1:24">
      <c r="A935" s="20"/>
      <c r="B935" s="20"/>
      <c r="C935" s="20"/>
      <c r="D935" s="20"/>
      <c r="E935" s="20"/>
      <c r="F935" s="20"/>
      <c r="G935" s="20"/>
      <c r="H935" s="20"/>
      <c r="I935" s="20"/>
      <c r="J935" s="20"/>
      <c r="K935" s="20"/>
      <c r="L935" s="20"/>
      <c r="M935" s="20"/>
      <c r="N935" s="20"/>
      <c r="O935" s="20"/>
      <c r="P935" s="20"/>
      <c r="Q935" s="20"/>
      <c r="R935" s="20"/>
      <c r="S935" s="20"/>
      <c r="T935" s="20"/>
      <c r="U935" s="20"/>
      <c r="V935" s="20"/>
      <c r="W935" s="20"/>
      <c r="X935" s="20"/>
    </row>
    <row r="936" ht="13.5" customHeight="1" spans="1:24">
      <c r="A936" s="20"/>
      <c r="B936" s="20"/>
      <c r="C936" s="20"/>
      <c r="D936" s="20"/>
      <c r="E936" s="20"/>
      <c r="F936" s="20"/>
      <c r="G936" s="20"/>
      <c r="H936" s="20"/>
      <c r="I936" s="20"/>
      <c r="J936" s="20"/>
      <c r="K936" s="20"/>
      <c r="L936" s="20"/>
      <c r="M936" s="20"/>
      <c r="N936" s="20"/>
      <c r="O936" s="20"/>
      <c r="P936" s="20"/>
      <c r="Q936" s="20"/>
      <c r="R936" s="20"/>
      <c r="S936" s="20"/>
      <c r="T936" s="20"/>
      <c r="U936" s="20"/>
      <c r="V936" s="20"/>
      <c r="W936" s="20"/>
      <c r="X936" s="20"/>
    </row>
    <row r="937" ht="13.5" customHeight="1" spans="1:24">
      <c r="A937" s="20"/>
      <c r="B937" s="20"/>
      <c r="C937" s="20"/>
      <c r="D937" s="20"/>
      <c r="E937" s="20"/>
      <c r="F937" s="20"/>
      <c r="G937" s="20"/>
      <c r="H937" s="20"/>
      <c r="I937" s="20"/>
      <c r="J937" s="20"/>
      <c r="K937" s="20"/>
      <c r="L937" s="20"/>
      <c r="M937" s="20"/>
      <c r="N937" s="20"/>
      <c r="O937" s="20"/>
      <c r="P937" s="20"/>
      <c r="Q937" s="20"/>
      <c r="R937" s="20"/>
      <c r="S937" s="20"/>
      <c r="T937" s="20"/>
      <c r="U937" s="20"/>
      <c r="V937" s="20"/>
      <c r="W937" s="20"/>
      <c r="X937" s="20"/>
    </row>
    <row r="938" ht="13.5" customHeight="1" spans="1:24">
      <c r="A938" s="20"/>
      <c r="B938" s="20"/>
      <c r="C938" s="20"/>
      <c r="D938" s="20"/>
      <c r="E938" s="20"/>
      <c r="F938" s="20"/>
      <c r="G938" s="20"/>
      <c r="H938" s="20"/>
      <c r="I938" s="20"/>
      <c r="J938" s="20"/>
      <c r="K938" s="20"/>
      <c r="L938" s="20"/>
      <c r="M938" s="20"/>
      <c r="N938" s="20"/>
      <c r="O938" s="20"/>
      <c r="P938" s="20"/>
      <c r="Q938" s="20"/>
      <c r="R938" s="20"/>
      <c r="S938" s="20"/>
      <c r="T938" s="20"/>
      <c r="U938" s="20"/>
      <c r="V938" s="20"/>
      <c r="W938" s="20"/>
      <c r="X938" s="20"/>
    </row>
    <row r="939" ht="13.5" customHeight="1" spans="1:24">
      <c r="A939" s="20"/>
      <c r="B939" s="20"/>
      <c r="C939" s="20"/>
      <c r="D939" s="20"/>
      <c r="E939" s="20"/>
      <c r="F939" s="20"/>
      <c r="G939" s="20"/>
      <c r="H939" s="20"/>
      <c r="I939" s="20"/>
      <c r="J939" s="20"/>
      <c r="K939" s="20"/>
      <c r="L939" s="20"/>
      <c r="M939" s="20"/>
      <c r="N939" s="20"/>
      <c r="O939" s="20"/>
      <c r="P939" s="20"/>
      <c r="Q939" s="20"/>
      <c r="R939" s="20"/>
      <c r="S939" s="20"/>
      <c r="T939" s="20"/>
      <c r="U939" s="20"/>
      <c r="V939" s="20"/>
      <c r="W939" s="20"/>
      <c r="X939" s="20"/>
    </row>
    <row r="940" ht="13.5" customHeight="1" spans="1:24">
      <c r="A940" s="20"/>
      <c r="B940" s="20"/>
      <c r="C940" s="20"/>
      <c r="D940" s="20"/>
      <c r="E940" s="20"/>
      <c r="F940" s="20"/>
      <c r="G940" s="20"/>
      <c r="H940" s="20"/>
      <c r="I940" s="20"/>
      <c r="J940" s="20"/>
      <c r="K940" s="20"/>
      <c r="L940" s="20"/>
      <c r="M940" s="20"/>
      <c r="N940" s="20"/>
      <c r="O940" s="20"/>
      <c r="P940" s="20"/>
      <c r="Q940" s="20"/>
      <c r="R940" s="20"/>
      <c r="S940" s="20"/>
      <c r="T940" s="20"/>
      <c r="U940" s="20"/>
      <c r="V940" s="20"/>
      <c r="W940" s="20"/>
      <c r="X940" s="20"/>
    </row>
    <row r="941" ht="13.5" customHeight="1" spans="1:24">
      <c r="A941" s="20"/>
      <c r="B941" s="20"/>
      <c r="C941" s="20"/>
      <c r="D941" s="20"/>
      <c r="E941" s="20"/>
      <c r="F941" s="20"/>
      <c r="G941" s="20"/>
      <c r="H941" s="20"/>
      <c r="I941" s="20"/>
      <c r="J941" s="20"/>
      <c r="K941" s="20"/>
      <c r="L941" s="20"/>
      <c r="M941" s="20"/>
      <c r="N941" s="20"/>
      <c r="O941" s="20"/>
      <c r="P941" s="20"/>
      <c r="Q941" s="20"/>
      <c r="R941" s="20"/>
      <c r="S941" s="20"/>
      <c r="T941" s="20"/>
      <c r="U941" s="20"/>
      <c r="V941" s="20"/>
      <c r="W941" s="20"/>
      <c r="X941" s="20"/>
    </row>
    <row r="942" ht="13.5" customHeight="1" spans="1:24">
      <c r="A942" s="20"/>
      <c r="B942" s="20"/>
      <c r="C942" s="20"/>
      <c r="D942" s="20"/>
      <c r="E942" s="20"/>
      <c r="F942" s="20"/>
      <c r="G942" s="20"/>
      <c r="H942" s="20"/>
      <c r="I942" s="20"/>
      <c r="J942" s="20"/>
      <c r="K942" s="20"/>
      <c r="L942" s="20"/>
      <c r="M942" s="20"/>
      <c r="N942" s="20"/>
      <c r="O942" s="20"/>
      <c r="P942" s="20"/>
      <c r="Q942" s="20"/>
      <c r="R942" s="20"/>
      <c r="S942" s="20"/>
      <c r="T942" s="20"/>
      <c r="U942" s="20"/>
      <c r="V942" s="20"/>
      <c r="W942" s="20"/>
      <c r="X942" s="20"/>
    </row>
    <row r="943" ht="13.5" customHeight="1" spans="1:24">
      <c r="A943" s="20"/>
      <c r="B943" s="20"/>
      <c r="C943" s="20"/>
      <c r="D943" s="20"/>
      <c r="E943" s="20"/>
      <c r="F943" s="20"/>
      <c r="G943" s="20"/>
      <c r="H943" s="20"/>
      <c r="I943" s="20"/>
      <c r="J943" s="20"/>
      <c r="K943" s="20"/>
      <c r="L943" s="20"/>
      <c r="M943" s="20"/>
      <c r="N943" s="20"/>
      <c r="O943" s="20"/>
      <c r="P943" s="20"/>
      <c r="Q943" s="20"/>
      <c r="R943" s="20"/>
      <c r="S943" s="20"/>
      <c r="T943" s="20"/>
      <c r="U943" s="20"/>
      <c r="V943" s="20"/>
      <c r="W943" s="20"/>
      <c r="X943" s="20"/>
    </row>
    <row r="944" ht="13.5" customHeight="1" spans="1:24">
      <c r="A944" s="20"/>
      <c r="B944" s="20"/>
      <c r="C944" s="20"/>
      <c r="D944" s="20"/>
      <c r="E944" s="20"/>
      <c r="F944" s="20"/>
      <c r="G944" s="20"/>
      <c r="H944" s="20"/>
      <c r="I944" s="20"/>
      <c r="J944" s="20"/>
      <c r="K944" s="20"/>
      <c r="L944" s="20"/>
      <c r="M944" s="20"/>
      <c r="N944" s="20"/>
      <c r="O944" s="20"/>
      <c r="P944" s="20"/>
      <c r="Q944" s="20"/>
      <c r="R944" s="20"/>
      <c r="S944" s="20"/>
      <c r="T944" s="20"/>
      <c r="U944" s="20"/>
      <c r="V944" s="20"/>
      <c r="W944" s="20"/>
      <c r="X944" s="20"/>
    </row>
    <row r="945" ht="13.5" customHeight="1" spans="1:24">
      <c r="A945" s="20"/>
      <c r="B945" s="20"/>
      <c r="C945" s="20"/>
      <c r="D945" s="20"/>
      <c r="E945" s="20"/>
      <c r="F945" s="20"/>
      <c r="G945" s="20"/>
      <c r="H945" s="20"/>
      <c r="I945" s="20"/>
      <c r="J945" s="20"/>
      <c r="K945" s="20"/>
      <c r="L945" s="20"/>
      <c r="M945" s="20"/>
      <c r="N945" s="20"/>
      <c r="O945" s="20"/>
      <c r="P945" s="20"/>
      <c r="Q945" s="20"/>
      <c r="R945" s="20"/>
      <c r="S945" s="20"/>
      <c r="T945" s="20"/>
      <c r="U945" s="20"/>
      <c r="V945" s="20"/>
      <c r="W945" s="20"/>
      <c r="X945" s="20"/>
    </row>
    <row r="946" ht="13.5" customHeight="1" spans="1:24">
      <c r="A946" s="20"/>
      <c r="B946" s="20"/>
      <c r="C946" s="20"/>
      <c r="D946" s="20"/>
      <c r="E946" s="20"/>
      <c r="F946" s="20"/>
      <c r="G946" s="20"/>
      <c r="H946" s="20"/>
      <c r="I946" s="20"/>
      <c r="J946" s="20"/>
      <c r="K946" s="20"/>
      <c r="L946" s="20"/>
      <c r="M946" s="20"/>
      <c r="N946" s="20"/>
      <c r="O946" s="20"/>
      <c r="P946" s="20"/>
      <c r="Q946" s="20"/>
      <c r="R946" s="20"/>
      <c r="S946" s="20"/>
      <c r="T946" s="20"/>
      <c r="U946" s="20"/>
      <c r="V946" s="20"/>
      <c r="W946" s="20"/>
      <c r="X946" s="20"/>
    </row>
    <row r="947" ht="13.5" customHeight="1" spans="1:24">
      <c r="A947" s="20"/>
      <c r="B947" s="20"/>
      <c r="C947" s="20"/>
      <c r="D947" s="20"/>
      <c r="E947" s="20"/>
      <c r="F947" s="20"/>
      <c r="G947" s="20"/>
      <c r="H947" s="20"/>
      <c r="I947" s="20"/>
      <c r="J947" s="20"/>
      <c r="K947" s="20"/>
      <c r="L947" s="20"/>
      <c r="M947" s="20"/>
      <c r="N947" s="20"/>
      <c r="O947" s="20"/>
      <c r="P947" s="20"/>
      <c r="Q947" s="20"/>
      <c r="R947" s="20"/>
      <c r="S947" s="20"/>
      <c r="T947" s="20"/>
      <c r="U947" s="20"/>
      <c r="V947" s="20"/>
      <c r="W947" s="20"/>
      <c r="X947" s="20"/>
    </row>
    <row r="948" ht="13.5" customHeight="1" spans="1:24">
      <c r="A948" s="20"/>
      <c r="B948" s="20"/>
      <c r="C948" s="20"/>
      <c r="D948" s="20"/>
      <c r="E948" s="20"/>
      <c r="F948" s="20"/>
      <c r="G948" s="20"/>
      <c r="H948" s="20"/>
      <c r="I948" s="20"/>
      <c r="J948" s="20"/>
      <c r="K948" s="20"/>
      <c r="L948" s="20"/>
      <c r="M948" s="20"/>
      <c r="N948" s="20"/>
      <c r="O948" s="20"/>
      <c r="P948" s="20"/>
      <c r="Q948" s="20"/>
      <c r="R948" s="20"/>
      <c r="S948" s="20"/>
      <c r="T948" s="20"/>
      <c r="U948" s="20"/>
      <c r="V948" s="20"/>
      <c r="W948" s="20"/>
      <c r="X948" s="20"/>
    </row>
    <row r="949" ht="13.5" customHeight="1" spans="1:24">
      <c r="A949" s="20"/>
      <c r="B949" s="20"/>
      <c r="C949" s="20"/>
      <c r="D949" s="20"/>
      <c r="E949" s="20"/>
      <c r="F949" s="20"/>
      <c r="G949" s="20"/>
      <c r="H949" s="20"/>
      <c r="I949" s="20"/>
      <c r="J949" s="20"/>
      <c r="K949" s="20"/>
      <c r="L949" s="20"/>
      <c r="M949" s="20"/>
      <c r="N949" s="20"/>
      <c r="O949" s="20"/>
      <c r="P949" s="20"/>
      <c r="Q949" s="20"/>
      <c r="R949" s="20"/>
      <c r="S949" s="20"/>
      <c r="T949" s="20"/>
      <c r="U949" s="20"/>
      <c r="V949" s="20"/>
      <c r="W949" s="20"/>
      <c r="X949" s="20"/>
    </row>
    <row r="950" ht="13.5" customHeight="1" spans="1:24">
      <c r="A950" s="20"/>
      <c r="B950" s="20"/>
      <c r="C950" s="20"/>
      <c r="D950" s="20"/>
      <c r="E950" s="20"/>
      <c r="F950" s="20"/>
      <c r="G950" s="20"/>
      <c r="H950" s="20"/>
      <c r="I950" s="20"/>
      <c r="J950" s="20"/>
      <c r="K950" s="20"/>
      <c r="L950" s="20"/>
      <c r="M950" s="20"/>
      <c r="N950" s="20"/>
      <c r="O950" s="20"/>
      <c r="P950" s="20"/>
      <c r="Q950" s="20"/>
      <c r="R950" s="20"/>
      <c r="S950" s="20"/>
      <c r="T950" s="20"/>
      <c r="U950" s="20"/>
      <c r="V950" s="20"/>
      <c r="W950" s="20"/>
      <c r="X950" s="20"/>
    </row>
    <row r="951" ht="13.5" customHeight="1" spans="1:24">
      <c r="A951" s="20"/>
      <c r="B951" s="20"/>
      <c r="C951" s="20"/>
      <c r="D951" s="20"/>
      <c r="E951" s="20"/>
      <c r="F951" s="20"/>
      <c r="G951" s="20"/>
      <c r="H951" s="20"/>
      <c r="I951" s="20"/>
      <c r="J951" s="20"/>
      <c r="K951" s="20"/>
      <c r="L951" s="20"/>
      <c r="M951" s="20"/>
      <c r="N951" s="20"/>
      <c r="O951" s="20"/>
      <c r="P951" s="20"/>
      <c r="Q951" s="20"/>
      <c r="R951" s="20"/>
      <c r="S951" s="20"/>
      <c r="T951" s="20"/>
      <c r="U951" s="20"/>
      <c r="V951" s="20"/>
      <c r="W951" s="20"/>
      <c r="X951" s="20"/>
    </row>
    <row r="952" ht="13.5" customHeight="1" spans="1:24">
      <c r="A952" s="20"/>
      <c r="B952" s="20"/>
      <c r="C952" s="20"/>
      <c r="D952" s="20"/>
      <c r="E952" s="20"/>
      <c r="F952" s="20"/>
      <c r="G952" s="20"/>
      <c r="H952" s="20"/>
      <c r="I952" s="20"/>
      <c r="J952" s="20"/>
      <c r="K952" s="20"/>
      <c r="L952" s="20"/>
      <c r="M952" s="20"/>
      <c r="N952" s="20"/>
      <c r="O952" s="20"/>
      <c r="P952" s="20"/>
      <c r="Q952" s="20"/>
      <c r="R952" s="20"/>
      <c r="S952" s="20"/>
      <c r="T952" s="20"/>
      <c r="U952" s="20"/>
      <c r="V952" s="20"/>
      <c r="W952" s="20"/>
      <c r="X952" s="20"/>
    </row>
    <row r="953" ht="13.5" customHeight="1" spans="1:24">
      <c r="A953" s="20"/>
      <c r="B953" s="20"/>
      <c r="C953" s="20"/>
      <c r="D953" s="20"/>
      <c r="E953" s="20"/>
      <c r="F953" s="20"/>
      <c r="G953" s="20"/>
      <c r="H953" s="20"/>
      <c r="I953" s="20"/>
      <c r="J953" s="20"/>
      <c r="K953" s="20"/>
      <c r="L953" s="20"/>
      <c r="M953" s="20"/>
      <c r="N953" s="20"/>
      <c r="O953" s="20"/>
      <c r="P953" s="20"/>
      <c r="Q953" s="20"/>
      <c r="R953" s="20"/>
      <c r="S953" s="20"/>
      <c r="T953" s="20"/>
      <c r="U953" s="20"/>
      <c r="V953" s="20"/>
      <c r="W953" s="20"/>
      <c r="X953" s="20"/>
    </row>
    <row r="954" ht="13.5" customHeight="1" spans="1:24">
      <c r="A954" s="20"/>
      <c r="B954" s="20"/>
      <c r="C954" s="20"/>
      <c r="D954" s="20"/>
      <c r="E954" s="20"/>
      <c r="F954" s="20"/>
      <c r="G954" s="20"/>
      <c r="H954" s="20"/>
      <c r="I954" s="20"/>
      <c r="J954" s="20"/>
      <c r="K954" s="20"/>
      <c r="L954" s="20"/>
      <c r="M954" s="20"/>
      <c r="N954" s="20"/>
      <c r="O954" s="20"/>
      <c r="P954" s="20"/>
      <c r="Q954" s="20"/>
      <c r="R954" s="20"/>
      <c r="S954" s="20"/>
      <c r="T954" s="20"/>
      <c r="U954" s="20"/>
      <c r="V954" s="20"/>
      <c r="W954" s="20"/>
      <c r="X954" s="20"/>
    </row>
    <row r="955" ht="13.5" customHeight="1" spans="1:24">
      <c r="A955" s="20"/>
      <c r="B955" s="20"/>
      <c r="C955" s="20"/>
      <c r="D955" s="20"/>
      <c r="E955" s="20"/>
      <c r="F955" s="20"/>
      <c r="G955" s="20"/>
      <c r="H955" s="20"/>
      <c r="I955" s="20"/>
      <c r="J955" s="20"/>
      <c r="K955" s="20"/>
      <c r="L955" s="20"/>
      <c r="M955" s="20"/>
      <c r="N955" s="20"/>
      <c r="O955" s="20"/>
      <c r="P955" s="20"/>
      <c r="Q955" s="20"/>
      <c r="R955" s="20"/>
      <c r="S955" s="20"/>
      <c r="T955" s="20"/>
      <c r="U955" s="20"/>
      <c r="V955" s="20"/>
      <c r="W955" s="20"/>
      <c r="X955" s="20"/>
    </row>
    <row r="956" ht="13.5" customHeight="1" spans="1:24">
      <c r="A956" s="20"/>
      <c r="B956" s="20"/>
      <c r="C956" s="20"/>
      <c r="D956" s="20"/>
      <c r="E956" s="20"/>
      <c r="F956" s="20"/>
      <c r="G956" s="20"/>
      <c r="H956" s="20"/>
      <c r="I956" s="20"/>
      <c r="J956" s="20"/>
      <c r="K956" s="20"/>
      <c r="L956" s="20"/>
      <c r="M956" s="20"/>
      <c r="N956" s="20"/>
      <c r="O956" s="20"/>
      <c r="P956" s="20"/>
      <c r="Q956" s="20"/>
      <c r="R956" s="20"/>
      <c r="S956" s="20"/>
      <c r="T956" s="20"/>
      <c r="U956" s="20"/>
      <c r="V956" s="20"/>
      <c r="W956" s="20"/>
      <c r="X956" s="20"/>
    </row>
    <row r="957" ht="13.5" customHeight="1" spans="1:24">
      <c r="A957" s="20"/>
      <c r="B957" s="20"/>
      <c r="C957" s="20"/>
      <c r="D957" s="20"/>
      <c r="E957" s="20"/>
      <c r="F957" s="20"/>
      <c r="G957" s="20"/>
      <c r="H957" s="20"/>
      <c r="I957" s="20"/>
      <c r="J957" s="20"/>
      <c r="K957" s="20"/>
      <c r="L957" s="20"/>
      <c r="M957" s="20"/>
      <c r="N957" s="20"/>
      <c r="O957" s="20"/>
      <c r="P957" s="20"/>
      <c r="Q957" s="20"/>
      <c r="R957" s="20"/>
      <c r="S957" s="20"/>
      <c r="T957" s="20"/>
      <c r="U957" s="20"/>
      <c r="V957" s="20"/>
      <c r="W957" s="20"/>
      <c r="X957" s="20"/>
    </row>
    <row r="958" ht="13.5" customHeight="1" spans="1:24">
      <c r="A958" s="20"/>
      <c r="B958" s="20"/>
      <c r="C958" s="20"/>
      <c r="D958" s="20"/>
      <c r="E958" s="20"/>
      <c r="F958" s="20"/>
      <c r="G958" s="20"/>
      <c r="H958" s="20"/>
      <c r="I958" s="20"/>
      <c r="J958" s="20"/>
      <c r="K958" s="20"/>
      <c r="L958" s="20"/>
      <c r="M958" s="20"/>
      <c r="N958" s="20"/>
      <c r="O958" s="20"/>
      <c r="P958" s="20"/>
      <c r="Q958" s="20"/>
      <c r="R958" s="20"/>
      <c r="S958" s="20"/>
      <c r="T958" s="20"/>
      <c r="U958" s="20"/>
      <c r="V958" s="20"/>
      <c r="W958" s="20"/>
      <c r="X958" s="20"/>
    </row>
    <row r="959" ht="13.5" customHeight="1" spans="1:24">
      <c r="A959" s="20"/>
      <c r="B959" s="20"/>
      <c r="C959" s="20"/>
      <c r="D959" s="20"/>
      <c r="E959" s="20"/>
      <c r="F959" s="20"/>
      <c r="G959" s="20"/>
      <c r="H959" s="20"/>
      <c r="I959" s="20"/>
      <c r="J959" s="20"/>
      <c r="K959" s="20"/>
      <c r="L959" s="20"/>
      <c r="M959" s="20"/>
      <c r="N959" s="20"/>
      <c r="O959" s="20"/>
      <c r="P959" s="20"/>
      <c r="Q959" s="20"/>
      <c r="R959" s="20"/>
      <c r="S959" s="20"/>
      <c r="T959" s="20"/>
      <c r="U959" s="20"/>
      <c r="V959" s="20"/>
      <c r="W959" s="20"/>
      <c r="X959" s="20"/>
    </row>
    <row r="960" ht="13.5" customHeight="1" spans="1:24">
      <c r="A960" s="20"/>
      <c r="B960" s="20"/>
      <c r="C960" s="20"/>
      <c r="D960" s="20"/>
      <c r="E960" s="20"/>
      <c r="F960" s="20"/>
      <c r="G960" s="20"/>
      <c r="H960" s="20"/>
      <c r="I960" s="20"/>
      <c r="J960" s="20"/>
      <c r="K960" s="20"/>
      <c r="L960" s="20"/>
      <c r="M960" s="20"/>
      <c r="N960" s="20"/>
      <c r="O960" s="20"/>
      <c r="P960" s="20"/>
      <c r="Q960" s="20"/>
      <c r="R960" s="20"/>
      <c r="S960" s="20"/>
      <c r="T960" s="20"/>
      <c r="U960" s="20"/>
      <c r="V960" s="20"/>
      <c r="W960" s="20"/>
      <c r="X960" s="20"/>
    </row>
    <row r="961" ht="13.5" customHeight="1" spans="1:24">
      <c r="A961" s="20"/>
      <c r="B961" s="20"/>
      <c r="C961" s="20"/>
      <c r="D961" s="20"/>
      <c r="E961" s="20"/>
      <c r="F961" s="20"/>
      <c r="G961" s="20"/>
      <c r="H961" s="20"/>
      <c r="I961" s="20"/>
      <c r="J961" s="20"/>
      <c r="K961" s="20"/>
      <c r="L961" s="20"/>
      <c r="M961" s="20"/>
      <c r="N961" s="20"/>
      <c r="O961" s="20"/>
      <c r="P961" s="20"/>
      <c r="Q961" s="20"/>
      <c r="R961" s="20"/>
      <c r="S961" s="20"/>
      <c r="T961" s="20"/>
      <c r="U961" s="20"/>
      <c r="V961" s="20"/>
      <c r="W961" s="20"/>
      <c r="X961" s="20"/>
    </row>
    <row r="962" ht="13.5" customHeight="1" spans="1:24">
      <c r="A962" s="20"/>
      <c r="B962" s="20"/>
      <c r="C962" s="20"/>
      <c r="D962" s="20"/>
      <c r="E962" s="20"/>
      <c r="F962" s="20"/>
      <c r="G962" s="20"/>
      <c r="H962" s="20"/>
      <c r="I962" s="20"/>
      <c r="J962" s="20"/>
      <c r="K962" s="20"/>
      <c r="L962" s="20"/>
      <c r="M962" s="20"/>
      <c r="N962" s="20"/>
      <c r="O962" s="20"/>
      <c r="P962" s="20"/>
      <c r="Q962" s="20"/>
      <c r="R962" s="20"/>
      <c r="S962" s="20"/>
      <c r="T962" s="20"/>
      <c r="U962" s="20"/>
      <c r="V962" s="20"/>
      <c r="W962" s="20"/>
      <c r="X962" s="20"/>
    </row>
    <row r="963" ht="13.5" customHeight="1" spans="1:24">
      <c r="A963" s="20"/>
      <c r="B963" s="20"/>
      <c r="C963" s="20"/>
      <c r="D963" s="20"/>
      <c r="E963" s="20"/>
      <c r="F963" s="20"/>
      <c r="G963" s="20"/>
      <c r="H963" s="20"/>
      <c r="I963" s="20"/>
      <c r="J963" s="20"/>
      <c r="K963" s="20"/>
      <c r="L963" s="20"/>
      <c r="M963" s="20"/>
      <c r="N963" s="20"/>
      <c r="O963" s="20"/>
      <c r="P963" s="20"/>
      <c r="Q963" s="20"/>
      <c r="R963" s="20"/>
      <c r="S963" s="20"/>
      <c r="T963" s="20"/>
      <c r="U963" s="20"/>
      <c r="V963" s="20"/>
      <c r="W963" s="20"/>
      <c r="X963" s="20"/>
    </row>
    <row r="964" ht="13.5" customHeight="1" spans="1:24">
      <c r="A964" s="20"/>
      <c r="B964" s="20"/>
      <c r="C964" s="20"/>
      <c r="D964" s="20"/>
      <c r="E964" s="20"/>
      <c r="F964" s="20"/>
      <c r="G964" s="20"/>
      <c r="H964" s="20"/>
      <c r="I964" s="20"/>
      <c r="J964" s="20"/>
      <c r="K964" s="20"/>
      <c r="L964" s="20"/>
      <c r="M964" s="20"/>
      <c r="N964" s="20"/>
      <c r="O964" s="20"/>
      <c r="P964" s="20"/>
      <c r="Q964" s="20"/>
      <c r="R964" s="20"/>
      <c r="S964" s="20"/>
      <c r="T964" s="20"/>
      <c r="U964" s="20"/>
      <c r="V964" s="20"/>
      <c r="W964" s="20"/>
      <c r="X964" s="20"/>
    </row>
    <row r="965" ht="13.5" customHeight="1" spans="1:24">
      <c r="A965" s="20"/>
      <c r="B965" s="20"/>
      <c r="C965" s="20"/>
      <c r="D965" s="20"/>
      <c r="E965" s="20"/>
      <c r="F965" s="20"/>
      <c r="G965" s="20"/>
      <c r="H965" s="20"/>
      <c r="I965" s="20"/>
      <c r="J965" s="20"/>
      <c r="K965" s="20"/>
      <c r="L965" s="20"/>
      <c r="M965" s="20"/>
      <c r="N965" s="20"/>
      <c r="O965" s="20"/>
      <c r="P965" s="20"/>
      <c r="Q965" s="20"/>
      <c r="R965" s="20"/>
      <c r="S965" s="20"/>
      <c r="T965" s="20"/>
      <c r="U965" s="20"/>
      <c r="V965" s="20"/>
      <c r="W965" s="20"/>
      <c r="X965" s="20"/>
    </row>
    <row r="966" ht="13.5" customHeight="1" spans="1:24">
      <c r="A966" s="20"/>
      <c r="B966" s="20"/>
      <c r="C966" s="20"/>
      <c r="D966" s="20"/>
      <c r="E966" s="20"/>
      <c r="F966" s="20"/>
      <c r="G966" s="20"/>
      <c r="H966" s="20"/>
      <c r="I966" s="20"/>
      <c r="J966" s="20"/>
      <c r="K966" s="20"/>
      <c r="L966" s="20"/>
      <c r="M966" s="20"/>
      <c r="N966" s="20"/>
      <c r="O966" s="20"/>
      <c r="P966" s="20"/>
      <c r="Q966" s="20"/>
      <c r="R966" s="20"/>
      <c r="S966" s="20"/>
      <c r="T966" s="20"/>
      <c r="U966" s="20"/>
      <c r="V966" s="20"/>
      <c r="W966" s="20"/>
      <c r="X966" s="20"/>
    </row>
    <row r="967" ht="13.5" customHeight="1" spans="1:24">
      <c r="A967" s="20"/>
      <c r="B967" s="20"/>
      <c r="C967" s="20"/>
      <c r="D967" s="20"/>
      <c r="E967" s="20"/>
      <c r="F967" s="20"/>
      <c r="G967" s="20"/>
      <c r="H967" s="20"/>
      <c r="I967" s="20"/>
      <c r="J967" s="20"/>
      <c r="K967" s="20"/>
      <c r="L967" s="20"/>
      <c r="M967" s="20"/>
      <c r="N967" s="20"/>
      <c r="O967" s="20"/>
      <c r="P967" s="20"/>
      <c r="Q967" s="20"/>
      <c r="R967" s="20"/>
      <c r="S967" s="20"/>
      <c r="T967" s="20"/>
      <c r="U967" s="20"/>
      <c r="V967" s="20"/>
      <c r="W967" s="20"/>
      <c r="X967" s="20"/>
    </row>
    <row r="968" ht="13.5" customHeight="1" spans="1:24">
      <c r="A968" s="20"/>
      <c r="B968" s="20"/>
      <c r="C968" s="20"/>
      <c r="D968" s="20"/>
      <c r="E968" s="20"/>
      <c r="F968" s="20"/>
      <c r="G968" s="20"/>
      <c r="H968" s="20"/>
      <c r="I968" s="20"/>
      <c r="J968" s="20"/>
      <c r="K968" s="20"/>
      <c r="L968" s="20"/>
      <c r="M968" s="20"/>
      <c r="N968" s="20"/>
      <c r="O968" s="20"/>
      <c r="P968" s="20"/>
      <c r="Q968" s="20"/>
      <c r="R968" s="20"/>
      <c r="S968" s="20"/>
      <c r="T968" s="20"/>
      <c r="U968" s="20"/>
      <c r="V968" s="20"/>
      <c r="W968" s="20"/>
      <c r="X968" s="20"/>
    </row>
    <row r="969" ht="13.5" customHeight="1" spans="1:24">
      <c r="A969" s="20"/>
      <c r="B969" s="20"/>
      <c r="C969" s="20"/>
      <c r="D969" s="20"/>
      <c r="E969" s="20"/>
      <c r="F969" s="20"/>
      <c r="G969" s="20"/>
      <c r="H969" s="20"/>
      <c r="I969" s="20"/>
      <c r="J969" s="20"/>
      <c r="K969" s="20"/>
      <c r="L969" s="20"/>
      <c r="M969" s="20"/>
      <c r="N969" s="20"/>
      <c r="O969" s="20"/>
      <c r="P969" s="20"/>
      <c r="Q969" s="20"/>
      <c r="R969" s="20"/>
      <c r="S969" s="20"/>
      <c r="T969" s="20"/>
      <c r="U969" s="20"/>
      <c r="V969" s="20"/>
      <c r="W969" s="20"/>
      <c r="X969" s="20"/>
    </row>
    <row r="970" ht="13.5" customHeight="1" spans="1:24">
      <c r="A970" s="20"/>
      <c r="B970" s="20"/>
      <c r="C970" s="20"/>
      <c r="D970" s="20"/>
      <c r="E970" s="20"/>
      <c r="F970" s="20"/>
      <c r="G970" s="20"/>
      <c r="H970" s="20"/>
      <c r="I970" s="20"/>
      <c r="J970" s="20"/>
      <c r="K970" s="20"/>
      <c r="L970" s="20"/>
      <c r="M970" s="20"/>
      <c r="N970" s="20"/>
      <c r="O970" s="20"/>
      <c r="P970" s="20"/>
      <c r="Q970" s="20"/>
      <c r="R970" s="20"/>
      <c r="S970" s="20"/>
      <c r="T970" s="20"/>
      <c r="U970" s="20"/>
      <c r="V970" s="20"/>
      <c r="W970" s="20"/>
      <c r="X970" s="20"/>
    </row>
    <row r="971" ht="13.5" customHeight="1" spans="1:24">
      <c r="A971" s="20"/>
      <c r="B971" s="20"/>
      <c r="C971" s="20"/>
      <c r="D971" s="20"/>
      <c r="E971" s="20"/>
      <c r="F971" s="20"/>
      <c r="G971" s="20"/>
      <c r="H971" s="20"/>
      <c r="I971" s="20"/>
      <c r="J971" s="20"/>
      <c r="K971" s="20"/>
      <c r="L971" s="20"/>
      <c r="M971" s="20"/>
      <c r="N971" s="20"/>
      <c r="O971" s="20"/>
      <c r="P971" s="20"/>
      <c r="Q971" s="20"/>
      <c r="R971" s="20"/>
      <c r="S971" s="20"/>
      <c r="T971" s="20"/>
      <c r="U971" s="20"/>
      <c r="V971" s="20"/>
      <c r="W971" s="20"/>
      <c r="X971" s="20"/>
    </row>
    <row r="972" ht="13.5" customHeight="1" spans="1:24">
      <c r="A972" s="20"/>
      <c r="B972" s="20"/>
      <c r="C972" s="20"/>
      <c r="D972" s="20"/>
      <c r="E972" s="20"/>
      <c r="F972" s="20"/>
      <c r="G972" s="20"/>
      <c r="H972" s="20"/>
      <c r="I972" s="20"/>
      <c r="J972" s="20"/>
      <c r="K972" s="20"/>
      <c r="L972" s="20"/>
      <c r="M972" s="20"/>
      <c r="N972" s="20"/>
      <c r="O972" s="20"/>
      <c r="P972" s="20"/>
      <c r="Q972" s="20"/>
      <c r="R972" s="20"/>
      <c r="S972" s="20"/>
      <c r="T972" s="20"/>
      <c r="U972" s="20"/>
      <c r="V972" s="20"/>
      <c r="W972" s="20"/>
      <c r="X972" s="20"/>
    </row>
    <row r="973" ht="13.5" customHeight="1" spans="1:24">
      <c r="A973" s="20"/>
      <c r="B973" s="20"/>
      <c r="C973" s="20"/>
      <c r="D973" s="20"/>
      <c r="E973" s="20"/>
      <c r="F973" s="20"/>
      <c r="G973" s="20"/>
      <c r="H973" s="20"/>
      <c r="I973" s="20"/>
      <c r="J973" s="20"/>
      <c r="K973" s="20"/>
      <c r="L973" s="20"/>
      <c r="M973" s="20"/>
      <c r="N973" s="20"/>
      <c r="O973" s="20"/>
      <c r="P973" s="20"/>
      <c r="Q973" s="20"/>
      <c r="R973" s="20"/>
      <c r="S973" s="20"/>
      <c r="T973" s="20"/>
      <c r="U973" s="20"/>
      <c r="V973" s="20"/>
      <c r="W973" s="20"/>
      <c r="X973" s="20"/>
    </row>
    <row r="974" ht="13.5" customHeight="1" spans="1:24">
      <c r="A974" s="20"/>
      <c r="B974" s="20"/>
      <c r="C974" s="20"/>
      <c r="D974" s="20"/>
      <c r="E974" s="20"/>
      <c r="F974" s="20"/>
      <c r="G974" s="20"/>
      <c r="H974" s="20"/>
      <c r="I974" s="20"/>
      <c r="J974" s="20"/>
      <c r="K974" s="20"/>
      <c r="L974" s="20"/>
      <c r="M974" s="20"/>
      <c r="N974" s="20"/>
      <c r="O974" s="20"/>
      <c r="P974" s="20"/>
      <c r="Q974" s="20"/>
      <c r="R974" s="20"/>
      <c r="S974" s="20"/>
      <c r="T974" s="20"/>
      <c r="U974" s="20"/>
      <c r="V974" s="20"/>
      <c r="W974" s="20"/>
      <c r="X974" s="20"/>
    </row>
    <row r="975" ht="13.5" customHeight="1" spans="1:24">
      <c r="A975" s="20"/>
      <c r="B975" s="20"/>
      <c r="C975" s="20"/>
      <c r="D975" s="20"/>
      <c r="E975" s="20"/>
      <c r="F975" s="20"/>
      <c r="G975" s="20"/>
      <c r="H975" s="20"/>
      <c r="I975" s="20"/>
      <c r="J975" s="20"/>
      <c r="K975" s="20"/>
      <c r="L975" s="20"/>
      <c r="M975" s="20"/>
      <c r="N975" s="20"/>
      <c r="O975" s="20"/>
      <c r="P975" s="20"/>
      <c r="Q975" s="20"/>
      <c r="R975" s="20"/>
      <c r="S975" s="20"/>
      <c r="T975" s="20"/>
      <c r="U975" s="20"/>
      <c r="V975" s="20"/>
      <c r="W975" s="20"/>
      <c r="X975" s="20"/>
    </row>
    <row r="976" ht="13.5" customHeight="1" spans="1:24">
      <c r="A976" s="20"/>
      <c r="B976" s="20"/>
      <c r="C976" s="20"/>
      <c r="D976" s="20"/>
      <c r="E976" s="20"/>
      <c r="F976" s="20"/>
      <c r="G976" s="20"/>
      <c r="H976" s="20"/>
      <c r="I976" s="20"/>
      <c r="J976" s="20"/>
      <c r="K976" s="20"/>
      <c r="L976" s="20"/>
      <c r="M976" s="20"/>
      <c r="N976" s="20"/>
      <c r="O976" s="20"/>
      <c r="P976" s="20"/>
      <c r="Q976" s="20"/>
      <c r="R976" s="20"/>
      <c r="S976" s="20"/>
      <c r="T976" s="20"/>
      <c r="U976" s="20"/>
      <c r="V976" s="20"/>
      <c r="W976" s="20"/>
      <c r="X976" s="20"/>
    </row>
    <row r="977" ht="13.5" customHeight="1" spans="1:24">
      <c r="A977" s="20"/>
      <c r="B977" s="20"/>
      <c r="C977" s="20"/>
      <c r="D977" s="20"/>
      <c r="E977" s="20"/>
      <c r="F977" s="20"/>
      <c r="G977" s="20"/>
      <c r="H977" s="20"/>
      <c r="I977" s="20"/>
      <c r="J977" s="20"/>
      <c r="K977" s="20"/>
      <c r="L977" s="20"/>
      <c r="M977" s="20"/>
      <c r="N977" s="20"/>
      <c r="O977" s="20"/>
      <c r="P977" s="20"/>
      <c r="Q977" s="20"/>
      <c r="R977" s="20"/>
      <c r="S977" s="20"/>
      <c r="T977" s="20"/>
      <c r="U977" s="20"/>
      <c r="V977" s="20"/>
      <c r="W977" s="20"/>
      <c r="X977" s="20"/>
    </row>
    <row r="978" ht="13.5" customHeight="1" spans="1:24">
      <c r="A978" s="20"/>
      <c r="B978" s="20"/>
      <c r="C978" s="20"/>
      <c r="D978" s="20"/>
      <c r="E978" s="20"/>
      <c r="F978" s="20"/>
      <c r="G978" s="20"/>
      <c r="H978" s="20"/>
      <c r="I978" s="20"/>
      <c r="J978" s="20"/>
      <c r="K978" s="20"/>
      <c r="L978" s="20"/>
      <c r="M978" s="20"/>
      <c r="N978" s="20"/>
      <c r="O978" s="20"/>
      <c r="P978" s="20"/>
      <c r="Q978" s="20"/>
      <c r="R978" s="20"/>
      <c r="S978" s="20"/>
      <c r="T978" s="20"/>
      <c r="U978" s="20"/>
      <c r="V978" s="20"/>
      <c r="W978" s="20"/>
      <c r="X978" s="20"/>
    </row>
    <row r="979" ht="13.5" customHeight="1" spans="1:24">
      <c r="A979" s="20"/>
      <c r="B979" s="20"/>
      <c r="C979" s="20"/>
      <c r="D979" s="20"/>
      <c r="E979" s="20"/>
      <c r="F979" s="20"/>
      <c r="G979" s="20"/>
      <c r="H979" s="20"/>
      <c r="I979" s="20"/>
      <c r="J979" s="20"/>
      <c r="K979" s="20"/>
      <c r="L979" s="20"/>
      <c r="M979" s="20"/>
      <c r="N979" s="20"/>
      <c r="O979" s="20"/>
      <c r="P979" s="20"/>
      <c r="Q979" s="20"/>
      <c r="R979" s="20"/>
      <c r="S979" s="20"/>
      <c r="T979" s="20"/>
      <c r="U979" s="20"/>
      <c r="V979" s="20"/>
      <c r="W979" s="20"/>
      <c r="X979" s="20"/>
    </row>
    <row r="980" ht="13.5" customHeight="1" spans="1:24">
      <c r="A980" s="20"/>
      <c r="B980" s="20"/>
      <c r="C980" s="20"/>
      <c r="D980" s="20"/>
      <c r="E980" s="20"/>
      <c r="F980" s="20"/>
      <c r="G980" s="20"/>
      <c r="H980" s="20"/>
      <c r="I980" s="20"/>
      <c r="J980" s="20"/>
      <c r="K980" s="20"/>
      <c r="L980" s="20"/>
      <c r="M980" s="20"/>
      <c r="N980" s="20"/>
      <c r="O980" s="20"/>
      <c r="P980" s="20"/>
      <c r="Q980" s="20"/>
      <c r="R980" s="20"/>
      <c r="S980" s="20"/>
      <c r="T980" s="20"/>
      <c r="U980" s="20"/>
      <c r="V980" s="20"/>
      <c r="W980" s="20"/>
      <c r="X980" s="20"/>
    </row>
    <row r="981" ht="13.5" customHeight="1" spans="1:24">
      <c r="A981" s="20"/>
      <c r="B981" s="20"/>
      <c r="C981" s="20"/>
      <c r="D981" s="20"/>
      <c r="E981" s="20"/>
      <c r="F981" s="20"/>
      <c r="G981" s="20"/>
      <c r="H981" s="20"/>
      <c r="I981" s="20"/>
      <c r="J981" s="20"/>
      <c r="K981" s="20"/>
      <c r="L981" s="20"/>
      <c r="M981" s="20"/>
      <c r="N981" s="20"/>
      <c r="O981" s="20"/>
      <c r="P981" s="20"/>
      <c r="Q981" s="20"/>
      <c r="R981" s="20"/>
      <c r="S981" s="20"/>
      <c r="T981" s="20"/>
      <c r="U981" s="20"/>
      <c r="V981" s="20"/>
      <c r="W981" s="20"/>
      <c r="X981" s="20"/>
    </row>
    <row r="982" ht="13.5" customHeight="1" spans="1:24">
      <c r="A982" s="20"/>
      <c r="B982" s="20"/>
      <c r="C982" s="20"/>
      <c r="D982" s="20"/>
      <c r="E982" s="20"/>
      <c r="F982" s="20"/>
      <c r="G982" s="20"/>
      <c r="H982" s="20"/>
      <c r="I982" s="20"/>
      <c r="J982" s="20"/>
      <c r="K982" s="20"/>
      <c r="L982" s="20"/>
      <c r="M982" s="20"/>
      <c r="N982" s="20"/>
      <c r="O982" s="20"/>
      <c r="P982" s="20"/>
      <c r="Q982" s="20"/>
      <c r="R982" s="20"/>
      <c r="S982" s="20"/>
      <c r="T982" s="20"/>
      <c r="U982" s="20"/>
      <c r="V982" s="20"/>
      <c r="W982" s="20"/>
      <c r="X982" s="20"/>
    </row>
    <row r="983" ht="13.5" customHeight="1" spans="1:24">
      <c r="A983" s="20"/>
      <c r="B983" s="20"/>
      <c r="C983" s="20"/>
      <c r="D983" s="20"/>
      <c r="E983" s="20"/>
      <c r="F983" s="20"/>
      <c r="G983" s="20"/>
      <c r="H983" s="20"/>
      <c r="I983" s="20"/>
      <c r="J983" s="20"/>
      <c r="K983" s="20"/>
      <c r="L983" s="20"/>
      <c r="M983" s="20"/>
      <c r="N983" s="20"/>
      <c r="O983" s="20"/>
      <c r="P983" s="20"/>
      <c r="Q983" s="20"/>
      <c r="R983" s="20"/>
      <c r="S983" s="20"/>
      <c r="T983" s="20"/>
      <c r="U983" s="20"/>
      <c r="V983" s="20"/>
      <c r="W983" s="20"/>
      <c r="X983" s="20"/>
    </row>
    <row r="984" ht="13.5" customHeight="1" spans="1:24">
      <c r="A984" s="20"/>
      <c r="B984" s="20"/>
      <c r="C984" s="20"/>
      <c r="D984" s="20"/>
      <c r="E984" s="20"/>
      <c r="F984" s="20"/>
      <c r="G984" s="20"/>
      <c r="H984" s="20"/>
      <c r="I984" s="20"/>
      <c r="J984" s="20"/>
      <c r="K984" s="20"/>
      <c r="L984" s="20"/>
      <c r="M984" s="20"/>
      <c r="N984" s="20"/>
      <c r="O984" s="20"/>
      <c r="P984" s="20"/>
      <c r="Q984" s="20"/>
      <c r="R984" s="20"/>
      <c r="S984" s="20"/>
      <c r="T984" s="20"/>
      <c r="U984" s="20"/>
      <c r="V984" s="20"/>
      <c r="W984" s="20"/>
      <c r="X984" s="20"/>
    </row>
    <row r="985" ht="13.5" customHeight="1" spans="1:24">
      <c r="A985" s="20"/>
      <c r="B985" s="20"/>
      <c r="C985" s="20"/>
      <c r="D985" s="20"/>
      <c r="E985" s="20"/>
      <c r="F985" s="20"/>
      <c r="G985" s="20"/>
      <c r="H985" s="20"/>
      <c r="I985" s="20"/>
      <c r="J985" s="20"/>
      <c r="K985" s="20"/>
      <c r="L985" s="20"/>
      <c r="M985" s="20"/>
      <c r="N985" s="20"/>
      <c r="O985" s="20"/>
      <c r="P985" s="20"/>
      <c r="Q985" s="20"/>
      <c r="R985" s="20"/>
      <c r="S985" s="20"/>
      <c r="T985" s="20"/>
      <c r="U985" s="20"/>
      <c r="V985" s="20"/>
      <c r="W985" s="20"/>
      <c r="X985" s="20"/>
    </row>
    <row r="986" ht="13.5" customHeight="1" spans="1:24">
      <c r="A986" s="20"/>
      <c r="B986" s="20"/>
      <c r="C986" s="20"/>
      <c r="D986" s="20"/>
      <c r="E986" s="20"/>
      <c r="F986" s="20"/>
      <c r="G986" s="20"/>
      <c r="H986" s="20"/>
      <c r="I986" s="20"/>
      <c r="J986" s="20"/>
      <c r="K986" s="20"/>
      <c r="L986" s="20"/>
      <c r="M986" s="20"/>
      <c r="N986" s="20"/>
      <c r="O986" s="20"/>
      <c r="P986" s="20"/>
      <c r="Q986" s="20"/>
      <c r="R986" s="20"/>
      <c r="S986" s="20"/>
      <c r="T986" s="20"/>
      <c r="U986" s="20"/>
      <c r="V986" s="20"/>
      <c r="W986" s="20"/>
      <c r="X986" s="20"/>
    </row>
    <row r="987" ht="13.5" customHeight="1" spans="1:24">
      <c r="A987" s="20"/>
      <c r="B987" s="20"/>
      <c r="C987" s="20"/>
      <c r="D987" s="20"/>
      <c r="E987" s="20"/>
      <c r="F987" s="20"/>
      <c r="G987" s="20"/>
      <c r="H987" s="20"/>
      <c r="I987" s="20"/>
      <c r="J987" s="20"/>
      <c r="K987" s="20"/>
      <c r="L987" s="20"/>
      <c r="M987" s="20"/>
      <c r="N987" s="20"/>
      <c r="O987" s="20"/>
      <c r="P987" s="20"/>
      <c r="Q987" s="20"/>
      <c r="R987" s="20"/>
      <c r="S987" s="20"/>
      <c r="T987" s="20"/>
      <c r="U987" s="20"/>
      <c r="V987" s="20"/>
      <c r="W987" s="20"/>
      <c r="X987" s="20"/>
    </row>
    <row r="988" ht="13.5" customHeight="1" spans="1:24">
      <c r="A988" s="20"/>
      <c r="B988" s="20"/>
      <c r="C988" s="20"/>
      <c r="D988" s="20"/>
      <c r="E988" s="20"/>
      <c r="F988" s="20"/>
      <c r="G988" s="20"/>
      <c r="H988" s="20"/>
      <c r="I988" s="20"/>
      <c r="J988" s="20"/>
      <c r="K988" s="20"/>
      <c r="L988" s="20"/>
      <c r="M988" s="20"/>
      <c r="N988" s="20"/>
      <c r="O988" s="20"/>
      <c r="P988" s="20"/>
      <c r="Q988" s="20"/>
      <c r="R988" s="20"/>
      <c r="S988" s="20"/>
      <c r="T988" s="20"/>
      <c r="U988" s="20"/>
      <c r="V988" s="20"/>
      <c r="W988" s="20"/>
      <c r="X988" s="20"/>
    </row>
    <row r="989" ht="13.5" customHeight="1" spans="1:24">
      <c r="A989" s="20"/>
      <c r="B989" s="20"/>
      <c r="C989" s="20"/>
      <c r="D989" s="20"/>
      <c r="E989" s="20"/>
      <c r="F989" s="20"/>
      <c r="G989" s="20"/>
      <c r="H989" s="20"/>
      <c r="I989" s="20"/>
      <c r="J989" s="20"/>
      <c r="K989" s="20"/>
      <c r="L989" s="20"/>
      <c r="M989" s="20"/>
      <c r="N989" s="20"/>
      <c r="O989" s="20"/>
      <c r="P989" s="20"/>
      <c r="Q989" s="20"/>
      <c r="R989" s="20"/>
      <c r="S989" s="20"/>
      <c r="T989" s="20"/>
      <c r="U989" s="20"/>
      <c r="V989" s="20"/>
      <c r="W989" s="20"/>
      <c r="X989" s="20"/>
    </row>
    <row r="990" ht="13.5" customHeight="1" spans="1:24">
      <c r="A990" s="20"/>
      <c r="B990" s="20"/>
      <c r="C990" s="20"/>
      <c r="D990" s="20"/>
      <c r="E990" s="20"/>
      <c r="F990" s="20"/>
      <c r="G990" s="20"/>
      <c r="H990" s="20"/>
      <c r="I990" s="20"/>
      <c r="J990" s="20"/>
      <c r="K990" s="20"/>
      <c r="L990" s="20"/>
      <c r="M990" s="20"/>
      <c r="N990" s="20"/>
      <c r="O990" s="20"/>
      <c r="P990" s="20"/>
      <c r="Q990" s="20"/>
      <c r="R990" s="20"/>
      <c r="S990" s="20"/>
      <c r="T990" s="20"/>
      <c r="U990" s="20"/>
      <c r="V990" s="20"/>
      <c r="W990" s="20"/>
      <c r="X990" s="20"/>
    </row>
    <row r="991" ht="13.5" customHeight="1" spans="1:24">
      <c r="A991" s="20"/>
      <c r="B991" s="20"/>
      <c r="C991" s="20"/>
      <c r="D991" s="20"/>
      <c r="E991" s="20"/>
      <c r="F991" s="20"/>
      <c r="G991" s="20"/>
      <c r="H991" s="20"/>
      <c r="I991" s="20"/>
      <c r="J991" s="20"/>
      <c r="K991" s="20"/>
      <c r="L991" s="20"/>
      <c r="M991" s="20"/>
      <c r="N991" s="20"/>
      <c r="O991" s="20"/>
      <c r="P991" s="20"/>
      <c r="Q991" s="20"/>
      <c r="R991" s="20"/>
      <c r="S991" s="20"/>
      <c r="T991" s="20"/>
      <c r="U991" s="20"/>
      <c r="V991" s="20"/>
      <c r="W991" s="20"/>
      <c r="X991" s="20"/>
    </row>
    <row r="992" ht="13.5" customHeight="1" spans="1:24">
      <c r="A992" s="20"/>
      <c r="B992" s="20"/>
      <c r="C992" s="20"/>
      <c r="D992" s="20"/>
      <c r="E992" s="20"/>
      <c r="F992" s="20"/>
      <c r="G992" s="20"/>
      <c r="H992" s="20"/>
      <c r="I992" s="20"/>
      <c r="J992" s="20"/>
      <c r="K992" s="20"/>
      <c r="L992" s="20"/>
      <c r="M992" s="20"/>
      <c r="N992" s="20"/>
      <c r="O992" s="20"/>
      <c r="P992" s="20"/>
      <c r="Q992" s="20"/>
      <c r="R992" s="20"/>
      <c r="S992" s="20"/>
      <c r="T992" s="20"/>
      <c r="U992" s="20"/>
      <c r="V992" s="20"/>
      <c r="W992" s="20"/>
      <c r="X992" s="20"/>
    </row>
    <row r="993" ht="13.5" customHeight="1" spans="1:24">
      <c r="A993" s="20"/>
      <c r="B993" s="20"/>
      <c r="C993" s="20"/>
      <c r="D993" s="20"/>
      <c r="E993" s="20"/>
      <c r="F993" s="20"/>
      <c r="G993" s="20"/>
      <c r="H993" s="20"/>
      <c r="I993" s="20"/>
      <c r="J993" s="20"/>
      <c r="K993" s="20"/>
      <c r="L993" s="20"/>
      <c r="M993" s="20"/>
      <c r="N993" s="20"/>
      <c r="O993" s="20"/>
      <c r="P993" s="20"/>
      <c r="Q993" s="20"/>
      <c r="R993" s="20"/>
      <c r="S993" s="20"/>
      <c r="T993" s="20"/>
      <c r="U993" s="20"/>
      <c r="V993" s="20"/>
      <c r="W993" s="20"/>
      <c r="X993" s="20"/>
    </row>
    <row r="994" ht="13.5" customHeight="1" spans="1:24">
      <c r="A994" s="20"/>
      <c r="B994" s="20"/>
      <c r="C994" s="20"/>
      <c r="D994" s="20"/>
      <c r="E994" s="20"/>
      <c r="F994" s="20"/>
      <c r="G994" s="20"/>
      <c r="H994" s="20"/>
      <c r="I994" s="20"/>
      <c r="J994" s="20"/>
      <c r="K994" s="20"/>
      <c r="L994" s="20"/>
      <c r="M994" s="20"/>
      <c r="N994" s="20"/>
      <c r="O994" s="20"/>
      <c r="P994" s="20"/>
      <c r="Q994" s="20"/>
      <c r="R994" s="20"/>
      <c r="S994" s="20"/>
      <c r="T994" s="20"/>
      <c r="U994" s="20"/>
      <c r="V994" s="20"/>
      <c r="W994" s="20"/>
      <c r="X994" s="20"/>
    </row>
    <row r="995" ht="13.5" customHeight="1" spans="1:24">
      <c r="A995" s="20"/>
      <c r="B995" s="20"/>
      <c r="C995" s="20"/>
      <c r="D995" s="20"/>
      <c r="E995" s="20"/>
      <c r="F995" s="20"/>
      <c r="G995" s="20"/>
      <c r="H995" s="20"/>
      <c r="I995" s="20"/>
      <c r="J995" s="20"/>
      <c r="K995" s="20"/>
      <c r="L995" s="20"/>
      <c r="M995" s="20"/>
      <c r="N995" s="20"/>
      <c r="O995" s="20"/>
      <c r="P995" s="20"/>
      <c r="Q995" s="20"/>
      <c r="R995" s="20"/>
      <c r="S995" s="20"/>
      <c r="T995" s="20"/>
      <c r="U995" s="20"/>
      <c r="V995" s="20"/>
      <c r="W995" s="20"/>
      <c r="X995" s="20"/>
    </row>
    <row r="996" ht="13.5" customHeight="1" spans="1:24">
      <c r="A996" s="20"/>
      <c r="B996" s="20"/>
      <c r="C996" s="20"/>
      <c r="D996" s="20"/>
      <c r="E996" s="20"/>
      <c r="F996" s="20"/>
      <c r="G996" s="20"/>
      <c r="H996" s="20"/>
      <c r="I996" s="20"/>
      <c r="J996" s="20"/>
      <c r="K996" s="20"/>
      <c r="L996" s="20"/>
      <c r="M996" s="20"/>
      <c r="N996" s="20"/>
      <c r="O996" s="20"/>
      <c r="P996" s="20"/>
      <c r="Q996" s="20"/>
      <c r="R996" s="20"/>
      <c r="S996" s="20"/>
      <c r="T996" s="20"/>
      <c r="U996" s="20"/>
      <c r="V996" s="20"/>
      <c r="W996" s="20"/>
      <c r="X996" s="20"/>
    </row>
    <row r="997" ht="13.5" customHeight="1" spans="1:24">
      <c r="A997" s="20"/>
      <c r="B997" s="20"/>
      <c r="C997" s="20"/>
      <c r="D997" s="20"/>
      <c r="E997" s="20"/>
      <c r="F997" s="20"/>
      <c r="G997" s="20"/>
      <c r="H997" s="20"/>
      <c r="I997" s="20"/>
      <c r="J997" s="20"/>
      <c r="K997" s="20"/>
      <c r="L997" s="20"/>
      <c r="M997" s="20"/>
      <c r="N997" s="20"/>
      <c r="O997" s="20"/>
      <c r="P997" s="20"/>
      <c r="Q997" s="20"/>
      <c r="R997" s="20"/>
      <c r="S997" s="20"/>
      <c r="T997" s="20"/>
      <c r="U997" s="20"/>
      <c r="V997" s="20"/>
      <c r="W997" s="20"/>
      <c r="X997" s="20"/>
    </row>
    <row r="998" ht="13.5" customHeight="1" spans="1:24">
      <c r="A998" s="20"/>
      <c r="B998" s="20"/>
      <c r="C998" s="20"/>
      <c r="D998" s="20"/>
      <c r="E998" s="20"/>
      <c r="F998" s="20"/>
      <c r="G998" s="20"/>
      <c r="H998" s="20"/>
      <c r="I998" s="20"/>
      <c r="J998" s="20"/>
      <c r="K998" s="20"/>
      <c r="L998" s="20"/>
      <c r="M998" s="20"/>
      <c r="N998" s="20"/>
      <c r="O998" s="20"/>
      <c r="P998" s="20"/>
      <c r="Q998" s="20"/>
      <c r="R998" s="20"/>
      <c r="S998" s="20"/>
      <c r="T998" s="20"/>
      <c r="U998" s="20"/>
      <c r="V998" s="20"/>
      <c r="W998" s="20"/>
      <c r="X998" s="20"/>
    </row>
    <row r="999" ht="13.5" customHeight="1" spans="1:24">
      <c r="A999" s="20"/>
      <c r="B999" s="20"/>
      <c r="C999" s="20"/>
      <c r="D999" s="20"/>
      <c r="E999" s="20"/>
      <c r="F999" s="20"/>
      <c r="G999" s="20"/>
      <c r="H999" s="20"/>
      <c r="I999" s="20"/>
      <c r="J999" s="20"/>
      <c r="K999" s="20"/>
      <c r="L999" s="20"/>
      <c r="M999" s="20"/>
      <c r="N999" s="20"/>
      <c r="O999" s="20"/>
      <c r="P999" s="20"/>
      <c r="Q999" s="20"/>
      <c r="R999" s="20"/>
      <c r="S999" s="20"/>
      <c r="T999" s="20"/>
      <c r="U999" s="20"/>
      <c r="V999" s="20"/>
      <c r="W999" s="20"/>
      <c r="X999" s="20"/>
    </row>
    <row r="1000" ht="13.5" customHeight="1" spans="1:24">
      <c r="A1000" s="20"/>
      <c r="B1000" s="20"/>
      <c r="C1000" s="20"/>
      <c r="D1000" s="20"/>
      <c r="E1000" s="20"/>
      <c r="F1000" s="20"/>
      <c r="G1000" s="20"/>
      <c r="H1000" s="20"/>
      <c r="I1000" s="20"/>
      <c r="J1000" s="20"/>
      <c r="K1000" s="20"/>
      <c r="L1000" s="20"/>
      <c r="M1000" s="20"/>
      <c r="N1000" s="20"/>
      <c r="O1000" s="20"/>
      <c r="P1000" s="20"/>
      <c r="Q1000" s="20"/>
      <c r="R1000" s="20"/>
      <c r="S1000" s="20"/>
      <c r="T1000" s="20"/>
      <c r="U1000" s="20"/>
      <c r="V1000" s="20"/>
      <c r="W1000" s="20"/>
      <c r="X1000" s="20"/>
    </row>
  </sheetData>
  <autoFilter ref="B15:H116">
    <extLst/>
  </autoFilter>
  <pageMargins left="0.7" right="0.7" top="0.75" bottom="0.75" header="0" footer="0"/>
  <pageSetup paperSize="1" orientation="landscape"/>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9"/>
  </sheetPr>
  <dimension ref="A1:VP1000"/>
  <sheetViews>
    <sheetView showGridLines="0" workbookViewId="0">
      <selection activeCell="L8" sqref="L8"/>
    </sheetView>
  </sheetViews>
  <sheetFormatPr defaultColWidth="14.4285714285714" defaultRowHeight="15" customHeight="1"/>
  <cols>
    <col min="1" max="1" width="2.85714285714286" customWidth="1"/>
    <col min="2" max="2" width="10.1428571428571" customWidth="1"/>
    <col min="3" max="3" width="19.4285714285714" customWidth="1"/>
    <col min="4" max="4" width="23" customWidth="1"/>
    <col min="5" max="5" width="30.7142857142857" customWidth="1"/>
    <col min="6" max="6" width="27" customWidth="1"/>
    <col min="7" max="7" width="8.85714285714286" customWidth="1"/>
    <col min="8" max="8" width="5" customWidth="1"/>
    <col min="9" max="55" width="9.14285714285714" customWidth="1"/>
  </cols>
  <sheetData>
    <row r="1" ht="13.5" customHeight="1" spans="1:55">
      <c r="A1" s="20"/>
      <c r="B1" s="20"/>
      <c r="C1" s="20"/>
      <c r="D1" s="20"/>
      <c r="E1" s="20"/>
      <c r="F1" s="20"/>
      <c r="G1" s="52"/>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row>
    <row r="2" ht="13.5" customHeight="1" spans="1:55">
      <c r="A2" s="20"/>
      <c r="B2" s="53" t="s">
        <v>1140</v>
      </c>
      <c r="C2" s="54"/>
      <c r="D2" s="54"/>
      <c r="E2" s="54"/>
      <c r="F2" s="54"/>
      <c r="G2" s="54"/>
      <c r="H2" s="55"/>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20"/>
      <c r="BC2" s="20"/>
    </row>
    <row r="3" ht="13.5" customHeight="1" spans="1:55">
      <c r="A3" s="20"/>
      <c r="B3" s="56" t="s">
        <v>1141</v>
      </c>
      <c r="C3" s="57"/>
      <c r="D3" s="57"/>
      <c r="E3" s="57"/>
      <c r="F3" s="57"/>
      <c r="G3" s="57"/>
      <c r="H3" s="58"/>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row>
    <row r="4" ht="13.5" customHeight="1" spans="1:55">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row>
    <row r="5" s="51" customFormat="1" ht="36" customHeight="1" spans="1:55">
      <c r="A5" s="59"/>
      <c r="B5" s="60" t="s">
        <v>1142</v>
      </c>
      <c r="C5" s="60" t="s">
        <v>1143</v>
      </c>
      <c r="D5" s="60" t="s">
        <v>1144</v>
      </c>
      <c r="E5" s="60" t="s">
        <v>1145</v>
      </c>
      <c r="F5" s="59"/>
      <c r="G5" s="61" t="s">
        <v>1146</v>
      </c>
      <c r="H5" s="61"/>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59"/>
      <c r="AZ5" s="59"/>
      <c r="BA5" s="59"/>
      <c r="BB5" s="59"/>
      <c r="BC5" s="59"/>
    </row>
    <row r="6" ht="13.5" customHeight="1" spans="1:55">
      <c r="A6" s="20"/>
      <c r="B6" s="62">
        <v>38271</v>
      </c>
      <c r="C6" s="63" t="s">
        <v>1147</v>
      </c>
      <c r="D6" s="63" t="s">
        <v>1148</v>
      </c>
      <c r="E6" s="64">
        <v>0.8</v>
      </c>
      <c r="F6" s="65"/>
      <c r="G6" s="66" t="b">
        <f>ISNUMBER(MATCH(C6,'Pareto Analysis'!$A$48:$A$114,0))</f>
        <v>0</v>
      </c>
      <c r="H6" s="67" t="str">
        <f>IF(G6=TRUE,"👍",IF(G6=FALSE,"👎",""))</f>
        <v>👎</v>
      </c>
      <c r="I6" s="69"/>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row>
    <row r="7" ht="13.5" customHeight="1" spans="1:55">
      <c r="A7" s="20"/>
      <c r="B7" s="62">
        <v>38272</v>
      </c>
      <c r="C7" s="63" t="s">
        <v>1147</v>
      </c>
      <c r="D7" s="63" t="s">
        <v>1148</v>
      </c>
      <c r="E7" s="64">
        <v>0.8</v>
      </c>
      <c r="F7" s="65"/>
      <c r="G7" s="66" t="b">
        <f>ISNUMBER(MATCH(C7,'Pareto Analysis'!$A$48:$A$114,0))</f>
        <v>0</v>
      </c>
      <c r="H7" s="67" t="str">
        <f t="shared" ref="H7:H70" si="0">IF(G7=TRUE,"👍",IF(G7=FALSE,"👎",""))</f>
        <v>👎</v>
      </c>
      <c r="I7" s="69"/>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row>
    <row r="8" ht="13.5" customHeight="1" spans="1:55">
      <c r="A8" s="20"/>
      <c r="B8" s="62">
        <v>38281</v>
      </c>
      <c r="C8" s="63" t="s">
        <v>1149</v>
      </c>
      <c r="D8" s="63" t="s">
        <v>1148</v>
      </c>
      <c r="E8" s="64">
        <v>0.8</v>
      </c>
      <c r="F8" s="65"/>
      <c r="G8" s="66" t="b">
        <f>ISNUMBER(MATCH(C8,'Pareto Analysis'!$A$48:$A$114,0))</f>
        <v>1</v>
      </c>
      <c r="H8" s="67" t="str">
        <f t="shared" si="0"/>
        <v>👍</v>
      </c>
      <c r="I8" s="69"/>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row>
    <row r="9" ht="13.5" customHeight="1" spans="1:55">
      <c r="A9" s="20"/>
      <c r="B9" s="62">
        <v>38273</v>
      </c>
      <c r="C9" s="63" t="s">
        <v>1150</v>
      </c>
      <c r="D9" s="63" t="s">
        <v>1151</v>
      </c>
      <c r="E9" s="64">
        <v>1</v>
      </c>
      <c r="F9" s="65"/>
      <c r="G9" s="66" t="b">
        <f>ISNUMBER(MATCH(C9,'Pareto Analysis'!$A$48:$A$114,0))</f>
        <v>0</v>
      </c>
      <c r="H9" s="67" t="str">
        <f t="shared" si="0"/>
        <v>👎</v>
      </c>
      <c r="I9" s="69"/>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row>
    <row r="10" ht="13.5" customHeight="1" spans="1:55">
      <c r="A10" s="20"/>
      <c r="B10" s="62">
        <v>38273</v>
      </c>
      <c r="C10" s="63" t="s">
        <v>1152</v>
      </c>
      <c r="D10" s="63" t="s">
        <v>1153</v>
      </c>
      <c r="E10" s="64">
        <v>1</v>
      </c>
      <c r="F10" s="65"/>
      <c r="G10" s="66" t="b">
        <f>ISNUMBER(MATCH(C10,'Pareto Analysis'!$A$48:$A$114,0))</f>
        <v>0</v>
      </c>
      <c r="H10" s="67" t="str">
        <f t="shared" si="0"/>
        <v>👎</v>
      </c>
      <c r="I10" s="69"/>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row>
    <row r="11" ht="13.5" customHeight="1" spans="1:55">
      <c r="A11" s="20"/>
      <c r="B11" s="62">
        <v>38274</v>
      </c>
      <c r="C11" s="63" t="s">
        <v>1154</v>
      </c>
      <c r="D11" s="63" t="s">
        <v>1153</v>
      </c>
      <c r="E11" s="64">
        <v>1</v>
      </c>
      <c r="F11" s="65"/>
      <c r="G11" s="66" t="b">
        <f>ISNUMBER(MATCH(C11,'Pareto Analysis'!$A$48:$A$114,0))</f>
        <v>0</v>
      </c>
      <c r="H11" s="67" t="str">
        <f t="shared" si="0"/>
        <v>👎</v>
      </c>
      <c r="I11" s="69"/>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row>
    <row r="12" ht="13.5" customHeight="1" spans="1:55">
      <c r="A12" s="20"/>
      <c r="B12" s="62">
        <v>38274</v>
      </c>
      <c r="C12" s="63" t="s">
        <v>1150</v>
      </c>
      <c r="D12" s="63" t="s">
        <v>1151</v>
      </c>
      <c r="E12" s="64">
        <v>1</v>
      </c>
      <c r="F12" s="65"/>
      <c r="G12" s="66" t="b">
        <f>ISNUMBER(MATCH(C12,'Pareto Analysis'!$A$48:$A$114,0))</f>
        <v>0</v>
      </c>
      <c r="H12" s="67" t="str">
        <f t="shared" si="0"/>
        <v>👎</v>
      </c>
      <c r="I12" s="69"/>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row>
    <row r="13" ht="13.5" customHeight="1" spans="1:55">
      <c r="A13" s="20"/>
      <c r="B13" s="62">
        <v>38274</v>
      </c>
      <c r="C13" s="63" t="s">
        <v>1152</v>
      </c>
      <c r="D13" s="63" t="s">
        <v>1153</v>
      </c>
      <c r="E13" s="64">
        <v>1</v>
      </c>
      <c r="F13" s="65"/>
      <c r="G13" s="66" t="b">
        <f>ISNUMBER(MATCH(C13,'Pareto Analysis'!$A$48:$A$114,0))</f>
        <v>0</v>
      </c>
      <c r="H13" s="67" t="str">
        <f t="shared" si="0"/>
        <v>👎</v>
      </c>
      <c r="I13" s="69"/>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row>
    <row r="14" ht="13.5" customHeight="1" spans="1:55">
      <c r="A14" s="20"/>
      <c r="B14" s="62">
        <v>38277</v>
      </c>
      <c r="C14" s="63" t="s">
        <v>1155</v>
      </c>
      <c r="D14" s="63" t="s">
        <v>1156</v>
      </c>
      <c r="E14" s="64">
        <v>1</v>
      </c>
      <c r="F14" s="65"/>
      <c r="G14" s="66" t="b">
        <f>ISNUMBER(MATCH(C14,'Pareto Analysis'!$A$48:$A$114,0))</f>
        <v>0</v>
      </c>
      <c r="H14" s="67" t="str">
        <f t="shared" si="0"/>
        <v>👎</v>
      </c>
      <c r="I14" s="69"/>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row>
    <row r="15" ht="13.5" customHeight="1" spans="1:55">
      <c r="A15" s="20"/>
      <c r="B15" s="62">
        <v>38277</v>
      </c>
      <c r="C15" s="63" t="s">
        <v>1150</v>
      </c>
      <c r="D15" s="63" t="s">
        <v>1151</v>
      </c>
      <c r="E15" s="64">
        <v>1</v>
      </c>
      <c r="F15" s="68"/>
      <c r="G15" s="66" t="b">
        <f>ISNUMBER(MATCH(C15,'Pareto Analysis'!$A$48:$A$114,0))</f>
        <v>0</v>
      </c>
      <c r="H15" s="67" t="str">
        <f t="shared" si="0"/>
        <v>👎</v>
      </c>
      <c r="I15" s="69"/>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row>
    <row r="16" ht="13.5" customHeight="1" spans="1:55">
      <c r="A16" s="20"/>
      <c r="B16" s="62">
        <v>38277</v>
      </c>
      <c r="C16" s="63" t="s">
        <v>1152</v>
      </c>
      <c r="D16" s="63" t="s">
        <v>1153</v>
      </c>
      <c r="E16" s="64">
        <v>1</v>
      </c>
      <c r="F16" s="65"/>
      <c r="G16" s="66" t="b">
        <f>ISNUMBER(MATCH(C16,'Pareto Analysis'!$A$48:$A$114,0))</f>
        <v>0</v>
      </c>
      <c r="H16" s="67" t="str">
        <f t="shared" si="0"/>
        <v>👎</v>
      </c>
      <c r="I16" s="69"/>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row>
    <row r="17" ht="13.5" customHeight="1" spans="1:55">
      <c r="A17" s="20"/>
      <c r="B17" s="62">
        <v>38280</v>
      </c>
      <c r="C17" s="63" t="s">
        <v>1157</v>
      </c>
      <c r="D17" s="63" t="s">
        <v>1151</v>
      </c>
      <c r="E17" s="64">
        <v>1</v>
      </c>
      <c r="F17" s="65"/>
      <c r="G17" s="66" t="b">
        <f>ISNUMBER(MATCH(C17,'Pareto Analysis'!$A$48:$A$114,0))</f>
        <v>0</v>
      </c>
      <c r="H17" s="67" t="str">
        <f t="shared" si="0"/>
        <v>👎</v>
      </c>
      <c r="I17" s="69"/>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row>
    <row r="18" ht="13.5" customHeight="1" spans="1:55">
      <c r="A18" s="20"/>
      <c r="B18" s="62">
        <v>38280</v>
      </c>
      <c r="C18" s="63" t="s">
        <v>1158</v>
      </c>
      <c r="D18" s="63" t="s">
        <v>1151</v>
      </c>
      <c r="E18" s="64">
        <v>1</v>
      </c>
      <c r="F18" s="65"/>
      <c r="G18" s="66" t="b">
        <f>ISNUMBER(MATCH(C18,'Pareto Analysis'!$A$48:$A$114,0))</f>
        <v>0</v>
      </c>
      <c r="H18" s="67" t="str">
        <f t="shared" si="0"/>
        <v>👎</v>
      </c>
      <c r="I18" s="69"/>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row>
    <row r="19" ht="13.5" customHeight="1" spans="1:55">
      <c r="A19" s="20"/>
      <c r="B19" s="62">
        <v>38280</v>
      </c>
      <c r="C19" s="63" t="s">
        <v>1159</v>
      </c>
      <c r="D19" s="63" t="s">
        <v>1151</v>
      </c>
      <c r="E19" s="64">
        <v>1</v>
      </c>
      <c r="F19" s="65"/>
      <c r="G19" s="66" t="b">
        <f>ISNUMBER(MATCH(C19,'Pareto Analysis'!$A$48:$A$114,0))</f>
        <v>0</v>
      </c>
      <c r="H19" s="67" t="str">
        <f t="shared" si="0"/>
        <v>👎</v>
      </c>
      <c r="I19" s="69"/>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row>
    <row r="20" ht="13.5" customHeight="1" spans="1:55">
      <c r="A20" s="20"/>
      <c r="B20" s="62">
        <v>38281</v>
      </c>
      <c r="C20" s="63" t="s">
        <v>1160</v>
      </c>
      <c r="D20" s="63" t="s">
        <v>1151</v>
      </c>
      <c r="E20" s="64">
        <v>1</v>
      </c>
      <c r="F20" s="65"/>
      <c r="G20" s="66" t="b">
        <f>ISNUMBER(MATCH(C20,'Pareto Analysis'!$A$48:$A$114,0))</f>
        <v>0</v>
      </c>
      <c r="H20" s="67" t="str">
        <f t="shared" si="0"/>
        <v>👎</v>
      </c>
      <c r="I20" s="69"/>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row>
    <row r="21" ht="13.5" customHeight="1" spans="1:55">
      <c r="A21" s="20"/>
      <c r="B21" s="62">
        <v>38281</v>
      </c>
      <c r="C21" s="63" t="s">
        <v>1161</v>
      </c>
      <c r="D21" s="63" t="s">
        <v>1151</v>
      </c>
      <c r="E21" s="64">
        <v>1</v>
      </c>
      <c r="F21" s="65"/>
      <c r="G21" s="66" t="b">
        <f>ISNUMBER(MATCH(C21,'Pareto Analysis'!$A$48:$A$114,0))</f>
        <v>0</v>
      </c>
      <c r="H21" s="67" t="str">
        <f t="shared" si="0"/>
        <v>👎</v>
      </c>
      <c r="I21" s="69"/>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row>
    <row r="22" ht="13.5" customHeight="1" spans="1:55">
      <c r="A22" s="20"/>
      <c r="B22" s="62">
        <v>38281</v>
      </c>
      <c r="C22" s="63" t="s">
        <v>1158</v>
      </c>
      <c r="D22" s="63" t="s">
        <v>1151</v>
      </c>
      <c r="E22" s="64">
        <v>1</v>
      </c>
      <c r="F22" s="65"/>
      <c r="G22" s="66" t="b">
        <f>ISNUMBER(MATCH(C22,'Pareto Analysis'!$A$48:$A$114,0))</f>
        <v>0</v>
      </c>
      <c r="H22" s="67" t="str">
        <f t="shared" si="0"/>
        <v>👎</v>
      </c>
      <c r="I22" s="69"/>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row>
    <row r="23" ht="13.5" customHeight="1" spans="1:55">
      <c r="A23" s="20"/>
      <c r="B23" s="62">
        <v>38284</v>
      </c>
      <c r="C23" s="63" t="s">
        <v>1158</v>
      </c>
      <c r="D23" s="63" t="s">
        <v>1151</v>
      </c>
      <c r="E23" s="64">
        <v>1</v>
      </c>
      <c r="F23" s="65"/>
      <c r="G23" s="66" t="b">
        <f>ISNUMBER(MATCH(C23,'Pareto Analysis'!$A$48:$A$114,0))</f>
        <v>0</v>
      </c>
      <c r="H23" s="67" t="str">
        <f t="shared" si="0"/>
        <v>👎</v>
      </c>
      <c r="I23" s="69"/>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row>
    <row r="24" ht="13.5" customHeight="1" spans="1:55">
      <c r="A24" s="20"/>
      <c r="B24" s="62">
        <v>38285</v>
      </c>
      <c r="C24" s="63" t="s">
        <v>1158</v>
      </c>
      <c r="D24" s="63" t="s">
        <v>1151</v>
      </c>
      <c r="E24" s="64">
        <v>1</v>
      </c>
      <c r="F24" s="65"/>
      <c r="G24" s="66" t="b">
        <f>ISNUMBER(MATCH(C24,'Pareto Analysis'!$A$48:$A$114,0))</f>
        <v>0</v>
      </c>
      <c r="H24" s="67" t="str">
        <f t="shared" si="0"/>
        <v>👎</v>
      </c>
      <c r="I24" s="69"/>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row>
    <row r="25" ht="13.5" customHeight="1" spans="1:55">
      <c r="A25" s="20"/>
      <c r="B25" s="62">
        <v>38285</v>
      </c>
      <c r="C25" s="63" t="s">
        <v>1150</v>
      </c>
      <c r="D25" s="63" t="s">
        <v>1151</v>
      </c>
      <c r="E25" s="64">
        <v>1</v>
      </c>
      <c r="F25" s="65"/>
      <c r="G25" s="66" t="b">
        <f>ISNUMBER(MATCH(C25,'Pareto Analysis'!$A$48:$A$114,0))</f>
        <v>0</v>
      </c>
      <c r="H25" s="67" t="str">
        <f t="shared" si="0"/>
        <v>👎</v>
      </c>
      <c r="I25" s="69"/>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row>
    <row r="26" ht="13.5" customHeight="1" spans="1:55">
      <c r="A26" s="20"/>
      <c r="B26" s="62">
        <v>38286</v>
      </c>
      <c r="C26" s="63" t="s">
        <v>1150</v>
      </c>
      <c r="D26" s="63" t="s">
        <v>1151</v>
      </c>
      <c r="E26" s="64">
        <v>1</v>
      </c>
      <c r="F26" s="65"/>
      <c r="G26" s="66" t="b">
        <f>ISNUMBER(MATCH(C26,'Pareto Analysis'!$A$48:$A$114,0))</f>
        <v>0</v>
      </c>
      <c r="H26" s="67" t="str">
        <f t="shared" si="0"/>
        <v>👎</v>
      </c>
      <c r="I26" s="69"/>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row>
    <row r="27" ht="13.5" customHeight="1" spans="1:55">
      <c r="A27" s="20"/>
      <c r="B27" s="62">
        <v>38286</v>
      </c>
      <c r="C27" s="63" t="s">
        <v>1158</v>
      </c>
      <c r="D27" s="63" t="s">
        <v>1151</v>
      </c>
      <c r="E27" s="64">
        <v>1</v>
      </c>
      <c r="F27" s="65"/>
      <c r="G27" s="66" t="b">
        <f>ISNUMBER(MATCH(C27,'Pareto Analysis'!$A$48:$A$114,0))</f>
        <v>0</v>
      </c>
      <c r="H27" s="67" t="str">
        <f t="shared" si="0"/>
        <v>👎</v>
      </c>
      <c r="I27" s="69"/>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row>
    <row r="28" ht="13.5" customHeight="1" spans="1:55">
      <c r="A28" s="20"/>
      <c r="B28" s="62">
        <v>38286</v>
      </c>
      <c r="C28" s="63" t="s">
        <v>1162</v>
      </c>
      <c r="D28" s="63" t="s">
        <v>1153</v>
      </c>
      <c r="E28" s="64">
        <v>1</v>
      </c>
      <c r="F28" s="65"/>
      <c r="G28" s="66" t="b">
        <f>ISNUMBER(MATCH(C28,'Pareto Analysis'!$A$48:$A$114,0))</f>
        <v>0</v>
      </c>
      <c r="H28" s="67" t="str">
        <f t="shared" si="0"/>
        <v>👎</v>
      </c>
      <c r="I28" s="69"/>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row>
    <row r="29" ht="13.5" customHeight="1" spans="1:55">
      <c r="A29" s="20"/>
      <c r="B29" s="62">
        <v>38271</v>
      </c>
      <c r="C29" s="63" t="s">
        <v>1155</v>
      </c>
      <c r="D29" s="63" t="s">
        <v>1156</v>
      </c>
      <c r="E29" s="64">
        <v>2</v>
      </c>
      <c r="F29" s="65"/>
      <c r="G29" s="66" t="b">
        <f>ISNUMBER(MATCH(C29,'Pareto Analysis'!$A$48:$A$114,0))</f>
        <v>0</v>
      </c>
      <c r="H29" s="67" t="str">
        <f t="shared" si="0"/>
        <v>👎</v>
      </c>
      <c r="I29" s="69"/>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row>
    <row r="30" ht="13.5" customHeight="1" spans="1:55">
      <c r="A30" s="20"/>
      <c r="B30" s="62">
        <v>38273</v>
      </c>
      <c r="C30" s="63" t="s">
        <v>1163</v>
      </c>
      <c r="D30" s="63" t="s">
        <v>1156</v>
      </c>
      <c r="E30" s="64">
        <v>2</v>
      </c>
      <c r="F30" s="65"/>
      <c r="G30" s="66" t="b">
        <f>ISNUMBER(MATCH(C30,'Pareto Analysis'!$A$48:$A$114,0))</f>
        <v>0</v>
      </c>
      <c r="H30" s="67" t="str">
        <f t="shared" si="0"/>
        <v>👎</v>
      </c>
      <c r="I30" s="69"/>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row>
    <row r="31" ht="13.5" customHeight="1" spans="1:55">
      <c r="A31" s="20"/>
      <c r="B31" s="62">
        <v>38274</v>
      </c>
      <c r="C31" s="63" t="s">
        <v>1163</v>
      </c>
      <c r="D31" s="63" t="s">
        <v>1156</v>
      </c>
      <c r="E31" s="64">
        <v>2</v>
      </c>
      <c r="F31" s="65"/>
      <c r="G31" s="66" t="b">
        <f>ISNUMBER(MATCH(C31,'Pareto Analysis'!$A$48:$A$114,0))</f>
        <v>0</v>
      </c>
      <c r="H31" s="67" t="str">
        <f t="shared" si="0"/>
        <v>👎</v>
      </c>
      <c r="I31" s="69"/>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row>
    <row r="32" ht="13.5" customHeight="1" spans="1:55">
      <c r="A32" s="20"/>
      <c r="B32" s="62">
        <v>38274</v>
      </c>
      <c r="C32" s="63" t="s">
        <v>1164</v>
      </c>
      <c r="D32" s="63" t="s">
        <v>1151</v>
      </c>
      <c r="E32" s="64">
        <v>2</v>
      </c>
      <c r="F32" s="65"/>
      <c r="G32" s="66" t="b">
        <f>ISNUMBER(MATCH(C32,'Pareto Analysis'!$A$48:$A$114,0))</f>
        <v>0</v>
      </c>
      <c r="H32" s="67" t="str">
        <f t="shared" si="0"/>
        <v>👎</v>
      </c>
      <c r="I32" s="69"/>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row>
    <row r="33" ht="13.5" customHeight="1" spans="1:55">
      <c r="A33" s="20"/>
      <c r="B33" s="62">
        <v>38277</v>
      </c>
      <c r="C33" s="63" t="s">
        <v>1154</v>
      </c>
      <c r="D33" s="63" t="s">
        <v>1153</v>
      </c>
      <c r="E33" s="64">
        <v>2</v>
      </c>
      <c r="F33" s="65"/>
      <c r="G33" s="66" t="b">
        <f>ISNUMBER(MATCH(C33,'Pareto Analysis'!$A$48:$A$114,0))</f>
        <v>0</v>
      </c>
      <c r="H33" s="67" t="str">
        <f t="shared" si="0"/>
        <v>👎</v>
      </c>
      <c r="I33" s="69"/>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row>
    <row r="34" ht="13.5" customHeight="1" spans="1:55">
      <c r="A34" s="20"/>
      <c r="B34" s="62">
        <v>38277</v>
      </c>
      <c r="C34" s="63" t="s">
        <v>1162</v>
      </c>
      <c r="D34" s="63" t="s">
        <v>1153</v>
      </c>
      <c r="E34" s="64">
        <v>2</v>
      </c>
      <c r="F34" s="65"/>
      <c r="G34" s="66" t="b">
        <f>ISNUMBER(MATCH(C34,'Pareto Analysis'!$A$48:$A$114,0))</f>
        <v>0</v>
      </c>
      <c r="H34" s="67" t="str">
        <f t="shared" si="0"/>
        <v>👎</v>
      </c>
      <c r="I34" s="69"/>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row>
    <row r="35" ht="13.5" customHeight="1" spans="1:55">
      <c r="A35" s="20"/>
      <c r="B35" s="62">
        <v>38280</v>
      </c>
      <c r="C35" s="63" t="s">
        <v>1165</v>
      </c>
      <c r="D35" s="63" t="s">
        <v>1166</v>
      </c>
      <c r="E35" s="64">
        <v>2</v>
      </c>
      <c r="F35" s="65"/>
      <c r="G35" s="66" t="b">
        <f>ISNUMBER(MATCH(C35,'Pareto Analysis'!$A$48:$A$114,0))</f>
        <v>0</v>
      </c>
      <c r="H35" s="67" t="str">
        <f t="shared" si="0"/>
        <v>👎</v>
      </c>
      <c r="I35" s="69"/>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row>
    <row r="36" ht="13.5" customHeight="1" spans="1:55">
      <c r="A36" s="20"/>
      <c r="B36" s="62">
        <v>38280</v>
      </c>
      <c r="C36" s="63" t="s">
        <v>1167</v>
      </c>
      <c r="D36" s="63" t="s">
        <v>1156</v>
      </c>
      <c r="E36" s="64">
        <v>2</v>
      </c>
      <c r="F36" s="65"/>
      <c r="G36" s="66" t="b">
        <f>ISNUMBER(MATCH(C36,'Pareto Analysis'!$A$48:$A$114,0))</f>
        <v>0</v>
      </c>
      <c r="H36" s="67" t="str">
        <f t="shared" si="0"/>
        <v>👎</v>
      </c>
      <c r="I36" s="69"/>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row>
    <row r="37" ht="13.5" customHeight="1" spans="1:55">
      <c r="A37" s="20"/>
      <c r="B37" s="62">
        <v>38280</v>
      </c>
      <c r="C37" s="63" t="s">
        <v>1154</v>
      </c>
      <c r="D37" s="63" t="s">
        <v>1153</v>
      </c>
      <c r="E37" s="64">
        <v>2</v>
      </c>
      <c r="F37" s="65"/>
      <c r="G37" s="66" t="b">
        <f>ISNUMBER(MATCH(C37,'Pareto Analysis'!$A$48:$A$114,0))</f>
        <v>0</v>
      </c>
      <c r="H37" s="67" t="str">
        <f t="shared" si="0"/>
        <v>👎</v>
      </c>
      <c r="I37" s="69"/>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row>
    <row r="38" ht="13.5" customHeight="1" spans="1:55">
      <c r="A38" s="20"/>
      <c r="B38" s="62">
        <v>38281</v>
      </c>
      <c r="C38" s="63" t="s">
        <v>1167</v>
      </c>
      <c r="D38" s="63" t="s">
        <v>1156</v>
      </c>
      <c r="E38" s="64">
        <v>2</v>
      </c>
      <c r="F38" s="65"/>
      <c r="G38" s="66" t="b">
        <f>ISNUMBER(MATCH(C38,'Pareto Analysis'!$A$48:$A$114,0))</f>
        <v>0</v>
      </c>
      <c r="H38" s="67" t="str">
        <f t="shared" si="0"/>
        <v>👎</v>
      </c>
      <c r="I38" s="69"/>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row>
    <row r="39" ht="13.5" customHeight="1" spans="1:55">
      <c r="A39" s="20"/>
      <c r="B39" s="62">
        <v>38281</v>
      </c>
      <c r="C39" s="63" t="s">
        <v>1168</v>
      </c>
      <c r="D39" s="63" t="s">
        <v>1151</v>
      </c>
      <c r="E39" s="64">
        <v>2</v>
      </c>
      <c r="F39" s="65"/>
      <c r="G39" s="66" t="b">
        <f>ISNUMBER(MATCH(C39,'Pareto Analysis'!$A$48:$A$114,0))</f>
        <v>0</v>
      </c>
      <c r="H39" s="67" t="str">
        <f t="shared" si="0"/>
        <v>👎</v>
      </c>
      <c r="I39" s="69"/>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row>
    <row r="40" ht="13.5" customHeight="1" spans="1:55">
      <c r="A40" s="20"/>
      <c r="B40" s="62">
        <v>38281</v>
      </c>
      <c r="C40" s="63" t="s">
        <v>1154</v>
      </c>
      <c r="D40" s="63" t="s">
        <v>1153</v>
      </c>
      <c r="E40" s="64">
        <v>2</v>
      </c>
      <c r="F40" s="65"/>
      <c r="G40" s="66" t="b">
        <f>ISNUMBER(MATCH(C40,'Pareto Analysis'!$A$48:$A$114,0))</f>
        <v>0</v>
      </c>
      <c r="H40" s="67" t="str">
        <f t="shared" si="0"/>
        <v>👎</v>
      </c>
      <c r="I40" s="69"/>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row>
    <row r="41" ht="13.5" customHeight="1" spans="1:55">
      <c r="A41" s="20"/>
      <c r="B41" s="62">
        <v>38284</v>
      </c>
      <c r="C41" s="63" t="s">
        <v>1167</v>
      </c>
      <c r="D41" s="63" t="s">
        <v>1156</v>
      </c>
      <c r="E41" s="64">
        <v>2</v>
      </c>
      <c r="F41" s="65"/>
      <c r="G41" s="66" t="b">
        <f>ISNUMBER(MATCH(C41,'Pareto Analysis'!$A$48:$A$114,0))</f>
        <v>0</v>
      </c>
      <c r="H41" s="67" t="str">
        <f t="shared" si="0"/>
        <v>👎</v>
      </c>
      <c r="I41" s="69"/>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row>
    <row r="42" ht="13.5" customHeight="1" spans="1:55">
      <c r="A42" s="20"/>
      <c r="B42" s="62">
        <v>38284</v>
      </c>
      <c r="C42" s="63" t="s">
        <v>1154</v>
      </c>
      <c r="D42" s="63" t="s">
        <v>1153</v>
      </c>
      <c r="E42" s="64">
        <v>2</v>
      </c>
      <c r="F42" s="65"/>
      <c r="G42" s="66" t="b">
        <f>ISNUMBER(MATCH(C42,'Pareto Analysis'!$A$48:$A$114,0))</f>
        <v>0</v>
      </c>
      <c r="H42" s="67" t="str">
        <f t="shared" si="0"/>
        <v>👎</v>
      </c>
      <c r="I42" s="69"/>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row>
    <row r="43" ht="13.5" customHeight="1" spans="1:55">
      <c r="A43" s="20"/>
      <c r="B43" s="62">
        <v>38285</v>
      </c>
      <c r="C43" s="63" t="s">
        <v>1167</v>
      </c>
      <c r="D43" s="63" t="s">
        <v>1156</v>
      </c>
      <c r="E43" s="64">
        <v>2</v>
      </c>
      <c r="F43" s="65"/>
      <c r="G43" s="66" t="b">
        <f>ISNUMBER(MATCH(C43,'Pareto Analysis'!$A$48:$A$114,0))</f>
        <v>0</v>
      </c>
      <c r="H43" s="67" t="str">
        <f t="shared" si="0"/>
        <v>👎</v>
      </c>
      <c r="I43" s="69"/>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row>
    <row r="44" ht="13.5" customHeight="1" spans="1:55">
      <c r="A44" s="20"/>
      <c r="B44" s="62">
        <v>38285</v>
      </c>
      <c r="C44" s="63" t="s">
        <v>1154</v>
      </c>
      <c r="D44" s="63" t="s">
        <v>1153</v>
      </c>
      <c r="E44" s="64">
        <v>2</v>
      </c>
      <c r="F44" s="65"/>
      <c r="G44" s="66" t="b">
        <f>ISNUMBER(MATCH(C44,'Pareto Analysis'!$A$48:$A$114,0))</f>
        <v>0</v>
      </c>
      <c r="H44" s="67" t="str">
        <f t="shared" si="0"/>
        <v>👎</v>
      </c>
      <c r="I44" s="69"/>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row>
    <row r="45" ht="13.5" customHeight="1" spans="1:55">
      <c r="A45" s="20"/>
      <c r="B45" s="62">
        <v>38285</v>
      </c>
      <c r="C45" s="63" t="s">
        <v>1169</v>
      </c>
      <c r="D45" s="63" t="s">
        <v>1151</v>
      </c>
      <c r="E45" s="64">
        <v>2</v>
      </c>
      <c r="F45" s="65"/>
      <c r="G45" s="66" t="b">
        <f>ISNUMBER(MATCH(C45,'Pareto Analysis'!$A$48:$A$114,0))</f>
        <v>1</v>
      </c>
      <c r="H45" s="67" t="str">
        <f t="shared" si="0"/>
        <v>👍</v>
      </c>
      <c r="I45" s="69"/>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row>
    <row r="46" ht="13.5" customHeight="1" spans="1:55">
      <c r="A46" s="20"/>
      <c r="B46" s="62">
        <v>38286</v>
      </c>
      <c r="C46" s="63" t="s">
        <v>1167</v>
      </c>
      <c r="D46" s="63" t="s">
        <v>1156</v>
      </c>
      <c r="E46" s="64">
        <v>2</v>
      </c>
      <c r="F46" s="65"/>
      <c r="G46" s="66" t="b">
        <f>ISNUMBER(MATCH(C46,'Pareto Analysis'!$A$48:$A$114,0))</f>
        <v>0</v>
      </c>
      <c r="H46" s="67" t="str">
        <f t="shared" si="0"/>
        <v>👎</v>
      </c>
      <c r="I46" s="69"/>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row>
    <row r="47" ht="13.5" customHeight="1" spans="1:55">
      <c r="A47" s="20"/>
      <c r="B47" s="62">
        <v>38286</v>
      </c>
      <c r="C47" s="63" t="s">
        <v>1154</v>
      </c>
      <c r="D47" s="63" t="s">
        <v>1153</v>
      </c>
      <c r="E47" s="64">
        <v>2</v>
      </c>
      <c r="F47" s="65"/>
      <c r="G47" s="66" t="b">
        <f>ISNUMBER(MATCH(C47,'Pareto Analysis'!$A$48:$A$114,0))</f>
        <v>0</v>
      </c>
      <c r="H47" s="67" t="str">
        <f t="shared" si="0"/>
        <v>👎</v>
      </c>
      <c r="I47" s="69"/>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row>
    <row r="48" ht="13.5" customHeight="1" spans="1:55">
      <c r="A48" s="20"/>
      <c r="B48" s="62">
        <v>38270</v>
      </c>
      <c r="C48" s="63" t="s">
        <v>1170</v>
      </c>
      <c r="D48" s="63" t="s">
        <v>1153</v>
      </c>
      <c r="E48" s="64">
        <v>3</v>
      </c>
      <c r="F48" s="65"/>
      <c r="G48" s="66" t="b">
        <f>ISNUMBER(MATCH(C48,'Pareto Analysis'!$A$48:$A$114,0))</f>
        <v>0</v>
      </c>
      <c r="H48" s="67" t="str">
        <f t="shared" si="0"/>
        <v>👎</v>
      </c>
      <c r="I48" s="69"/>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row>
    <row r="49" ht="13.5" customHeight="1" spans="1:55">
      <c r="A49" s="20"/>
      <c r="B49" s="62">
        <v>38270</v>
      </c>
      <c r="C49" s="63" t="s">
        <v>1171</v>
      </c>
      <c r="D49" s="63" t="s">
        <v>1156</v>
      </c>
      <c r="E49" s="64">
        <v>3</v>
      </c>
      <c r="F49" s="65"/>
      <c r="G49" s="66" t="b">
        <f>ISNUMBER(MATCH(C49,'Pareto Analysis'!$A$48:$A$114,0))</f>
        <v>0</v>
      </c>
      <c r="H49" s="67" t="str">
        <f t="shared" si="0"/>
        <v>👎</v>
      </c>
      <c r="I49" s="69"/>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row>
    <row r="50" ht="13.5" customHeight="1" spans="1:55">
      <c r="A50" s="20"/>
      <c r="B50" s="62">
        <v>38271</v>
      </c>
      <c r="C50" s="63" t="s">
        <v>1172</v>
      </c>
      <c r="D50" s="63" t="s">
        <v>1153</v>
      </c>
      <c r="E50" s="64">
        <v>3</v>
      </c>
      <c r="F50" s="65"/>
      <c r="G50" s="66" t="b">
        <f>ISNUMBER(MATCH(C50,'Pareto Analysis'!$A$48:$A$114,0))</f>
        <v>0</v>
      </c>
      <c r="H50" s="67" t="str">
        <f t="shared" si="0"/>
        <v>👎</v>
      </c>
      <c r="I50" s="69"/>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row>
    <row r="51" ht="13.5" customHeight="1" spans="1:55">
      <c r="A51" s="20"/>
      <c r="B51" s="62">
        <v>38272</v>
      </c>
      <c r="C51" s="63" t="s">
        <v>1155</v>
      </c>
      <c r="D51" s="63" t="s">
        <v>1156</v>
      </c>
      <c r="E51" s="64">
        <v>3</v>
      </c>
      <c r="F51" s="65"/>
      <c r="G51" s="66" t="b">
        <f>ISNUMBER(MATCH(C51,'Pareto Analysis'!$A$48:$A$114,0))</f>
        <v>0</v>
      </c>
      <c r="H51" s="67" t="str">
        <f t="shared" si="0"/>
        <v>👎</v>
      </c>
      <c r="I51" s="69"/>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c r="AN51" s="20"/>
      <c r="AO51" s="20"/>
      <c r="AP51" s="20"/>
      <c r="AQ51" s="20"/>
      <c r="AR51" s="20"/>
      <c r="AS51" s="20"/>
      <c r="AT51" s="20"/>
      <c r="AU51" s="20"/>
      <c r="AV51" s="20"/>
      <c r="AW51" s="20"/>
      <c r="AX51" s="20"/>
      <c r="AY51" s="20"/>
      <c r="AZ51" s="20"/>
      <c r="BA51" s="20"/>
      <c r="BB51" s="20"/>
      <c r="BC51" s="20"/>
    </row>
    <row r="52" ht="13.5" customHeight="1" spans="1:55">
      <c r="A52" s="20"/>
      <c r="B52" s="62">
        <v>38272</v>
      </c>
      <c r="C52" s="63" t="s">
        <v>1172</v>
      </c>
      <c r="D52" s="63" t="s">
        <v>1153</v>
      </c>
      <c r="E52" s="64">
        <v>3</v>
      </c>
      <c r="F52" s="65"/>
      <c r="G52" s="66" t="b">
        <f>ISNUMBER(MATCH(C52,'Pareto Analysis'!$A$48:$A$114,0))</f>
        <v>0</v>
      </c>
      <c r="H52" s="67" t="str">
        <f t="shared" si="0"/>
        <v>👎</v>
      </c>
      <c r="I52" s="69"/>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c r="AN52" s="20"/>
      <c r="AO52" s="20"/>
      <c r="AP52" s="20"/>
      <c r="AQ52" s="20"/>
      <c r="AR52" s="20"/>
      <c r="AS52" s="20"/>
      <c r="AT52" s="20"/>
      <c r="AU52" s="20"/>
      <c r="AV52" s="20"/>
      <c r="AW52" s="20"/>
      <c r="AX52" s="20"/>
      <c r="AY52" s="20"/>
      <c r="AZ52" s="20"/>
      <c r="BA52" s="20"/>
      <c r="BB52" s="20"/>
      <c r="BC52" s="20"/>
    </row>
    <row r="53" ht="13.5" customHeight="1" spans="1:55">
      <c r="A53" s="20"/>
      <c r="B53" s="62">
        <v>38272</v>
      </c>
      <c r="C53" s="63" t="s">
        <v>1173</v>
      </c>
      <c r="D53" s="63" t="s">
        <v>1151</v>
      </c>
      <c r="E53" s="64">
        <v>3</v>
      </c>
      <c r="F53" s="65"/>
      <c r="G53" s="66" t="b">
        <f>ISNUMBER(MATCH(C53,'Pareto Analysis'!$A$48:$A$114,0))</f>
        <v>0</v>
      </c>
      <c r="H53" s="67" t="str">
        <f t="shared" si="0"/>
        <v>👎</v>
      </c>
      <c r="I53" s="69"/>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c r="AN53" s="20"/>
      <c r="AO53" s="20"/>
      <c r="AP53" s="20"/>
      <c r="AQ53" s="20"/>
      <c r="AR53" s="20"/>
      <c r="AS53" s="20"/>
      <c r="AT53" s="20"/>
      <c r="AU53" s="20"/>
      <c r="AV53" s="20"/>
      <c r="AW53" s="20"/>
      <c r="AX53" s="20"/>
      <c r="AY53" s="20"/>
      <c r="AZ53" s="20"/>
      <c r="BA53" s="20"/>
      <c r="BB53" s="20"/>
      <c r="BC53" s="20"/>
    </row>
    <row r="54" ht="13.5" customHeight="1" spans="1:55">
      <c r="A54" s="20"/>
      <c r="B54" s="62">
        <v>38273</v>
      </c>
      <c r="C54" s="63" t="s">
        <v>1173</v>
      </c>
      <c r="D54" s="63" t="s">
        <v>1151</v>
      </c>
      <c r="E54" s="64">
        <v>3</v>
      </c>
      <c r="F54" s="65"/>
      <c r="G54" s="66" t="b">
        <f>ISNUMBER(MATCH(C54,'Pareto Analysis'!$A$48:$A$114,0))</f>
        <v>0</v>
      </c>
      <c r="H54" s="67" t="str">
        <f t="shared" si="0"/>
        <v>👎</v>
      </c>
      <c r="I54" s="69"/>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c r="AN54" s="20"/>
      <c r="AO54" s="20"/>
      <c r="AP54" s="20"/>
      <c r="AQ54" s="20"/>
      <c r="AR54" s="20"/>
      <c r="AS54" s="20"/>
      <c r="AT54" s="20"/>
      <c r="AU54" s="20"/>
      <c r="AV54" s="20"/>
      <c r="AW54" s="20"/>
      <c r="AX54" s="20"/>
      <c r="AY54" s="20"/>
      <c r="AZ54" s="20"/>
      <c r="BA54" s="20"/>
      <c r="BB54" s="20"/>
      <c r="BC54" s="20"/>
    </row>
    <row r="55" ht="13.5" customHeight="1" spans="1:55">
      <c r="A55" s="20"/>
      <c r="B55" s="62">
        <v>38273</v>
      </c>
      <c r="C55" s="63" t="s">
        <v>1155</v>
      </c>
      <c r="D55" s="63" t="s">
        <v>1156</v>
      </c>
      <c r="E55" s="64">
        <v>3</v>
      </c>
      <c r="F55" s="65"/>
      <c r="G55" s="66" t="b">
        <f>ISNUMBER(MATCH(C55,'Pareto Analysis'!$A$48:$A$114,0))</f>
        <v>0</v>
      </c>
      <c r="H55" s="67" t="str">
        <f t="shared" si="0"/>
        <v>👎</v>
      </c>
      <c r="I55" s="69"/>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c r="AN55" s="20"/>
      <c r="AO55" s="20"/>
      <c r="AP55" s="20"/>
      <c r="AQ55" s="20"/>
      <c r="AR55" s="20"/>
      <c r="AS55" s="20"/>
      <c r="AT55" s="20"/>
      <c r="AU55" s="20"/>
      <c r="AV55" s="20"/>
      <c r="AW55" s="20"/>
      <c r="AX55" s="20"/>
      <c r="AY55" s="20"/>
      <c r="AZ55" s="20"/>
      <c r="BA55" s="20"/>
      <c r="BB55" s="20"/>
      <c r="BC55" s="20"/>
    </row>
    <row r="56" ht="13.5" customHeight="1" spans="1:55">
      <c r="A56" s="20"/>
      <c r="B56" s="62">
        <v>38273</v>
      </c>
      <c r="C56" s="63" t="s">
        <v>1172</v>
      </c>
      <c r="D56" s="63" t="s">
        <v>1153</v>
      </c>
      <c r="E56" s="64">
        <v>3</v>
      </c>
      <c r="F56" s="65"/>
      <c r="G56" s="66" t="b">
        <f>ISNUMBER(MATCH(C56,'Pareto Analysis'!$A$48:$A$114,0))</f>
        <v>0</v>
      </c>
      <c r="H56" s="67" t="str">
        <f t="shared" si="0"/>
        <v>👎</v>
      </c>
      <c r="I56" s="69"/>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c r="AX56" s="20"/>
      <c r="AY56" s="20"/>
      <c r="AZ56" s="20"/>
      <c r="BA56" s="20"/>
      <c r="BB56" s="20"/>
      <c r="BC56" s="20"/>
    </row>
    <row r="57" ht="13.5" customHeight="1" spans="1:55">
      <c r="A57" s="20"/>
      <c r="B57" s="62">
        <v>38274</v>
      </c>
      <c r="C57" s="63" t="s">
        <v>1172</v>
      </c>
      <c r="D57" s="63" t="s">
        <v>1153</v>
      </c>
      <c r="E57" s="64">
        <v>3</v>
      </c>
      <c r="F57" s="65"/>
      <c r="G57" s="66" t="b">
        <f>ISNUMBER(MATCH(C57,'Pareto Analysis'!$A$48:$A$114,0))</f>
        <v>0</v>
      </c>
      <c r="H57" s="67" t="str">
        <f t="shared" si="0"/>
        <v>👎</v>
      </c>
      <c r="I57" s="69"/>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c r="AP57" s="20"/>
      <c r="AQ57" s="20"/>
      <c r="AR57" s="20"/>
      <c r="AS57" s="20"/>
      <c r="AT57" s="20"/>
      <c r="AU57" s="20"/>
      <c r="AV57" s="20"/>
      <c r="AW57" s="20"/>
      <c r="AX57" s="20"/>
      <c r="AY57" s="20"/>
      <c r="AZ57" s="20"/>
      <c r="BA57" s="20"/>
      <c r="BB57" s="20"/>
      <c r="BC57" s="20"/>
    </row>
    <row r="58" ht="13.5" customHeight="1" spans="1:55">
      <c r="A58" s="20"/>
      <c r="B58" s="62">
        <v>38274</v>
      </c>
      <c r="C58" s="63" t="s">
        <v>1173</v>
      </c>
      <c r="D58" s="63" t="s">
        <v>1151</v>
      </c>
      <c r="E58" s="64">
        <v>3</v>
      </c>
      <c r="F58" s="65"/>
      <c r="G58" s="66" t="b">
        <f>ISNUMBER(MATCH(C58,'Pareto Analysis'!$A$48:$A$114,0))</f>
        <v>0</v>
      </c>
      <c r="H58" s="67" t="str">
        <f t="shared" si="0"/>
        <v>👎</v>
      </c>
      <c r="I58" s="69"/>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row>
    <row r="59" ht="13.5" customHeight="1" spans="1:55">
      <c r="A59" s="20"/>
      <c r="B59" s="62">
        <v>38277</v>
      </c>
      <c r="C59" s="63" t="s">
        <v>1174</v>
      </c>
      <c r="D59" s="63" t="s">
        <v>1156</v>
      </c>
      <c r="E59" s="64">
        <v>3</v>
      </c>
      <c r="F59" s="65"/>
      <c r="G59" s="66" t="b">
        <f>ISNUMBER(MATCH(C59,'Pareto Analysis'!$A$48:$A$114,0))</f>
        <v>1</v>
      </c>
      <c r="H59" s="67" t="str">
        <f t="shared" si="0"/>
        <v>👍</v>
      </c>
      <c r="I59" s="69"/>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row>
    <row r="60" ht="13.5" customHeight="1" spans="1:55">
      <c r="A60" s="20"/>
      <c r="B60" s="62">
        <v>38277</v>
      </c>
      <c r="C60" s="63" t="s">
        <v>1172</v>
      </c>
      <c r="D60" s="63" t="s">
        <v>1153</v>
      </c>
      <c r="E60" s="64">
        <v>3</v>
      </c>
      <c r="F60" s="65"/>
      <c r="G60" s="66" t="b">
        <f>ISNUMBER(MATCH(C60,'Pareto Analysis'!$A$48:$A$114,0))</f>
        <v>0</v>
      </c>
      <c r="H60" s="67" t="str">
        <f t="shared" si="0"/>
        <v>👎</v>
      </c>
      <c r="I60" s="69"/>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c r="AS60" s="20"/>
      <c r="AT60" s="20"/>
      <c r="AU60" s="20"/>
      <c r="AV60" s="20"/>
      <c r="AW60" s="20"/>
      <c r="AX60" s="20"/>
      <c r="AY60" s="20"/>
      <c r="AZ60" s="20"/>
      <c r="BA60" s="20"/>
      <c r="BB60" s="20"/>
      <c r="BC60" s="20"/>
    </row>
    <row r="61" ht="13.5" customHeight="1" spans="1:55">
      <c r="A61" s="20"/>
      <c r="B61" s="62">
        <v>38277</v>
      </c>
      <c r="C61" s="63" t="s">
        <v>1163</v>
      </c>
      <c r="D61" s="63" t="s">
        <v>1156</v>
      </c>
      <c r="E61" s="64">
        <v>3</v>
      </c>
      <c r="F61" s="65"/>
      <c r="G61" s="66" t="b">
        <f>ISNUMBER(MATCH(C61,'Pareto Analysis'!$A$48:$A$114,0))</f>
        <v>0</v>
      </c>
      <c r="H61" s="67" t="str">
        <f t="shared" si="0"/>
        <v>👎</v>
      </c>
      <c r="I61" s="69"/>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c r="AS61" s="20"/>
      <c r="AT61" s="20"/>
      <c r="AU61" s="20"/>
      <c r="AV61" s="20"/>
      <c r="AW61" s="20"/>
      <c r="AX61" s="20"/>
      <c r="AY61" s="20"/>
      <c r="AZ61" s="20"/>
      <c r="BA61" s="20"/>
      <c r="BB61" s="20"/>
      <c r="BC61" s="20"/>
    </row>
    <row r="62" ht="13.5" customHeight="1" spans="1:55">
      <c r="A62" s="20"/>
      <c r="B62" s="62">
        <v>38285</v>
      </c>
      <c r="C62" s="63" t="s">
        <v>1174</v>
      </c>
      <c r="D62" s="63" t="s">
        <v>1156</v>
      </c>
      <c r="E62" s="64">
        <v>3</v>
      </c>
      <c r="F62" s="65"/>
      <c r="G62" s="66" t="b">
        <f>ISNUMBER(MATCH(C62,'Pareto Analysis'!$A$48:$A$114,0))</f>
        <v>1</v>
      </c>
      <c r="H62" s="67" t="str">
        <f t="shared" si="0"/>
        <v>👍</v>
      </c>
      <c r="I62" s="69"/>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c r="AS62" s="20"/>
      <c r="AT62" s="20"/>
      <c r="AU62" s="20"/>
      <c r="AV62" s="20"/>
      <c r="AW62" s="20"/>
      <c r="AX62" s="20"/>
      <c r="AY62" s="20"/>
      <c r="AZ62" s="20"/>
      <c r="BA62" s="20"/>
      <c r="BB62" s="20"/>
      <c r="BC62" s="20"/>
    </row>
    <row r="63" ht="13.5" customHeight="1" spans="1:55">
      <c r="A63" s="20"/>
      <c r="B63" s="62">
        <v>38286</v>
      </c>
      <c r="C63" s="63" t="s">
        <v>1169</v>
      </c>
      <c r="D63" s="63" t="s">
        <v>1151</v>
      </c>
      <c r="E63" s="64">
        <v>3</v>
      </c>
      <c r="F63" s="65"/>
      <c r="G63" s="66" t="b">
        <f>ISNUMBER(MATCH(C63,'Pareto Analysis'!$A$48:$A$114,0))</f>
        <v>1</v>
      </c>
      <c r="H63" s="67" t="str">
        <f t="shared" si="0"/>
        <v>👍</v>
      </c>
      <c r="I63" s="69"/>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c r="AS63" s="20"/>
      <c r="AT63" s="20"/>
      <c r="AU63" s="20"/>
      <c r="AV63" s="20"/>
      <c r="AW63" s="20"/>
      <c r="AX63" s="20"/>
      <c r="AY63" s="20"/>
      <c r="AZ63" s="20"/>
      <c r="BA63" s="20"/>
      <c r="BB63" s="20"/>
      <c r="BC63" s="20"/>
    </row>
    <row r="64" ht="13.5" customHeight="1" spans="1:55">
      <c r="A64" s="20"/>
      <c r="B64" s="62">
        <v>38270</v>
      </c>
      <c r="C64" s="63" t="s">
        <v>1175</v>
      </c>
      <c r="D64" s="63" t="s">
        <v>1156</v>
      </c>
      <c r="E64" s="64">
        <v>4</v>
      </c>
      <c r="F64" s="65"/>
      <c r="G64" s="66" t="b">
        <f>ISNUMBER(MATCH(C64,'Pareto Analysis'!$A$48:$A$114,0))</f>
        <v>0</v>
      </c>
      <c r="H64" s="67" t="str">
        <f t="shared" si="0"/>
        <v>👎</v>
      </c>
      <c r="I64" s="69"/>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c r="AI64" s="20"/>
      <c r="AJ64" s="20"/>
      <c r="AK64" s="20"/>
      <c r="AL64" s="20"/>
      <c r="AM64" s="20"/>
      <c r="AN64" s="20"/>
      <c r="AO64" s="20"/>
      <c r="AP64" s="20"/>
      <c r="AQ64" s="20"/>
      <c r="AR64" s="20"/>
      <c r="AS64" s="20"/>
      <c r="AT64" s="20"/>
      <c r="AU64" s="20"/>
      <c r="AV64" s="20"/>
      <c r="AW64" s="20"/>
      <c r="AX64" s="20"/>
      <c r="AY64" s="20"/>
      <c r="AZ64" s="20"/>
      <c r="BA64" s="20"/>
      <c r="BB64" s="20"/>
      <c r="BC64" s="20"/>
    </row>
    <row r="65" ht="13.5" customHeight="1" spans="1:55">
      <c r="A65" s="20"/>
      <c r="B65" s="62">
        <v>38270</v>
      </c>
      <c r="C65" s="63" t="s">
        <v>1173</v>
      </c>
      <c r="D65" s="63" t="s">
        <v>1151</v>
      </c>
      <c r="E65" s="64">
        <v>4</v>
      </c>
      <c r="F65" s="65"/>
      <c r="G65" s="66" t="b">
        <f>ISNUMBER(MATCH(C65,'Pareto Analysis'!$A$48:$A$114,0))</f>
        <v>0</v>
      </c>
      <c r="H65" s="67" t="str">
        <f t="shared" si="0"/>
        <v>👎</v>
      </c>
      <c r="I65" s="69"/>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c r="AS65" s="20"/>
      <c r="AT65" s="20"/>
      <c r="AU65" s="20"/>
      <c r="AV65" s="20"/>
      <c r="AW65" s="20"/>
      <c r="AX65" s="20"/>
      <c r="AY65" s="20"/>
      <c r="AZ65" s="20"/>
      <c r="BA65" s="20"/>
      <c r="BB65" s="20"/>
      <c r="BC65" s="20"/>
    </row>
    <row r="66" ht="13.5" customHeight="1" spans="1:55">
      <c r="A66" s="20"/>
      <c r="B66" s="62">
        <v>38270</v>
      </c>
      <c r="C66" s="63" t="s">
        <v>1172</v>
      </c>
      <c r="D66" s="63" t="s">
        <v>1153</v>
      </c>
      <c r="E66" s="64">
        <v>4</v>
      </c>
      <c r="F66" s="65"/>
      <c r="G66" s="66" t="b">
        <f>ISNUMBER(MATCH(C66,'Pareto Analysis'!$A$48:$A$114,0))</f>
        <v>0</v>
      </c>
      <c r="H66" s="67" t="str">
        <f t="shared" si="0"/>
        <v>👎</v>
      </c>
      <c r="I66" s="69"/>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c r="AN66" s="20"/>
      <c r="AO66" s="20"/>
      <c r="AP66" s="20"/>
      <c r="AQ66" s="20"/>
      <c r="AR66" s="20"/>
      <c r="AS66" s="20"/>
      <c r="AT66" s="20"/>
      <c r="AU66" s="20"/>
      <c r="AV66" s="20"/>
      <c r="AW66" s="20"/>
      <c r="AX66" s="20"/>
      <c r="AY66" s="20"/>
      <c r="AZ66" s="20"/>
      <c r="BA66" s="20"/>
      <c r="BB66" s="20"/>
      <c r="BC66" s="20"/>
    </row>
    <row r="67" ht="13.5" customHeight="1" spans="1:55">
      <c r="A67" s="20"/>
      <c r="B67" s="62">
        <v>38271</v>
      </c>
      <c r="C67" s="63" t="s">
        <v>1176</v>
      </c>
      <c r="D67" s="63" t="s">
        <v>1153</v>
      </c>
      <c r="E67" s="64">
        <v>4</v>
      </c>
      <c r="F67" s="65"/>
      <c r="G67" s="66" t="b">
        <f>ISNUMBER(MATCH(C67,'Pareto Analysis'!$A$48:$A$114,0))</f>
        <v>1</v>
      </c>
      <c r="H67" s="67" t="str">
        <f t="shared" si="0"/>
        <v>👍</v>
      </c>
      <c r="I67" s="69"/>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c r="AI67" s="20"/>
      <c r="AJ67" s="20"/>
      <c r="AK67" s="20"/>
      <c r="AL67" s="20"/>
      <c r="AM67" s="20"/>
      <c r="AN67" s="20"/>
      <c r="AO67" s="20"/>
      <c r="AP67" s="20"/>
      <c r="AQ67" s="20"/>
      <c r="AR67" s="20"/>
      <c r="AS67" s="20"/>
      <c r="AT67" s="20"/>
      <c r="AU67" s="20"/>
      <c r="AV67" s="20"/>
      <c r="AW67" s="20"/>
      <c r="AX67" s="20"/>
      <c r="AY67" s="20"/>
      <c r="AZ67" s="20"/>
      <c r="BA67" s="20"/>
      <c r="BB67" s="20"/>
      <c r="BC67" s="20"/>
    </row>
    <row r="68" ht="13.5" customHeight="1" spans="1:55">
      <c r="A68" s="20"/>
      <c r="B68" s="62">
        <v>38271</v>
      </c>
      <c r="C68" s="63" t="s">
        <v>1177</v>
      </c>
      <c r="D68" s="63" t="s">
        <v>1153</v>
      </c>
      <c r="E68" s="64">
        <v>4</v>
      </c>
      <c r="F68" s="65"/>
      <c r="G68" s="66" t="b">
        <f>ISNUMBER(MATCH(C68,'Pareto Analysis'!$A$48:$A$114,0))</f>
        <v>0</v>
      </c>
      <c r="H68" s="67" t="str">
        <f t="shared" si="0"/>
        <v>👎</v>
      </c>
      <c r="I68" s="69"/>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c r="AI68" s="20"/>
      <c r="AJ68" s="20"/>
      <c r="AK68" s="20"/>
      <c r="AL68" s="20"/>
      <c r="AM68" s="20"/>
      <c r="AN68" s="20"/>
      <c r="AO68" s="20"/>
      <c r="AP68" s="20"/>
      <c r="AQ68" s="20"/>
      <c r="AR68" s="20"/>
      <c r="AS68" s="20"/>
      <c r="AT68" s="20"/>
      <c r="AU68" s="20"/>
      <c r="AV68" s="20"/>
      <c r="AW68" s="20"/>
      <c r="AX68" s="20"/>
      <c r="AY68" s="20"/>
      <c r="AZ68" s="20"/>
      <c r="BA68" s="20"/>
      <c r="BB68" s="20"/>
      <c r="BC68" s="20"/>
    </row>
    <row r="69" ht="13.5" customHeight="1" spans="1:55">
      <c r="A69" s="20"/>
      <c r="B69" s="62">
        <v>38271</v>
      </c>
      <c r="C69" s="63" t="s">
        <v>1173</v>
      </c>
      <c r="D69" s="63" t="s">
        <v>1151</v>
      </c>
      <c r="E69" s="64">
        <v>4</v>
      </c>
      <c r="F69" s="65"/>
      <c r="G69" s="66" t="b">
        <f>ISNUMBER(MATCH(C69,'Pareto Analysis'!$A$48:$A$114,0))</f>
        <v>0</v>
      </c>
      <c r="H69" s="67" t="str">
        <f t="shared" si="0"/>
        <v>👎</v>
      </c>
      <c r="I69" s="69"/>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c r="AI69" s="20"/>
      <c r="AJ69" s="20"/>
      <c r="AK69" s="20"/>
      <c r="AL69" s="20"/>
      <c r="AM69" s="20"/>
      <c r="AN69" s="20"/>
      <c r="AO69" s="20"/>
      <c r="AP69" s="20"/>
      <c r="AQ69" s="20"/>
      <c r="AR69" s="20"/>
      <c r="AS69" s="20"/>
      <c r="AT69" s="20"/>
      <c r="AU69" s="20"/>
      <c r="AV69" s="20"/>
      <c r="AW69" s="20"/>
      <c r="AX69" s="20"/>
      <c r="AY69" s="20"/>
      <c r="AZ69" s="20"/>
      <c r="BA69" s="20"/>
      <c r="BB69" s="20"/>
      <c r="BC69" s="20"/>
    </row>
    <row r="70" ht="13.5" customHeight="1" spans="1:55">
      <c r="A70" s="20"/>
      <c r="B70" s="62">
        <v>38280</v>
      </c>
      <c r="C70" s="63" t="s">
        <v>1172</v>
      </c>
      <c r="D70" s="63" t="s">
        <v>1153</v>
      </c>
      <c r="E70" s="64">
        <v>4</v>
      </c>
      <c r="F70" s="65"/>
      <c r="G70" s="66" t="b">
        <f>ISNUMBER(MATCH(C70,'Pareto Analysis'!$A$48:$A$114,0))</f>
        <v>0</v>
      </c>
      <c r="H70" s="67" t="str">
        <f t="shared" si="0"/>
        <v>👎</v>
      </c>
      <c r="I70" s="69"/>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c r="AN70" s="20"/>
      <c r="AO70" s="20"/>
      <c r="AP70" s="20"/>
      <c r="AQ70" s="20"/>
      <c r="AR70" s="20"/>
      <c r="AS70" s="20"/>
      <c r="AT70" s="20"/>
      <c r="AU70" s="20"/>
      <c r="AV70" s="20"/>
      <c r="AW70" s="20"/>
      <c r="AX70" s="20"/>
      <c r="AY70" s="20"/>
      <c r="AZ70" s="20"/>
      <c r="BA70" s="20"/>
      <c r="BB70" s="20"/>
      <c r="BC70" s="20"/>
    </row>
    <row r="71" ht="13.5" customHeight="1" spans="1:55">
      <c r="A71" s="20"/>
      <c r="B71" s="62">
        <v>38284</v>
      </c>
      <c r="C71" s="63" t="s">
        <v>1178</v>
      </c>
      <c r="D71" s="63" t="s">
        <v>1151</v>
      </c>
      <c r="E71" s="64">
        <v>4</v>
      </c>
      <c r="F71" s="65"/>
      <c r="G71" s="66" t="b">
        <f>ISNUMBER(MATCH(C71,'Pareto Analysis'!$A$48:$A$114,0))</f>
        <v>0</v>
      </c>
      <c r="H71" s="67" t="str">
        <f t="shared" ref="H71:H134" si="1">IF(G71=TRUE,"👍",IF(G71=FALSE,"👎",""))</f>
        <v>👎</v>
      </c>
      <c r="I71" s="69"/>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c r="AP71" s="20"/>
      <c r="AQ71" s="20"/>
      <c r="AR71" s="20"/>
      <c r="AS71" s="20"/>
      <c r="AT71" s="20"/>
      <c r="AU71" s="20"/>
      <c r="AV71" s="20"/>
      <c r="AW71" s="20"/>
      <c r="AX71" s="20"/>
      <c r="AY71" s="20"/>
      <c r="AZ71" s="20"/>
      <c r="BA71" s="20"/>
      <c r="BB71" s="20"/>
      <c r="BC71" s="20"/>
    </row>
    <row r="72" ht="13.5" customHeight="1" spans="1:55">
      <c r="A72" s="20"/>
      <c r="B72" s="62">
        <v>38272</v>
      </c>
      <c r="C72" s="63" t="s">
        <v>1179</v>
      </c>
      <c r="D72" s="63" t="s">
        <v>1151</v>
      </c>
      <c r="E72" s="64">
        <v>5</v>
      </c>
      <c r="F72" s="65"/>
      <c r="G72" s="66" t="b">
        <f>ISNUMBER(MATCH(C72,'Pareto Analysis'!$A$48:$A$114,0))</f>
        <v>0</v>
      </c>
      <c r="H72" s="67" t="str">
        <f t="shared" si="1"/>
        <v>👎</v>
      </c>
      <c r="I72" s="69"/>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c r="AP72" s="20"/>
      <c r="AQ72" s="20"/>
      <c r="AR72" s="20"/>
      <c r="AS72" s="20"/>
      <c r="AT72" s="20"/>
      <c r="AU72" s="20"/>
      <c r="AV72" s="20"/>
      <c r="AW72" s="20"/>
      <c r="AX72" s="20"/>
      <c r="AY72" s="20"/>
      <c r="AZ72" s="20"/>
      <c r="BA72" s="20"/>
      <c r="BB72" s="20"/>
      <c r="BC72" s="20"/>
    </row>
    <row r="73" ht="13.5" customHeight="1" spans="1:55">
      <c r="A73" s="20"/>
      <c r="B73" s="62">
        <v>38273</v>
      </c>
      <c r="C73" s="63" t="s">
        <v>1171</v>
      </c>
      <c r="D73" s="63" t="s">
        <v>1156</v>
      </c>
      <c r="E73" s="64">
        <v>5</v>
      </c>
      <c r="F73" s="65"/>
      <c r="G73" s="66" t="b">
        <f>ISNUMBER(MATCH(C73,'Pareto Analysis'!$A$48:$A$114,0))</f>
        <v>0</v>
      </c>
      <c r="H73" s="67" t="str">
        <f t="shared" si="1"/>
        <v>👎</v>
      </c>
      <c r="I73" s="69"/>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c r="AP73" s="20"/>
      <c r="AQ73" s="20"/>
      <c r="AR73" s="20"/>
      <c r="AS73" s="20"/>
      <c r="AT73" s="20"/>
      <c r="AU73" s="20"/>
      <c r="AV73" s="20"/>
      <c r="AW73" s="20"/>
      <c r="AX73" s="20"/>
      <c r="AY73" s="20"/>
      <c r="AZ73" s="20"/>
      <c r="BA73" s="20"/>
      <c r="BB73" s="20"/>
      <c r="BC73" s="20"/>
    </row>
    <row r="74" ht="13.5" customHeight="1" spans="1:55">
      <c r="A74" s="20"/>
      <c r="B74" s="62">
        <v>38277</v>
      </c>
      <c r="C74" s="63" t="s">
        <v>1180</v>
      </c>
      <c r="D74" s="63" t="s">
        <v>1151</v>
      </c>
      <c r="E74" s="64">
        <v>5</v>
      </c>
      <c r="F74" s="65"/>
      <c r="G74" s="66" t="b">
        <f>ISNUMBER(MATCH(C74,'Pareto Analysis'!$A$48:$A$114,0))</f>
        <v>0</v>
      </c>
      <c r="H74" s="67" t="str">
        <f t="shared" si="1"/>
        <v>👎</v>
      </c>
      <c r="I74" s="69"/>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c r="AP74" s="20"/>
      <c r="AQ74" s="20"/>
      <c r="AR74" s="20"/>
      <c r="AS74" s="20"/>
      <c r="AT74" s="20"/>
      <c r="AU74" s="20"/>
      <c r="AV74" s="20"/>
      <c r="AW74" s="20"/>
      <c r="AX74" s="20"/>
      <c r="AY74" s="20"/>
      <c r="AZ74" s="20"/>
      <c r="BA74" s="20"/>
      <c r="BB74" s="20"/>
      <c r="BC74" s="20"/>
    </row>
    <row r="75" ht="13.5" customHeight="1" spans="1:55">
      <c r="A75" s="20"/>
      <c r="B75" s="62">
        <v>38280</v>
      </c>
      <c r="C75" s="63" t="s">
        <v>1181</v>
      </c>
      <c r="D75" s="63" t="s">
        <v>1153</v>
      </c>
      <c r="E75" s="64">
        <v>5</v>
      </c>
      <c r="F75" s="65"/>
      <c r="G75" s="66" t="b">
        <f>ISNUMBER(MATCH(C75,'Pareto Analysis'!$A$48:$A$114,0))</f>
        <v>0</v>
      </c>
      <c r="H75" s="67" t="str">
        <f t="shared" si="1"/>
        <v>👎</v>
      </c>
      <c r="I75" s="69"/>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c r="AP75" s="20"/>
      <c r="AQ75" s="20"/>
      <c r="AR75" s="20"/>
      <c r="AS75" s="20"/>
      <c r="AT75" s="20"/>
      <c r="AU75" s="20"/>
      <c r="AV75" s="20"/>
      <c r="AW75" s="20"/>
      <c r="AX75" s="20"/>
      <c r="AY75" s="20"/>
      <c r="AZ75" s="20"/>
      <c r="BA75" s="20"/>
      <c r="BB75" s="20"/>
      <c r="BC75" s="20"/>
    </row>
    <row r="76" ht="13.5" customHeight="1" spans="1:55">
      <c r="A76" s="20"/>
      <c r="B76" s="62">
        <v>38285</v>
      </c>
      <c r="C76" s="63" t="s">
        <v>1182</v>
      </c>
      <c r="D76" s="63" t="s">
        <v>1151</v>
      </c>
      <c r="E76" s="64">
        <v>5</v>
      </c>
      <c r="F76" s="65"/>
      <c r="G76" s="66" t="b">
        <f>ISNUMBER(MATCH(C76,'Pareto Analysis'!$A$48:$A$114,0))</f>
        <v>0</v>
      </c>
      <c r="H76" s="67" t="str">
        <f t="shared" si="1"/>
        <v>👎</v>
      </c>
      <c r="I76" s="69"/>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c r="AP76" s="20"/>
      <c r="AQ76" s="20"/>
      <c r="AR76" s="20"/>
      <c r="AS76" s="20"/>
      <c r="AT76" s="20"/>
      <c r="AU76" s="20"/>
      <c r="AV76" s="20"/>
      <c r="AW76" s="20"/>
      <c r="AX76" s="20"/>
      <c r="AY76" s="20"/>
      <c r="AZ76" s="20"/>
      <c r="BA76" s="20"/>
      <c r="BB76" s="20"/>
      <c r="BC76" s="20"/>
    </row>
    <row r="77" ht="13.5" customHeight="1" spans="1:55">
      <c r="A77" s="20"/>
      <c r="B77" s="62">
        <v>38280</v>
      </c>
      <c r="C77" s="63" t="s">
        <v>1183</v>
      </c>
      <c r="D77" s="63" t="s">
        <v>1148</v>
      </c>
      <c r="E77" s="64">
        <v>6.4</v>
      </c>
      <c r="F77" s="65"/>
      <c r="G77" s="66" t="b">
        <f>ISNUMBER(MATCH(C77,'Pareto Analysis'!$A$48:$A$114,0))</f>
        <v>0</v>
      </c>
      <c r="H77" s="67" t="str">
        <f t="shared" si="1"/>
        <v>👎</v>
      </c>
      <c r="I77" s="69"/>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c r="AP77" s="20"/>
      <c r="AQ77" s="20"/>
      <c r="AR77" s="20"/>
      <c r="AS77" s="20"/>
      <c r="AT77" s="20"/>
      <c r="AU77" s="20"/>
      <c r="AV77" s="20"/>
      <c r="AW77" s="20"/>
      <c r="AX77" s="20"/>
      <c r="AY77" s="20"/>
      <c r="AZ77" s="20"/>
      <c r="BA77" s="20"/>
      <c r="BB77" s="20"/>
      <c r="BC77" s="20"/>
    </row>
    <row r="78" ht="13.5" customHeight="1" spans="1:55">
      <c r="A78" s="20"/>
      <c r="B78" s="62">
        <v>38271</v>
      </c>
      <c r="C78" s="63" t="s">
        <v>1164</v>
      </c>
      <c r="D78" s="63" t="s">
        <v>1151</v>
      </c>
      <c r="E78" s="64">
        <v>7</v>
      </c>
      <c r="F78" s="65"/>
      <c r="G78" s="66" t="b">
        <f>ISNUMBER(MATCH(C78,'Pareto Analysis'!$A$48:$A$114,0))</f>
        <v>0</v>
      </c>
      <c r="H78" s="67" t="str">
        <f t="shared" si="1"/>
        <v>👎</v>
      </c>
      <c r="I78" s="69"/>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c r="AP78" s="20"/>
      <c r="AQ78" s="20"/>
      <c r="AR78" s="20"/>
      <c r="AS78" s="20"/>
      <c r="AT78" s="20"/>
      <c r="AU78" s="20"/>
      <c r="AV78" s="20"/>
      <c r="AW78" s="20"/>
      <c r="AX78" s="20"/>
      <c r="AY78" s="20"/>
      <c r="AZ78" s="20"/>
      <c r="BA78" s="20"/>
      <c r="BB78" s="20"/>
      <c r="BC78" s="20"/>
    </row>
    <row r="79" ht="13.5" customHeight="1" spans="1:55">
      <c r="A79" s="20"/>
      <c r="B79" s="62">
        <v>38274</v>
      </c>
      <c r="C79" s="63" t="s">
        <v>1184</v>
      </c>
      <c r="D79" s="63" t="s">
        <v>1156</v>
      </c>
      <c r="E79" s="64">
        <v>7</v>
      </c>
      <c r="F79" s="65"/>
      <c r="G79" s="66" t="b">
        <f>ISNUMBER(MATCH(C79,'Pareto Analysis'!$A$48:$A$114,0))</f>
        <v>1</v>
      </c>
      <c r="H79" s="67" t="str">
        <f t="shared" si="1"/>
        <v>👍</v>
      </c>
      <c r="I79" s="69"/>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c r="AP79" s="20"/>
      <c r="AQ79" s="20"/>
      <c r="AR79" s="20"/>
      <c r="AS79" s="20"/>
      <c r="AT79" s="20"/>
      <c r="AU79" s="20"/>
      <c r="AV79" s="20"/>
      <c r="AW79" s="20"/>
      <c r="AX79" s="20"/>
      <c r="AY79" s="20"/>
      <c r="AZ79" s="20"/>
      <c r="BA79" s="20"/>
      <c r="BB79" s="20"/>
      <c r="BC79" s="20"/>
    </row>
    <row r="80" ht="13.5" customHeight="1" spans="1:55">
      <c r="A80" s="20"/>
      <c r="B80" s="62">
        <v>38277</v>
      </c>
      <c r="C80" s="63" t="s">
        <v>1184</v>
      </c>
      <c r="D80" s="63" t="s">
        <v>1156</v>
      </c>
      <c r="E80" s="64">
        <v>7</v>
      </c>
      <c r="F80" s="65"/>
      <c r="G80" s="66" t="b">
        <f>ISNUMBER(MATCH(C80,'Pareto Analysis'!$A$48:$A$114,0))</f>
        <v>1</v>
      </c>
      <c r="H80" s="67" t="str">
        <f t="shared" si="1"/>
        <v>👍</v>
      </c>
      <c r="I80" s="69"/>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c r="AP80" s="20"/>
      <c r="AQ80" s="20"/>
      <c r="AR80" s="20"/>
      <c r="AS80" s="20"/>
      <c r="AT80" s="20"/>
      <c r="AU80" s="20"/>
      <c r="AV80" s="20"/>
      <c r="AW80" s="20"/>
      <c r="AX80" s="20"/>
      <c r="AY80" s="20"/>
      <c r="AZ80" s="20"/>
      <c r="BA80" s="20"/>
      <c r="BB80" s="20"/>
      <c r="BC80" s="20"/>
    </row>
    <row r="81" ht="13.5" customHeight="1" spans="1:55">
      <c r="A81" s="20"/>
      <c r="B81" s="62">
        <v>38284</v>
      </c>
      <c r="C81" s="63" t="s">
        <v>1185</v>
      </c>
      <c r="D81" s="63" t="s">
        <v>1153</v>
      </c>
      <c r="E81" s="64">
        <v>7</v>
      </c>
      <c r="F81" s="65"/>
      <c r="G81" s="66" t="b">
        <f>ISNUMBER(MATCH(C81,'Pareto Analysis'!$A$48:$A$114,0))</f>
        <v>1</v>
      </c>
      <c r="H81" s="67" t="str">
        <f t="shared" si="1"/>
        <v>👍</v>
      </c>
      <c r="I81" s="69"/>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c r="AX81" s="20"/>
      <c r="AY81" s="20"/>
      <c r="AZ81" s="20"/>
      <c r="BA81" s="20"/>
      <c r="BB81" s="20"/>
      <c r="BC81" s="20"/>
    </row>
    <row r="82" ht="13.5" customHeight="1" spans="1:55">
      <c r="A82" s="20"/>
      <c r="B82" s="62">
        <v>38285</v>
      </c>
      <c r="C82" s="63" t="s">
        <v>1173</v>
      </c>
      <c r="D82" s="63" t="s">
        <v>1151</v>
      </c>
      <c r="E82" s="64">
        <v>7</v>
      </c>
      <c r="F82" s="65"/>
      <c r="G82" s="66" t="b">
        <f>ISNUMBER(MATCH(C82,'Pareto Analysis'!$A$48:$A$114,0))</f>
        <v>0</v>
      </c>
      <c r="H82" s="67" t="str">
        <f t="shared" si="1"/>
        <v>👎</v>
      </c>
      <c r="I82" s="69"/>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row>
    <row r="83" ht="13.5" customHeight="1" spans="1:55">
      <c r="A83" s="20"/>
      <c r="B83" s="62">
        <v>38286</v>
      </c>
      <c r="C83" s="63" t="s">
        <v>1173</v>
      </c>
      <c r="D83" s="63" t="s">
        <v>1151</v>
      </c>
      <c r="E83" s="64">
        <v>7</v>
      </c>
      <c r="F83" s="65"/>
      <c r="G83" s="66" t="b">
        <f>ISNUMBER(MATCH(C83,'Pareto Analysis'!$A$48:$A$114,0))</f>
        <v>0</v>
      </c>
      <c r="H83" s="67" t="str">
        <f t="shared" si="1"/>
        <v>👎</v>
      </c>
      <c r="I83" s="69"/>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c r="AP83" s="20"/>
      <c r="AQ83" s="20"/>
      <c r="AR83" s="20"/>
      <c r="AS83" s="20"/>
      <c r="AT83" s="20"/>
      <c r="AU83" s="20"/>
      <c r="AV83" s="20"/>
      <c r="AW83" s="20"/>
      <c r="AX83" s="20"/>
      <c r="AY83" s="20"/>
      <c r="AZ83" s="20"/>
      <c r="BA83" s="20"/>
      <c r="BB83" s="20"/>
      <c r="BC83" s="20"/>
    </row>
    <row r="84" ht="13.5" customHeight="1" spans="1:55">
      <c r="A84" s="20"/>
      <c r="B84" s="62">
        <v>38272</v>
      </c>
      <c r="C84" s="63" t="s">
        <v>1164</v>
      </c>
      <c r="D84" s="63" t="s">
        <v>1151</v>
      </c>
      <c r="E84" s="64">
        <v>8</v>
      </c>
      <c r="F84" s="65"/>
      <c r="G84" s="66" t="b">
        <f>ISNUMBER(MATCH(C84,'Pareto Analysis'!$A$48:$A$114,0))</f>
        <v>0</v>
      </c>
      <c r="H84" s="67" t="str">
        <f t="shared" si="1"/>
        <v>👎</v>
      </c>
      <c r="I84" s="69"/>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c r="AP84" s="20"/>
      <c r="AQ84" s="20"/>
      <c r="AR84" s="20"/>
      <c r="AS84" s="20"/>
      <c r="AT84" s="20"/>
      <c r="AU84" s="20"/>
      <c r="AV84" s="20"/>
      <c r="AW84" s="20"/>
      <c r="AX84" s="20"/>
      <c r="AY84" s="20"/>
      <c r="AZ84" s="20"/>
      <c r="BA84" s="20"/>
      <c r="BB84" s="20"/>
      <c r="BC84" s="20"/>
    </row>
    <row r="85" ht="13.5" customHeight="1" spans="1:55">
      <c r="A85" s="20"/>
      <c r="B85" s="62">
        <v>38273</v>
      </c>
      <c r="C85" s="63" t="s">
        <v>1164</v>
      </c>
      <c r="D85" s="63" t="s">
        <v>1151</v>
      </c>
      <c r="E85" s="64">
        <v>8</v>
      </c>
      <c r="F85" s="65"/>
      <c r="G85" s="66" t="b">
        <f>ISNUMBER(MATCH(C85,'Pareto Analysis'!$A$48:$A$114,0))</f>
        <v>0</v>
      </c>
      <c r="H85" s="67" t="str">
        <f t="shared" si="1"/>
        <v>👎</v>
      </c>
      <c r="I85" s="69"/>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c r="AP85" s="20"/>
      <c r="AQ85" s="20"/>
      <c r="AR85" s="20"/>
      <c r="AS85" s="20"/>
      <c r="AT85" s="20"/>
      <c r="AU85" s="20"/>
      <c r="AV85" s="20"/>
      <c r="AW85" s="20"/>
      <c r="AX85" s="20"/>
      <c r="AY85" s="20"/>
      <c r="AZ85" s="20"/>
      <c r="BA85" s="20"/>
      <c r="BB85" s="20"/>
      <c r="BC85" s="20"/>
    </row>
    <row r="86" ht="13.5" customHeight="1" spans="1:55">
      <c r="A86" s="20"/>
      <c r="B86" s="62">
        <v>38280</v>
      </c>
      <c r="C86" s="63" t="s">
        <v>1163</v>
      </c>
      <c r="D86" s="63" t="s">
        <v>1156</v>
      </c>
      <c r="E86" s="64">
        <v>8</v>
      </c>
      <c r="F86" s="65"/>
      <c r="G86" s="66" t="b">
        <f>ISNUMBER(MATCH(C86,'Pareto Analysis'!$A$48:$A$114,0))</f>
        <v>0</v>
      </c>
      <c r="H86" s="67" t="str">
        <f t="shared" si="1"/>
        <v>👎</v>
      </c>
      <c r="I86" s="69"/>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c r="AP86" s="20"/>
      <c r="AQ86" s="20"/>
      <c r="AR86" s="20"/>
      <c r="AS86" s="20"/>
      <c r="AT86" s="20"/>
      <c r="AU86" s="20"/>
      <c r="AV86" s="20"/>
      <c r="AW86" s="20"/>
      <c r="AX86" s="20"/>
      <c r="AY86" s="20"/>
      <c r="AZ86" s="20"/>
      <c r="BA86" s="20"/>
      <c r="BB86" s="20"/>
      <c r="BC86" s="20"/>
    </row>
    <row r="87" ht="13.5" customHeight="1" spans="1:55">
      <c r="A87" s="20"/>
      <c r="B87" s="62">
        <v>38281</v>
      </c>
      <c r="C87" s="63" t="s">
        <v>1186</v>
      </c>
      <c r="D87" s="63" t="s">
        <v>1151</v>
      </c>
      <c r="E87" s="64">
        <v>8</v>
      </c>
      <c r="F87" s="65"/>
      <c r="G87" s="66" t="b">
        <f>ISNUMBER(MATCH(C87,'Pareto Analysis'!$A$48:$A$114,0))</f>
        <v>0</v>
      </c>
      <c r="H87" s="67" t="str">
        <f t="shared" si="1"/>
        <v>👎</v>
      </c>
      <c r="I87" s="69"/>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row>
    <row r="88" ht="13.5" customHeight="1" spans="1:55">
      <c r="A88" s="20"/>
      <c r="B88" s="62">
        <v>38284</v>
      </c>
      <c r="C88" s="63" t="s">
        <v>1186</v>
      </c>
      <c r="D88" s="63" t="s">
        <v>1151</v>
      </c>
      <c r="E88" s="64">
        <v>8</v>
      </c>
      <c r="F88" s="65"/>
      <c r="G88" s="66" t="b">
        <f>ISNUMBER(MATCH(C88,'Pareto Analysis'!$A$48:$A$114,0))</f>
        <v>0</v>
      </c>
      <c r="H88" s="67" t="str">
        <f t="shared" si="1"/>
        <v>👎</v>
      </c>
      <c r="I88" s="69"/>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c r="AP88" s="20"/>
      <c r="AQ88" s="20"/>
      <c r="AR88" s="20"/>
      <c r="AS88" s="20"/>
      <c r="AT88" s="20"/>
      <c r="AU88" s="20"/>
      <c r="AV88" s="20"/>
      <c r="AW88" s="20"/>
      <c r="AX88" s="20"/>
      <c r="AY88" s="20"/>
      <c r="AZ88" s="20"/>
      <c r="BA88" s="20"/>
      <c r="BB88" s="20"/>
      <c r="BC88" s="20"/>
    </row>
    <row r="89" ht="13.5" customHeight="1" spans="1:55">
      <c r="A89" s="20"/>
      <c r="B89" s="62">
        <v>38285</v>
      </c>
      <c r="C89" s="63" t="s">
        <v>1186</v>
      </c>
      <c r="D89" s="63" t="s">
        <v>1151</v>
      </c>
      <c r="E89" s="64">
        <v>8</v>
      </c>
      <c r="F89" s="65"/>
      <c r="G89" s="66" t="b">
        <f>ISNUMBER(MATCH(C89,'Pareto Analysis'!$A$48:$A$114,0))</f>
        <v>0</v>
      </c>
      <c r="H89" s="67" t="str">
        <f t="shared" si="1"/>
        <v>👎</v>
      </c>
      <c r="I89" s="69"/>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row>
    <row r="90" ht="13.5" customHeight="1" spans="1:55">
      <c r="A90" s="20"/>
      <c r="B90" s="62">
        <v>38286</v>
      </c>
      <c r="C90" s="63" t="s">
        <v>1186</v>
      </c>
      <c r="D90" s="63" t="s">
        <v>1151</v>
      </c>
      <c r="E90" s="64">
        <v>8</v>
      </c>
      <c r="F90" s="65"/>
      <c r="G90" s="66" t="b">
        <f>ISNUMBER(MATCH(C90,'Pareto Analysis'!$A$48:$A$114,0))</f>
        <v>0</v>
      </c>
      <c r="H90" s="67" t="str">
        <f t="shared" si="1"/>
        <v>👎</v>
      </c>
      <c r="I90" s="69"/>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c r="AI90" s="20"/>
      <c r="AJ90" s="20"/>
      <c r="AK90" s="20"/>
      <c r="AL90" s="20"/>
      <c r="AM90" s="20"/>
      <c r="AN90" s="20"/>
      <c r="AO90" s="20"/>
      <c r="AP90" s="20"/>
      <c r="AQ90" s="20"/>
      <c r="AR90" s="20"/>
      <c r="AS90" s="20"/>
      <c r="AT90" s="20"/>
      <c r="AU90" s="20"/>
      <c r="AV90" s="20"/>
      <c r="AW90" s="20"/>
      <c r="AX90" s="20"/>
      <c r="AY90" s="20"/>
      <c r="AZ90" s="20"/>
      <c r="BA90" s="20"/>
      <c r="BB90" s="20"/>
      <c r="BC90" s="20"/>
    </row>
    <row r="91" ht="13.5" customHeight="1" spans="1:55">
      <c r="A91" s="20"/>
      <c r="B91" s="62">
        <v>38277</v>
      </c>
      <c r="C91" s="63" t="s">
        <v>1173</v>
      </c>
      <c r="D91" s="63" t="s">
        <v>1151</v>
      </c>
      <c r="E91" s="64">
        <v>9</v>
      </c>
      <c r="F91" s="65"/>
      <c r="G91" s="66" t="b">
        <f>ISNUMBER(MATCH(C91,'Pareto Analysis'!$A$48:$A$114,0))</f>
        <v>0</v>
      </c>
      <c r="H91" s="67" t="str">
        <f t="shared" si="1"/>
        <v>👎</v>
      </c>
      <c r="I91" s="69"/>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row>
    <row r="92" ht="13.5" customHeight="1" spans="1:55">
      <c r="A92" s="20"/>
      <c r="B92" s="62">
        <v>38280</v>
      </c>
      <c r="C92" s="63" t="s">
        <v>1187</v>
      </c>
      <c r="D92" s="63" t="s">
        <v>1153</v>
      </c>
      <c r="E92" s="64">
        <v>9</v>
      </c>
      <c r="F92" s="65"/>
      <c r="G92" s="66" t="b">
        <f>ISNUMBER(MATCH(C92,'Pareto Analysis'!$A$48:$A$114,0))</f>
        <v>0</v>
      </c>
      <c r="H92" s="67" t="str">
        <f t="shared" si="1"/>
        <v>👎</v>
      </c>
      <c r="I92" s="69"/>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row>
    <row r="93" ht="13.5" customHeight="1" spans="1:55">
      <c r="A93" s="20"/>
      <c r="B93" s="62">
        <v>38270</v>
      </c>
      <c r="C93" s="63" t="s">
        <v>1188</v>
      </c>
      <c r="D93" s="63" t="s">
        <v>1156</v>
      </c>
      <c r="E93" s="64">
        <v>10</v>
      </c>
      <c r="F93" s="65"/>
      <c r="G93" s="66" t="b">
        <f>ISNUMBER(MATCH(C93,'Pareto Analysis'!$A$48:$A$114,0))</f>
        <v>1</v>
      </c>
      <c r="H93" s="67" t="str">
        <f t="shared" si="1"/>
        <v>👍</v>
      </c>
      <c r="I93" s="69"/>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row>
    <row r="94" ht="13.5" customHeight="1" spans="1:55">
      <c r="A94" s="20"/>
      <c r="B94" s="62">
        <v>38272</v>
      </c>
      <c r="C94" s="63" t="s">
        <v>1176</v>
      </c>
      <c r="D94" s="63" t="s">
        <v>1153</v>
      </c>
      <c r="E94" s="64">
        <v>10</v>
      </c>
      <c r="F94" s="65"/>
      <c r="G94" s="66" t="b">
        <f>ISNUMBER(MATCH(C94,'Pareto Analysis'!$A$48:$A$114,0))</f>
        <v>1</v>
      </c>
      <c r="H94" s="67" t="str">
        <f t="shared" si="1"/>
        <v>👍</v>
      </c>
      <c r="I94" s="69"/>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c r="AP94" s="20"/>
      <c r="AQ94" s="20"/>
      <c r="AR94" s="20"/>
      <c r="AS94" s="20"/>
      <c r="AT94" s="20"/>
      <c r="AU94" s="20"/>
      <c r="AV94" s="20"/>
      <c r="AW94" s="20"/>
      <c r="AX94" s="20"/>
      <c r="AY94" s="20"/>
      <c r="AZ94" s="20"/>
      <c r="BA94" s="20"/>
      <c r="BB94" s="20"/>
      <c r="BC94" s="20"/>
    </row>
    <row r="95" ht="13.5" customHeight="1" spans="1:55">
      <c r="A95" s="20"/>
      <c r="B95" s="62">
        <v>38274</v>
      </c>
      <c r="C95" s="63" t="s">
        <v>1189</v>
      </c>
      <c r="D95" s="63" t="s">
        <v>1153</v>
      </c>
      <c r="E95" s="64">
        <v>10</v>
      </c>
      <c r="F95" s="65"/>
      <c r="G95" s="66" t="b">
        <f>ISNUMBER(MATCH(C95,'Pareto Analysis'!$A$48:$A$114,0))</f>
        <v>1</v>
      </c>
      <c r="H95" s="67" t="str">
        <f t="shared" si="1"/>
        <v>👍</v>
      </c>
      <c r="I95" s="69"/>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row>
    <row r="96" ht="13.5" customHeight="1" spans="1:55">
      <c r="A96" s="20"/>
      <c r="B96" s="62">
        <v>38277</v>
      </c>
      <c r="C96" s="63" t="s">
        <v>1189</v>
      </c>
      <c r="D96" s="63" t="s">
        <v>1153</v>
      </c>
      <c r="E96" s="64">
        <v>10</v>
      </c>
      <c r="F96" s="65"/>
      <c r="G96" s="66" t="b">
        <f>ISNUMBER(MATCH(C96,'Pareto Analysis'!$A$48:$A$114,0))</f>
        <v>1</v>
      </c>
      <c r="H96" s="67" t="str">
        <f t="shared" si="1"/>
        <v>👍</v>
      </c>
      <c r="I96" s="69"/>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c r="AP96" s="20"/>
      <c r="AQ96" s="20"/>
      <c r="AR96" s="20"/>
      <c r="AS96" s="20"/>
      <c r="AT96" s="20"/>
      <c r="AU96" s="20"/>
      <c r="AV96" s="20"/>
      <c r="AW96" s="20"/>
      <c r="AX96" s="20"/>
      <c r="AY96" s="20"/>
      <c r="AZ96" s="20"/>
      <c r="BA96" s="20"/>
      <c r="BB96" s="20"/>
      <c r="BC96" s="20"/>
    </row>
    <row r="97" ht="13.5" customHeight="1" spans="1:55">
      <c r="A97" s="20"/>
      <c r="B97" s="62">
        <v>38280</v>
      </c>
      <c r="C97" s="63" t="s">
        <v>1189</v>
      </c>
      <c r="D97" s="63" t="s">
        <v>1153</v>
      </c>
      <c r="E97" s="64">
        <v>10</v>
      </c>
      <c r="F97" s="65"/>
      <c r="G97" s="66" t="b">
        <f>ISNUMBER(MATCH(C97,'Pareto Analysis'!$A$48:$A$114,0))</f>
        <v>1</v>
      </c>
      <c r="H97" s="67" t="str">
        <f t="shared" si="1"/>
        <v>👍</v>
      </c>
      <c r="I97" s="69"/>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c r="AI97" s="20"/>
      <c r="AJ97" s="20"/>
      <c r="AK97" s="20"/>
      <c r="AL97" s="20"/>
      <c r="AM97" s="20"/>
      <c r="AN97" s="20"/>
      <c r="AO97" s="20"/>
      <c r="AP97" s="20"/>
      <c r="AQ97" s="20"/>
      <c r="AR97" s="20"/>
      <c r="AS97" s="20"/>
      <c r="AT97" s="20"/>
      <c r="AU97" s="20"/>
      <c r="AV97" s="20"/>
      <c r="AW97" s="20"/>
      <c r="AX97" s="20"/>
      <c r="AY97" s="20"/>
      <c r="AZ97" s="20"/>
      <c r="BA97" s="20"/>
      <c r="BB97" s="20"/>
      <c r="BC97" s="20"/>
    </row>
    <row r="98" ht="13.5" customHeight="1" spans="1:55">
      <c r="A98" s="20"/>
      <c r="B98" s="62">
        <v>38280</v>
      </c>
      <c r="C98" s="63" t="s">
        <v>1178</v>
      </c>
      <c r="D98" s="63" t="s">
        <v>1151</v>
      </c>
      <c r="E98" s="64">
        <v>10</v>
      </c>
      <c r="F98" s="65"/>
      <c r="G98" s="66" t="b">
        <f>ISNUMBER(MATCH(C98,'Pareto Analysis'!$A$48:$A$114,0))</f>
        <v>0</v>
      </c>
      <c r="H98" s="67" t="str">
        <f t="shared" si="1"/>
        <v>👎</v>
      </c>
      <c r="I98" s="69"/>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c r="AI98" s="20"/>
      <c r="AJ98" s="20"/>
      <c r="AK98" s="20"/>
      <c r="AL98" s="20"/>
      <c r="AM98" s="20"/>
      <c r="AN98" s="20"/>
      <c r="AO98" s="20"/>
      <c r="AP98" s="20"/>
      <c r="AQ98" s="20"/>
      <c r="AR98" s="20"/>
      <c r="AS98" s="20"/>
      <c r="AT98" s="20"/>
      <c r="AU98" s="20"/>
      <c r="AV98" s="20"/>
      <c r="AW98" s="20"/>
      <c r="AX98" s="20"/>
      <c r="AY98" s="20"/>
      <c r="AZ98" s="20"/>
      <c r="BA98" s="20"/>
      <c r="BB98" s="20"/>
      <c r="BC98" s="20"/>
    </row>
    <row r="99" ht="13.5" customHeight="1" spans="1:55">
      <c r="A99" s="20"/>
      <c r="B99" s="62">
        <v>38281</v>
      </c>
      <c r="C99" s="63" t="s">
        <v>1181</v>
      </c>
      <c r="D99" s="63" t="s">
        <v>1153</v>
      </c>
      <c r="E99" s="64">
        <v>10</v>
      </c>
      <c r="F99" s="65"/>
      <c r="G99" s="66" t="b">
        <f>ISNUMBER(MATCH(C99,'Pareto Analysis'!$A$48:$A$114,0))</f>
        <v>0</v>
      </c>
      <c r="H99" s="67" t="str">
        <f t="shared" si="1"/>
        <v>👎</v>
      </c>
      <c r="I99" s="69"/>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c r="AI99" s="20"/>
      <c r="AJ99" s="20"/>
      <c r="AK99" s="20"/>
      <c r="AL99" s="20"/>
      <c r="AM99" s="20"/>
      <c r="AN99" s="20"/>
      <c r="AO99" s="20"/>
      <c r="AP99" s="20"/>
      <c r="AQ99" s="20"/>
      <c r="AR99" s="20"/>
      <c r="AS99" s="20"/>
      <c r="AT99" s="20"/>
      <c r="AU99" s="20"/>
      <c r="AV99" s="20"/>
      <c r="AW99" s="20"/>
      <c r="AX99" s="20"/>
      <c r="AY99" s="20"/>
      <c r="AZ99" s="20"/>
      <c r="BA99" s="20"/>
      <c r="BB99" s="20"/>
      <c r="BC99" s="20"/>
    </row>
    <row r="100" ht="13.5" customHeight="1" spans="1:55">
      <c r="A100" s="20"/>
      <c r="B100" s="62">
        <v>38281</v>
      </c>
      <c r="C100" s="63" t="s">
        <v>1189</v>
      </c>
      <c r="D100" s="63" t="s">
        <v>1153</v>
      </c>
      <c r="E100" s="64">
        <v>10</v>
      </c>
      <c r="F100" s="65"/>
      <c r="G100" s="66" t="b">
        <f>ISNUMBER(MATCH(C100,'Pareto Analysis'!$A$48:$A$114,0))</f>
        <v>1</v>
      </c>
      <c r="H100" s="67" t="str">
        <f t="shared" si="1"/>
        <v>👍</v>
      </c>
      <c r="I100" s="69"/>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20"/>
      <c r="AM100" s="20"/>
      <c r="AN100" s="20"/>
      <c r="AO100" s="20"/>
      <c r="AP100" s="20"/>
      <c r="AQ100" s="20"/>
      <c r="AR100" s="20"/>
      <c r="AS100" s="20"/>
      <c r="AT100" s="20"/>
      <c r="AU100" s="20"/>
      <c r="AV100" s="20"/>
      <c r="AW100" s="20"/>
      <c r="AX100" s="20"/>
      <c r="AY100" s="20"/>
      <c r="AZ100" s="20"/>
      <c r="BA100" s="20"/>
      <c r="BB100" s="20"/>
      <c r="BC100" s="20"/>
    </row>
    <row r="101" ht="13.5" customHeight="1" spans="1:55">
      <c r="A101" s="20"/>
      <c r="B101" s="62">
        <v>38284</v>
      </c>
      <c r="C101" s="63" t="s">
        <v>1189</v>
      </c>
      <c r="D101" s="63" t="s">
        <v>1153</v>
      </c>
      <c r="E101" s="64">
        <v>10</v>
      </c>
      <c r="F101" s="65"/>
      <c r="G101" s="66" t="b">
        <f>ISNUMBER(MATCH(C101,'Pareto Analysis'!$A$48:$A$114,0))</f>
        <v>1</v>
      </c>
      <c r="H101" s="67" t="str">
        <f t="shared" si="1"/>
        <v>👍</v>
      </c>
      <c r="I101" s="69"/>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20"/>
      <c r="AM101" s="20"/>
      <c r="AN101" s="20"/>
      <c r="AO101" s="20"/>
      <c r="AP101" s="20"/>
      <c r="AQ101" s="20"/>
      <c r="AR101" s="20"/>
      <c r="AS101" s="20"/>
      <c r="AT101" s="20"/>
      <c r="AU101" s="20"/>
      <c r="AV101" s="20"/>
      <c r="AW101" s="20"/>
      <c r="AX101" s="20"/>
      <c r="AY101" s="20"/>
      <c r="AZ101" s="20"/>
      <c r="BA101" s="20"/>
      <c r="BB101" s="20"/>
      <c r="BC101" s="20"/>
    </row>
    <row r="102" ht="13.5" customHeight="1" spans="1:55">
      <c r="A102" s="20"/>
      <c r="B102" s="62">
        <v>38284</v>
      </c>
      <c r="C102" s="63" t="s">
        <v>1181</v>
      </c>
      <c r="D102" s="63" t="s">
        <v>1153</v>
      </c>
      <c r="E102" s="64">
        <v>10</v>
      </c>
      <c r="F102" s="65"/>
      <c r="G102" s="66" t="b">
        <f>ISNUMBER(MATCH(C102,'Pareto Analysis'!$A$48:$A$114,0))</f>
        <v>0</v>
      </c>
      <c r="H102" s="67" t="str">
        <f t="shared" si="1"/>
        <v>👎</v>
      </c>
      <c r="I102" s="69"/>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20"/>
      <c r="AM102" s="20"/>
      <c r="AN102" s="20"/>
      <c r="AO102" s="20"/>
      <c r="AP102" s="20"/>
      <c r="AQ102" s="20"/>
      <c r="AR102" s="20"/>
      <c r="AS102" s="20"/>
      <c r="AT102" s="20"/>
      <c r="AU102" s="20"/>
      <c r="AV102" s="20"/>
      <c r="AW102" s="20"/>
      <c r="AX102" s="20"/>
      <c r="AY102" s="20"/>
      <c r="AZ102" s="20"/>
      <c r="BA102" s="20"/>
      <c r="BB102" s="20"/>
      <c r="BC102" s="20"/>
    </row>
    <row r="103" ht="13.5" customHeight="1" spans="1:55">
      <c r="A103" s="20"/>
      <c r="B103" s="62">
        <v>38285</v>
      </c>
      <c r="C103" s="63" t="s">
        <v>1190</v>
      </c>
      <c r="D103" s="63" t="s">
        <v>1151</v>
      </c>
      <c r="E103" s="64">
        <v>10</v>
      </c>
      <c r="F103" s="65"/>
      <c r="G103" s="66" t="b">
        <f>ISNUMBER(MATCH(C103,'Pareto Analysis'!$A$48:$A$114,0))</f>
        <v>0</v>
      </c>
      <c r="H103" s="67" t="str">
        <f t="shared" si="1"/>
        <v>👎</v>
      </c>
      <c r="I103" s="69"/>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c r="AP103" s="20"/>
      <c r="AQ103" s="20"/>
      <c r="AR103" s="20"/>
      <c r="AS103" s="20"/>
      <c r="AT103" s="20"/>
      <c r="AU103" s="20"/>
      <c r="AV103" s="20"/>
      <c r="AW103" s="20"/>
      <c r="AX103" s="20"/>
      <c r="AY103" s="20"/>
      <c r="AZ103" s="20"/>
      <c r="BA103" s="20"/>
      <c r="BB103" s="20"/>
      <c r="BC103" s="20"/>
    </row>
    <row r="104" ht="13.5" customHeight="1" spans="1:55">
      <c r="A104" s="20"/>
      <c r="B104" s="62">
        <v>38286</v>
      </c>
      <c r="C104" s="63" t="s">
        <v>1190</v>
      </c>
      <c r="D104" s="63" t="s">
        <v>1151</v>
      </c>
      <c r="E104" s="64">
        <v>10</v>
      </c>
      <c r="F104" s="65"/>
      <c r="G104" s="66" t="b">
        <f>ISNUMBER(MATCH(C104,'Pareto Analysis'!$A$48:$A$114,0))</f>
        <v>0</v>
      </c>
      <c r="H104" s="67" t="str">
        <f t="shared" si="1"/>
        <v>👎</v>
      </c>
      <c r="I104" s="69"/>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0"/>
      <c r="BA104" s="20"/>
      <c r="BB104" s="20"/>
      <c r="BC104" s="20"/>
    </row>
    <row r="105" ht="13.5" customHeight="1" spans="1:55">
      <c r="A105" s="20"/>
      <c r="B105" s="62">
        <v>38272</v>
      </c>
      <c r="C105" s="63" t="s">
        <v>1177</v>
      </c>
      <c r="D105" s="63" t="s">
        <v>1153</v>
      </c>
      <c r="E105" s="64">
        <v>11</v>
      </c>
      <c r="F105" s="65"/>
      <c r="G105" s="66" t="b">
        <f>ISNUMBER(MATCH(C105,'Pareto Analysis'!$A$48:$A$114,0))</f>
        <v>0</v>
      </c>
      <c r="H105" s="67" t="str">
        <f t="shared" si="1"/>
        <v>👎</v>
      </c>
      <c r="I105" s="69"/>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c r="AT105" s="20"/>
      <c r="AU105" s="20"/>
      <c r="AV105" s="20"/>
      <c r="AW105" s="20"/>
      <c r="AX105" s="20"/>
      <c r="AY105" s="20"/>
      <c r="AZ105" s="20"/>
      <c r="BA105" s="20"/>
      <c r="BB105" s="20"/>
      <c r="BC105" s="20"/>
    </row>
    <row r="106" ht="13.5" customHeight="1" spans="1:55">
      <c r="A106" s="20"/>
      <c r="B106" s="62">
        <v>38280</v>
      </c>
      <c r="C106" s="63" t="s">
        <v>1191</v>
      </c>
      <c r="D106" s="63" t="s">
        <v>1166</v>
      </c>
      <c r="E106" s="64">
        <v>11</v>
      </c>
      <c r="F106" s="65"/>
      <c r="G106" s="66" t="b">
        <f>ISNUMBER(MATCH(C106,'Pareto Analysis'!$A$48:$A$114,0))</f>
        <v>0</v>
      </c>
      <c r="H106" s="67" t="str">
        <f t="shared" si="1"/>
        <v>👎</v>
      </c>
      <c r="I106" s="69"/>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c r="AT106" s="20"/>
      <c r="AU106" s="20"/>
      <c r="AV106" s="20"/>
      <c r="AW106" s="20"/>
      <c r="AX106" s="20"/>
      <c r="AY106" s="20"/>
      <c r="AZ106" s="20"/>
      <c r="BA106" s="20"/>
      <c r="BB106" s="20"/>
      <c r="BC106" s="20"/>
    </row>
    <row r="107" ht="13.5" customHeight="1" spans="1:55">
      <c r="A107" s="20"/>
      <c r="B107" s="62">
        <v>38285</v>
      </c>
      <c r="C107" s="63" t="s">
        <v>1181</v>
      </c>
      <c r="D107" s="63" t="s">
        <v>1153</v>
      </c>
      <c r="E107" s="64">
        <v>11</v>
      </c>
      <c r="F107" s="65"/>
      <c r="G107" s="66" t="b">
        <f>ISNUMBER(MATCH(C107,'Pareto Analysis'!$A$48:$A$114,0))</f>
        <v>0</v>
      </c>
      <c r="H107" s="67" t="str">
        <f t="shared" si="1"/>
        <v>👎</v>
      </c>
      <c r="I107" s="69"/>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c r="AT107" s="20"/>
      <c r="AU107" s="20"/>
      <c r="AV107" s="20"/>
      <c r="AW107" s="20"/>
      <c r="AX107" s="20"/>
      <c r="AY107" s="20"/>
      <c r="AZ107" s="20"/>
      <c r="BA107" s="20"/>
      <c r="BB107" s="20"/>
      <c r="BC107" s="20"/>
    </row>
    <row r="108" ht="13.5" customHeight="1" spans="1:55">
      <c r="A108" s="20"/>
      <c r="B108" s="62">
        <v>38285</v>
      </c>
      <c r="C108" s="63" t="s">
        <v>1192</v>
      </c>
      <c r="D108" s="63" t="s">
        <v>1151</v>
      </c>
      <c r="E108" s="64">
        <v>11</v>
      </c>
      <c r="F108" s="65"/>
      <c r="G108" s="66" t="b">
        <f>ISNUMBER(MATCH(C108,'Pareto Analysis'!$A$48:$A$114,0))</f>
        <v>1</v>
      </c>
      <c r="H108" s="67" t="str">
        <f t="shared" si="1"/>
        <v>👍</v>
      </c>
      <c r="I108" s="69"/>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c r="AT108" s="20"/>
      <c r="AU108" s="20"/>
      <c r="AV108" s="20"/>
      <c r="AW108" s="20"/>
      <c r="AX108" s="20"/>
      <c r="AY108" s="20"/>
      <c r="AZ108" s="20"/>
      <c r="BA108" s="20"/>
      <c r="BB108" s="20"/>
      <c r="BC108" s="20"/>
    </row>
    <row r="109" ht="13.5" customHeight="1" spans="1:55">
      <c r="A109" s="20"/>
      <c r="B109" s="62">
        <v>38286</v>
      </c>
      <c r="C109" s="63" t="s">
        <v>1181</v>
      </c>
      <c r="D109" s="63" t="s">
        <v>1153</v>
      </c>
      <c r="E109" s="64">
        <v>11</v>
      </c>
      <c r="F109" s="65"/>
      <c r="G109" s="66" t="b">
        <f>ISNUMBER(MATCH(C109,'Pareto Analysis'!$A$48:$A$114,0))</f>
        <v>0</v>
      </c>
      <c r="H109" s="67" t="str">
        <f t="shared" si="1"/>
        <v>👎</v>
      </c>
      <c r="I109" s="69"/>
      <c r="J109" s="20"/>
      <c r="K109" s="20"/>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c r="AP109" s="20"/>
      <c r="AQ109" s="20"/>
      <c r="AR109" s="20"/>
      <c r="AS109" s="20"/>
      <c r="AT109" s="20"/>
      <c r="AU109" s="20"/>
      <c r="AV109" s="20"/>
      <c r="AW109" s="20"/>
      <c r="AX109" s="20"/>
      <c r="AY109" s="20"/>
      <c r="AZ109" s="20"/>
      <c r="BA109" s="20"/>
      <c r="BB109" s="20"/>
      <c r="BC109" s="20"/>
    </row>
    <row r="110" ht="13.5" customHeight="1" spans="1:55">
      <c r="A110" s="20"/>
      <c r="B110" s="62">
        <v>38286</v>
      </c>
      <c r="C110" s="63" t="s">
        <v>1189</v>
      </c>
      <c r="D110" s="63" t="s">
        <v>1153</v>
      </c>
      <c r="E110" s="64">
        <v>11</v>
      </c>
      <c r="F110" s="65"/>
      <c r="G110" s="66" t="b">
        <f>ISNUMBER(MATCH(C110,'Pareto Analysis'!$A$48:$A$114,0))</f>
        <v>1</v>
      </c>
      <c r="H110" s="67" t="str">
        <f t="shared" si="1"/>
        <v>👍</v>
      </c>
      <c r="I110" s="69"/>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c r="AT110" s="20"/>
      <c r="AU110" s="20"/>
      <c r="AV110" s="20"/>
      <c r="AW110" s="20"/>
      <c r="AX110" s="20"/>
      <c r="AY110" s="20"/>
      <c r="AZ110" s="20"/>
      <c r="BA110" s="20"/>
      <c r="BB110" s="20"/>
      <c r="BC110" s="20"/>
    </row>
    <row r="111" ht="13.5" customHeight="1" spans="1:55">
      <c r="A111" s="20"/>
      <c r="B111" s="62">
        <v>38270</v>
      </c>
      <c r="C111" s="63" t="s">
        <v>1193</v>
      </c>
      <c r="D111" s="63" t="s">
        <v>1153</v>
      </c>
      <c r="E111" s="64">
        <v>12</v>
      </c>
      <c r="F111" s="65"/>
      <c r="G111" s="66" t="b">
        <f>ISNUMBER(MATCH(C111,'Pareto Analysis'!$A$48:$A$114,0))</f>
        <v>0</v>
      </c>
      <c r="H111" s="67" t="str">
        <f t="shared" si="1"/>
        <v>👎</v>
      </c>
      <c r="I111" s="69"/>
      <c r="J111" s="20"/>
      <c r="K111" s="20"/>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c r="AP111" s="20"/>
      <c r="AQ111" s="20"/>
      <c r="AR111" s="20"/>
      <c r="AS111" s="20"/>
      <c r="AT111" s="20"/>
      <c r="AU111" s="20"/>
      <c r="AV111" s="20"/>
      <c r="AW111" s="20"/>
      <c r="AX111" s="20"/>
      <c r="AY111" s="20"/>
      <c r="AZ111" s="20"/>
      <c r="BA111" s="20"/>
      <c r="BB111" s="20"/>
      <c r="BC111" s="20"/>
    </row>
    <row r="112" ht="13.5" customHeight="1" spans="1:55">
      <c r="A112" s="20"/>
      <c r="B112" s="62">
        <v>38270</v>
      </c>
      <c r="C112" s="63" t="s">
        <v>1189</v>
      </c>
      <c r="D112" s="63" t="s">
        <v>1153</v>
      </c>
      <c r="E112" s="64">
        <v>12</v>
      </c>
      <c r="F112" s="65"/>
      <c r="G112" s="66" t="b">
        <f>ISNUMBER(MATCH(C112,'Pareto Analysis'!$A$48:$A$114,0))</f>
        <v>1</v>
      </c>
      <c r="H112" s="67" t="str">
        <f t="shared" si="1"/>
        <v>👍</v>
      </c>
      <c r="I112" s="69"/>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c r="AP112" s="20"/>
      <c r="AQ112" s="20"/>
      <c r="AR112" s="20"/>
      <c r="AS112" s="20"/>
      <c r="AT112" s="20"/>
      <c r="AU112" s="20"/>
      <c r="AV112" s="20"/>
      <c r="AW112" s="20"/>
      <c r="AX112" s="20"/>
      <c r="AY112" s="20"/>
      <c r="AZ112" s="20"/>
      <c r="BA112" s="20"/>
      <c r="BB112" s="20"/>
      <c r="BC112" s="20"/>
    </row>
    <row r="113" ht="13.5" customHeight="1" spans="1:55">
      <c r="A113" s="20"/>
      <c r="B113" s="62">
        <v>38271</v>
      </c>
      <c r="C113" s="63" t="s">
        <v>1189</v>
      </c>
      <c r="D113" s="63" t="s">
        <v>1153</v>
      </c>
      <c r="E113" s="64">
        <v>12</v>
      </c>
      <c r="F113" s="65"/>
      <c r="G113" s="66" t="b">
        <f>ISNUMBER(MATCH(C113,'Pareto Analysis'!$A$48:$A$114,0))</f>
        <v>1</v>
      </c>
      <c r="H113" s="67" t="str">
        <f t="shared" si="1"/>
        <v>👍</v>
      </c>
      <c r="I113" s="69"/>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c r="AP113" s="20"/>
      <c r="AQ113" s="20"/>
      <c r="AR113" s="20"/>
      <c r="AS113" s="20"/>
      <c r="AT113" s="20"/>
      <c r="AU113" s="20"/>
      <c r="AV113" s="20"/>
      <c r="AW113" s="20"/>
      <c r="AX113" s="20"/>
      <c r="AY113" s="20"/>
      <c r="AZ113" s="20"/>
      <c r="BA113" s="20"/>
      <c r="BB113" s="20"/>
      <c r="BC113" s="20"/>
    </row>
    <row r="114" ht="13.5" customHeight="1" spans="1:55">
      <c r="A114" s="20"/>
      <c r="B114" s="62">
        <v>38271</v>
      </c>
      <c r="C114" s="63" t="s">
        <v>1193</v>
      </c>
      <c r="D114" s="63" t="s">
        <v>1153</v>
      </c>
      <c r="E114" s="64">
        <v>12</v>
      </c>
      <c r="F114" s="65"/>
      <c r="G114" s="66" t="b">
        <f>ISNUMBER(MATCH(C114,'Pareto Analysis'!$A$48:$A$114,0))</f>
        <v>0</v>
      </c>
      <c r="H114" s="67" t="str">
        <f t="shared" si="1"/>
        <v>👎</v>
      </c>
      <c r="I114" s="69"/>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c r="AP114" s="20"/>
      <c r="AQ114" s="20"/>
      <c r="AR114" s="20"/>
      <c r="AS114" s="20"/>
      <c r="AT114" s="20"/>
      <c r="AU114" s="20"/>
      <c r="AV114" s="20"/>
      <c r="AW114" s="20"/>
      <c r="AX114" s="20"/>
      <c r="AY114" s="20"/>
      <c r="AZ114" s="20"/>
      <c r="BA114" s="20"/>
      <c r="BB114" s="20"/>
      <c r="BC114" s="20"/>
    </row>
    <row r="115" ht="13.5" customHeight="1" spans="1:55">
      <c r="A115" s="20"/>
      <c r="B115" s="62">
        <v>38272</v>
      </c>
      <c r="C115" s="63" t="s">
        <v>1193</v>
      </c>
      <c r="D115" s="63" t="s">
        <v>1153</v>
      </c>
      <c r="E115" s="64">
        <v>12</v>
      </c>
      <c r="F115" s="65"/>
      <c r="G115" s="66" t="b">
        <f>ISNUMBER(MATCH(C115,'Pareto Analysis'!$A$48:$A$114,0))</f>
        <v>0</v>
      </c>
      <c r="H115" s="67" t="str">
        <f t="shared" si="1"/>
        <v>👎</v>
      </c>
      <c r="I115" s="69"/>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c r="AP115" s="20"/>
      <c r="AQ115" s="20"/>
      <c r="AR115" s="20"/>
      <c r="AS115" s="20"/>
      <c r="AT115" s="20"/>
      <c r="AU115" s="20"/>
      <c r="AV115" s="20"/>
      <c r="AW115" s="20"/>
      <c r="AX115" s="20"/>
      <c r="AY115" s="20"/>
      <c r="AZ115" s="20"/>
      <c r="BA115" s="20"/>
      <c r="BB115" s="20"/>
      <c r="BC115" s="20"/>
    </row>
    <row r="116" ht="13.5" customHeight="1" spans="1:55">
      <c r="A116" s="20"/>
      <c r="B116" s="62">
        <v>38272</v>
      </c>
      <c r="C116" s="63" t="s">
        <v>1189</v>
      </c>
      <c r="D116" s="63" t="s">
        <v>1153</v>
      </c>
      <c r="E116" s="64">
        <v>12</v>
      </c>
      <c r="F116" s="65"/>
      <c r="G116" s="66" t="b">
        <f>ISNUMBER(MATCH(C116,'Pareto Analysis'!$A$48:$A$114,0))</f>
        <v>1</v>
      </c>
      <c r="H116" s="67" t="str">
        <f t="shared" si="1"/>
        <v>👍</v>
      </c>
      <c r="I116" s="69"/>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c r="AP116" s="20"/>
      <c r="AQ116" s="20"/>
      <c r="AR116" s="20"/>
      <c r="AS116" s="20"/>
      <c r="AT116" s="20"/>
      <c r="AU116" s="20"/>
      <c r="AV116" s="20"/>
      <c r="AW116" s="20"/>
      <c r="AX116" s="20"/>
      <c r="AY116" s="20"/>
      <c r="AZ116" s="20"/>
      <c r="BA116" s="20"/>
      <c r="BB116" s="20"/>
      <c r="BC116" s="20"/>
    </row>
    <row r="117" ht="13.5" customHeight="1" spans="1:55">
      <c r="A117" s="20"/>
      <c r="B117" s="62">
        <v>38273</v>
      </c>
      <c r="C117" s="63" t="s">
        <v>1189</v>
      </c>
      <c r="D117" s="63" t="s">
        <v>1153</v>
      </c>
      <c r="E117" s="64">
        <v>12</v>
      </c>
      <c r="F117" s="65"/>
      <c r="G117" s="66" t="b">
        <f>ISNUMBER(MATCH(C117,'Pareto Analysis'!$A$48:$A$114,0))</f>
        <v>1</v>
      </c>
      <c r="H117" s="67" t="str">
        <f t="shared" si="1"/>
        <v>👍</v>
      </c>
      <c r="I117" s="69"/>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row>
    <row r="118" ht="13.5" customHeight="1" spans="1:55">
      <c r="A118" s="20"/>
      <c r="B118" s="62">
        <v>38280</v>
      </c>
      <c r="C118" s="63" t="s">
        <v>1194</v>
      </c>
      <c r="D118" s="63" t="s">
        <v>1153</v>
      </c>
      <c r="E118" s="64">
        <v>12</v>
      </c>
      <c r="F118" s="65"/>
      <c r="G118" s="66" t="b">
        <f>ISNUMBER(MATCH(C118,'Pareto Analysis'!$A$48:$A$114,0))</f>
        <v>1</v>
      </c>
      <c r="H118" s="67" t="str">
        <f t="shared" si="1"/>
        <v>👍</v>
      </c>
      <c r="I118" s="69"/>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row>
    <row r="119" ht="13.5" customHeight="1" spans="1:55">
      <c r="A119" s="20"/>
      <c r="B119" s="62">
        <v>38281</v>
      </c>
      <c r="C119" s="63" t="s">
        <v>1195</v>
      </c>
      <c r="D119" s="63" t="s">
        <v>1151</v>
      </c>
      <c r="E119" s="64">
        <v>12</v>
      </c>
      <c r="F119" s="65"/>
      <c r="G119" s="66" t="b">
        <f>ISNUMBER(MATCH(C119,'Pareto Analysis'!$A$48:$A$114,0))</f>
        <v>1</v>
      </c>
      <c r="H119" s="67" t="str">
        <f t="shared" si="1"/>
        <v>👍</v>
      </c>
      <c r="I119" s="69"/>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row>
    <row r="120" ht="13.5" customHeight="1" spans="1:55">
      <c r="A120" s="20"/>
      <c r="B120" s="62">
        <v>38281</v>
      </c>
      <c r="C120" s="63" t="s">
        <v>1194</v>
      </c>
      <c r="D120" s="63" t="s">
        <v>1153</v>
      </c>
      <c r="E120" s="64">
        <v>12</v>
      </c>
      <c r="F120" s="65"/>
      <c r="G120" s="66" t="b">
        <f>ISNUMBER(MATCH(C120,'Pareto Analysis'!$A$48:$A$114,0))</f>
        <v>1</v>
      </c>
      <c r="H120" s="67" t="str">
        <f t="shared" si="1"/>
        <v>👍</v>
      </c>
      <c r="I120" s="69"/>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row>
    <row r="121" ht="13.5" customHeight="1" spans="1:55">
      <c r="A121" s="20"/>
      <c r="B121" s="62">
        <v>38281</v>
      </c>
      <c r="C121" s="63" t="s">
        <v>1172</v>
      </c>
      <c r="D121" s="63" t="s">
        <v>1153</v>
      </c>
      <c r="E121" s="64">
        <v>12</v>
      </c>
      <c r="F121" s="65"/>
      <c r="G121" s="66" t="b">
        <f>ISNUMBER(MATCH(C121,'Pareto Analysis'!$A$48:$A$114,0))</f>
        <v>0</v>
      </c>
      <c r="H121" s="67" t="str">
        <f t="shared" si="1"/>
        <v>👎</v>
      </c>
      <c r="I121" s="69"/>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row>
    <row r="122" ht="13.5" customHeight="1" spans="1:55">
      <c r="A122" s="20"/>
      <c r="B122" s="62">
        <v>38284</v>
      </c>
      <c r="C122" s="63" t="s">
        <v>1172</v>
      </c>
      <c r="D122" s="63" t="s">
        <v>1153</v>
      </c>
      <c r="E122" s="64">
        <v>12</v>
      </c>
      <c r="F122" s="65"/>
      <c r="G122" s="66" t="b">
        <f>ISNUMBER(MATCH(C122,'Pareto Analysis'!$A$48:$A$114,0))</f>
        <v>0</v>
      </c>
      <c r="H122" s="67" t="str">
        <f t="shared" si="1"/>
        <v>👎</v>
      </c>
      <c r="I122" s="69"/>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row>
    <row r="123" ht="13.5" customHeight="1" spans="1:55">
      <c r="A123" s="20"/>
      <c r="B123" s="62">
        <v>38284</v>
      </c>
      <c r="C123" s="63" t="s">
        <v>1194</v>
      </c>
      <c r="D123" s="63" t="s">
        <v>1153</v>
      </c>
      <c r="E123" s="64">
        <v>12</v>
      </c>
      <c r="F123" s="65"/>
      <c r="G123" s="66" t="b">
        <f>ISNUMBER(MATCH(C123,'Pareto Analysis'!$A$48:$A$114,0))</f>
        <v>1</v>
      </c>
      <c r="H123" s="67" t="str">
        <f t="shared" si="1"/>
        <v>👍</v>
      </c>
      <c r="I123" s="69"/>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row>
    <row r="124" ht="13.5" customHeight="1" spans="1:55">
      <c r="A124" s="20"/>
      <c r="B124" s="62">
        <v>38285</v>
      </c>
      <c r="C124" s="63" t="s">
        <v>1172</v>
      </c>
      <c r="D124" s="63" t="s">
        <v>1153</v>
      </c>
      <c r="E124" s="64">
        <v>12</v>
      </c>
      <c r="F124" s="65"/>
      <c r="G124" s="66" t="b">
        <f>ISNUMBER(MATCH(C124,'Pareto Analysis'!$A$48:$A$114,0))</f>
        <v>0</v>
      </c>
      <c r="H124" s="67" t="str">
        <f t="shared" si="1"/>
        <v>👎</v>
      </c>
      <c r="I124" s="69"/>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row>
    <row r="125" ht="13.5" customHeight="1" spans="1:55">
      <c r="A125" s="20"/>
      <c r="B125" s="62">
        <v>38285</v>
      </c>
      <c r="C125" s="63" t="s">
        <v>1196</v>
      </c>
      <c r="D125" s="63" t="s">
        <v>1151</v>
      </c>
      <c r="E125" s="64">
        <v>12</v>
      </c>
      <c r="F125" s="65"/>
      <c r="G125" s="66" t="b">
        <f>ISNUMBER(MATCH(C125,'Pareto Analysis'!$A$48:$A$114,0))</f>
        <v>0</v>
      </c>
      <c r="H125" s="67" t="str">
        <f t="shared" si="1"/>
        <v>👎</v>
      </c>
      <c r="I125" s="69"/>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row>
    <row r="126" ht="13.5" customHeight="1" spans="1:55">
      <c r="A126" s="20"/>
      <c r="B126" s="62">
        <v>38285</v>
      </c>
      <c r="C126" s="63" t="s">
        <v>1189</v>
      </c>
      <c r="D126" s="63" t="s">
        <v>1153</v>
      </c>
      <c r="E126" s="64">
        <v>12</v>
      </c>
      <c r="F126" s="65"/>
      <c r="G126" s="66" t="b">
        <f>ISNUMBER(MATCH(C126,'Pareto Analysis'!$A$48:$A$114,0))</f>
        <v>1</v>
      </c>
      <c r="H126" s="67" t="str">
        <f t="shared" si="1"/>
        <v>👍</v>
      </c>
      <c r="I126" s="69"/>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row>
    <row r="127" ht="13.5" customHeight="1" spans="1:55">
      <c r="A127" s="20"/>
      <c r="B127" s="62">
        <v>38285</v>
      </c>
      <c r="C127" s="63" t="s">
        <v>1197</v>
      </c>
      <c r="D127" s="63" t="s">
        <v>1156</v>
      </c>
      <c r="E127" s="64">
        <v>12</v>
      </c>
      <c r="F127" s="65"/>
      <c r="G127" s="66" t="b">
        <f>ISNUMBER(MATCH(C127,'Pareto Analysis'!$A$48:$A$114,0))</f>
        <v>1</v>
      </c>
      <c r="H127" s="67" t="str">
        <f t="shared" si="1"/>
        <v>👍</v>
      </c>
      <c r="I127" s="69"/>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row>
    <row r="128" ht="13.5" customHeight="1" spans="1:55">
      <c r="A128" s="20"/>
      <c r="B128" s="62">
        <v>38286</v>
      </c>
      <c r="C128" s="63" t="s">
        <v>1172</v>
      </c>
      <c r="D128" s="63" t="s">
        <v>1153</v>
      </c>
      <c r="E128" s="64">
        <v>12</v>
      </c>
      <c r="F128" s="65"/>
      <c r="G128" s="66" t="b">
        <f>ISNUMBER(MATCH(C128,'Pareto Analysis'!$A$48:$A$114,0))</f>
        <v>0</v>
      </c>
      <c r="H128" s="67" t="str">
        <f t="shared" si="1"/>
        <v>👎</v>
      </c>
      <c r="I128" s="69"/>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row>
    <row r="129" ht="13.5" customHeight="1" spans="1:55">
      <c r="A129" s="20"/>
      <c r="B129" s="62">
        <v>38286</v>
      </c>
      <c r="C129" s="63" t="s">
        <v>1197</v>
      </c>
      <c r="D129" s="63" t="s">
        <v>1156</v>
      </c>
      <c r="E129" s="64">
        <v>12</v>
      </c>
      <c r="F129" s="65"/>
      <c r="G129" s="66" t="b">
        <f>ISNUMBER(MATCH(C129,'Pareto Analysis'!$A$48:$A$114,0))</f>
        <v>1</v>
      </c>
      <c r="H129" s="67" t="str">
        <f t="shared" si="1"/>
        <v>👍</v>
      </c>
      <c r="I129" s="69"/>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row>
    <row r="130" ht="13.5" customHeight="1" spans="1:55">
      <c r="A130" s="20"/>
      <c r="B130" s="62">
        <v>38284</v>
      </c>
      <c r="C130" s="63" t="s">
        <v>1149</v>
      </c>
      <c r="D130" s="63" t="s">
        <v>1148</v>
      </c>
      <c r="E130" s="64">
        <v>12.8</v>
      </c>
      <c r="F130" s="65"/>
      <c r="G130" s="66" t="b">
        <f>ISNUMBER(MATCH(C130,'Pareto Analysis'!$A$48:$A$114,0))</f>
        <v>1</v>
      </c>
      <c r="H130" s="67" t="str">
        <f t="shared" si="1"/>
        <v>👍</v>
      </c>
      <c r="I130" s="69"/>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row>
    <row r="131" ht="13.5" customHeight="1" spans="1:55">
      <c r="A131" s="20"/>
      <c r="B131" s="62">
        <v>38270</v>
      </c>
      <c r="C131" s="63" t="s">
        <v>1198</v>
      </c>
      <c r="D131" s="63" t="s">
        <v>1153</v>
      </c>
      <c r="E131" s="64">
        <v>13</v>
      </c>
      <c r="F131" s="65"/>
      <c r="G131" s="66" t="b">
        <f>ISNUMBER(MATCH(C131,'Pareto Analysis'!$A$48:$A$114,0))</f>
        <v>0</v>
      </c>
      <c r="H131" s="67" t="str">
        <f t="shared" si="1"/>
        <v>👎</v>
      </c>
      <c r="I131" s="69"/>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row>
    <row r="132" ht="13.5" customHeight="1" spans="1:55">
      <c r="A132" s="20"/>
      <c r="B132" s="62">
        <v>38272</v>
      </c>
      <c r="C132" s="63" t="s">
        <v>1199</v>
      </c>
      <c r="D132" s="63" t="s">
        <v>1166</v>
      </c>
      <c r="E132" s="64">
        <v>13</v>
      </c>
      <c r="F132" s="65"/>
      <c r="G132" s="66" t="b">
        <f>ISNUMBER(MATCH(C132,'Pareto Analysis'!$A$48:$A$114,0))</f>
        <v>0</v>
      </c>
      <c r="H132" s="67" t="str">
        <f t="shared" si="1"/>
        <v>👎</v>
      </c>
      <c r="I132" s="69"/>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row>
    <row r="133" ht="13.5" customHeight="1" spans="1:55">
      <c r="A133" s="20"/>
      <c r="B133" s="62">
        <v>38273</v>
      </c>
      <c r="C133" s="63" t="s">
        <v>1200</v>
      </c>
      <c r="D133" s="63" t="s">
        <v>1151</v>
      </c>
      <c r="E133" s="64">
        <v>13</v>
      </c>
      <c r="F133" s="65"/>
      <c r="G133" s="66" t="b">
        <f>ISNUMBER(MATCH(C133,'Pareto Analysis'!$A$48:$A$114,0))</f>
        <v>1</v>
      </c>
      <c r="H133" s="67" t="str">
        <f t="shared" si="1"/>
        <v>👍</v>
      </c>
      <c r="I133" s="69"/>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row>
    <row r="134" ht="13.5" customHeight="1" spans="1:55">
      <c r="A134" s="20"/>
      <c r="B134" s="62">
        <v>38274</v>
      </c>
      <c r="C134" s="63" t="s">
        <v>1199</v>
      </c>
      <c r="D134" s="63" t="s">
        <v>1166</v>
      </c>
      <c r="E134" s="64">
        <v>13</v>
      </c>
      <c r="F134" s="65"/>
      <c r="G134" s="66" t="b">
        <f>ISNUMBER(MATCH(C134,'Pareto Analysis'!$A$48:$A$114,0))</f>
        <v>0</v>
      </c>
      <c r="H134" s="67" t="str">
        <f t="shared" si="1"/>
        <v>👎</v>
      </c>
      <c r="I134" s="69"/>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row>
    <row r="135" ht="13.5" customHeight="1" spans="1:55">
      <c r="A135" s="20"/>
      <c r="B135" s="62">
        <v>38286</v>
      </c>
      <c r="C135" s="63" t="s">
        <v>1152</v>
      </c>
      <c r="D135" s="63" t="s">
        <v>1153</v>
      </c>
      <c r="E135" s="64">
        <v>13</v>
      </c>
      <c r="F135" s="65"/>
      <c r="G135" s="66" t="b">
        <f>ISNUMBER(MATCH(C135,'Pareto Analysis'!$A$48:$A$114,0))</f>
        <v>0</v>
      </c>
      <c r="H135" s="67" t="str">
        <f t="shared" ref="H135:H198" si="2">IF(G135=TRUE,"👍",IF(G135=FALSE,"👎",""))</f>
        <v>👎</v>
      </c>
      <c r="I135" s="69"/>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row>
    <row r="136" ht="13.5" customHeight="1" spans="1:55">
      <c r="A136" s="20"/>
      <c r="B136" s="62">
        <v>38273</v>
      </c>
      <c r="C136" s="63" t="s">
        <v>1149</v>
      </c>
      <c r="D136" s="63" t="s">
        <v>1148</v>
      </c>
      <c r="E136" s="64">
        <v>13.6</v>
      </c>
      <c r="F136" s="65"/>
      <c r="G136" s="66" t="b">
        <f>ISNUMBER(MATCH(C136,'Pareto Analysis'!$A$48:$A$114,0))</f>
        <v>1</v>
      </c>
      <c r="H136" s="67" t="str">
        <f t="shared" si="2"/>
        <v>👍</v>
      </c>
      <c r="I136" s="69"/>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row>
    <row r="137" ht="13.5" customHeight="1" spans="1:55">
      <c r="A137" s="20"/>
      <c r="B137" s="62">
        <v>38274</v>
      </c>
      <c r="C137" s="63" t="s">
        <v>1149</v>
      </c>
      <c r="D137" s="63" t="s">
        <v>1148</v>
      </c>
      <c r="E137" s="64">
        <v>13.6</v>
      </c>
      <c r="F137" s="65"/>
      <c r="G137" s="66" t="b">
        <f>ISNUMBER(MATCH(C137,'Pareto Analysis'!$A$48:$A$114,0))</f>
        <v>1</v>
      </c>
      <c r="H137" s="67" t="str">
        <f t="shared" si="2"/>
        <v>👍</v>
      </c>
      <c r="I137" s="69"/>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row>
    <row r="138" ht="13.5" customHeight="1" spans="1:55">
      <c r="A138" s="20"/>
      <c r="B138" s="62">
        <v>38280</v>
      </c>
      <c r="C138" s="63" t="s">
        <v>1180</v>
      </c>
      <c r="D138" s="63" t="s">
        <v>1151</v>
      </c>
      <c r="E138" s="64">
        <v>14</v>
      </c>
      <c r="F138" s="65"/>
      <c r="G138" s="66" t="b">
        <f>ISNUMBER(MATCH(C138,'Pareto Analysis'!$A$48:$A$114,0))</f>
        <v>0</v>
      </c>
      <c r="H138" s="67" t="str">
        <f t="shared" si="2"/>
        <v>👎</v>
      </c>
      <c r="I138" s="69"/>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row>
    <row r="139" ht="13.5" customHeight="1" spans="1:55">
      <c r="A139" s="20"/>
      <c r="B139" s="62">
        <v>38280</v>
      </c>
      <c r="C139" s="63" t="s">
        <v>1150</v>
      </c>
      <c r="D139" s="63" t="s">
        <v>1151</v>
      </c>
      <c r="E139" s="64">
        <v>14</v>
      </c>
      <c r="F139" s="65"/>
      <c r="G139" s="66" t="b">
        <f>ISNUMBER(MATCH(C139,'Pareto Analysis'!$A$48:$A$114,0))</f>
        <v>0</v>
      </c>
      <c r="H139" s="67" t="str">
        <f t="shared" si="2"/>
        <v>👎</v>
      </c>
      <c r="I139" s="69"/>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row>
    <row r="140" ht="13.5" customHeight="1" spans="1:55">
      <c r="A140" s="20"/>
      <c r="B140" s="62">
        <v>38285</v>
      </c>
      <c r="C140" s="63" t="s">
        <v>1152</v>
      </c>
      <c r="D140" s="63" t="s">
        <v>1153</v>
      </c>
      <c r="E140" s="64">
        <v>14</v>
      </c>
      <c r="F140" s="65"/>
      <c r="G140" s="66" t="b">
        <f>ISNUMBER(MATCH(C140,'Pareto Analysis'!$A$48:$A$114,0))</f>
        <v>0</v>
      </c>
      <c r="H140" s="67" t="str">
        <f t="shared" si="2"/>
        <v>👎</v>
      </c>
      <c r="I140" s="69"/>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row>
    <row r="141" ht="13.5" customHeight="1" spans="1:55">
      <c r="A141" s="20"/>
      <c r="B141" s="62">
        <v>38286</v>
      </c>
      <c r="C141" s="63" t="s">
        <v>1196</v>
      </c>
      <c r="D141" s="63" t="s">
        <v>1151</v>
      </c>
      <c r="E141" s="64">
        <v>14</v>
      </c>
      <c r="F141" s="65"/>
      <c r="G141" s="66" t="b">
        <f>ISNUMBER(MATCH(C141,'Pareto Analysis'!$A$48:$A$114,0))</f>
        <v>0</v>
      </c>
      <c r="H141" s="67" t="str">
        <f t="shared" si="2"/>
        <v>👎</v>
      </c>
      <c r="I141" s="69"/>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row>
    <row r="142" ht="13.5" customHeight="1" spans="1:55">
      <c r="A142" s="20"/>
      <c r="B142" s="62">
        <v>38271</v>
      </c>
      <c r="C142" s="63" t="s">
        <v>1201</v>
      </c>
      <c r="D142" s="63" t="s">
        <v>1153</v>
      </c>
      <c r="E142" s="64">
        <v>15</v>
      </c>
      <c r="F142" s="65"/>
      <c r="G142" s="66" t="b">
        <f>ISNUMBER(MATCH(C142,'Pareto Analysis'!$A$48:$A$114,0))</f>
        <v>1</v>
      </c>
      <c r="H142" s="67" t="str">
        <f t="shared" si="2"/>
        <v>👍</v>
      </c>
      <c r="I142" s="69"/>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c r="AP142" s="20"/>
      <c r="AQ142" s="20"/>
      <c r="AR142" s="20"/>
      <c r="AS142" s="20"/>
      <c r="AT142" s="20"/>
      <c r="AU142" s="20"/>
      <c r="AV142" s="20"/>
      <c r="AW142" s="20"/>
      <c r="AX142" s="20"/>
      <c r="AY142" s="20"/>
      <c r="AZ142" s="20"/>
      <c r="BA142" s="20"/>
      <c r="BB142" s="20"/>
      <c r="BC142" s="20"/>
    </row>
    <row r="143" ht="13.5" customHeight="1" spans="1:55">
      <c r="A143" s="20"/>
      <c r="B143" s="62">
        <v>38271</v>
      </c>
      <c r="C143" s="63" t="s">
        <v>1188</v>
      </c>
      <c r="D143" s="63" t="s">
        <v>1156</v>
      </c>
      <c r="E143" s="64">
        <v>16</v>
      </c>
      <c r="F143" s="65"/>
      <c r="G143" s="66" t="b">
        <f>ISNUMBER(MATCH(C143,'Pareto Analysis'!$A$48:$A$114,0))</f>
        <v>1</v>
      </c>
      <c r="H143" s="67" t="str">
        <f t="shared" si="2"/>
        <v>👍</v>
      </c>
      <c r="I143" s="69"/>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row>
    <row r="144" ht="13.5" customHeight="1" spans="1:55">
      <c r="A144" s="20"/>
      <c r="B144" s="62">
        <v>38271</v>
      </c>
      <c r="C144" s="63" t="s">
        <v>1200</v>
      </c>
      <c r="D144" s="63" t="s">
        <v>1151</v>
      </c>
      <c r="E144" s="64">
        <v>16</v>
      </c>
      <c r="F144" s="65"/>
      <c r="G144" s="66" t="b">
        <f>ISNUMBER(MATCH(C144,'Pareto Analysis'!$A$48:$A$114,0))</f>
        <v>1</v>
      </c>
      <c r="H144" s="67" t="str">
        <f t="shared" si="2"/>
        <v>👍</v>
      </c>
      <c r="I144" s="69"/>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row>
    <row r="145" ht="13.5" customHeight="1" spans="1:55">
      <c r="A145" s="20"/>
      <c r="B145" s="62">
        <v>38284</v>
      </c>
      <c r="C145" s="63" t="s">
        <v>1176</v>
      </c>
      <c r="D145" s="63" t="s">
        <v>1153</v>
      </c>
      <c r="E145" s="64">
        <v>16</v>
      </c>
      <c r="F145" s="65"/>
      <c r="G145" s="66" t="b">
        <f>ISNUMBER(MATCH(C145,'Pareto Analysis'!$A$48:$A$114,0))</f>
        <v>1</v>
      </c>
      <c r="H145" s="67" t="str">
        <f t="shared" si="2"/>
        <v>👍</v>
      </c>
      <c r="I145" s="69"/>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c r="AP145" s="20"/>
      <c r="AQ145" s="20"/>
      <c r="AR145" s="20"/>
      <c r="AS145" s="20"/>
      <c r="AT145" s="20"/>
      <c r="AU145" s="20"/>
      <c r="AV145" s="20"/>
      <c r="AW145" s="20"/>
      <c r="AX145" s="20"/>
      <c r="AY145" s="20"/>
      <c r="AZ145" s="20"/>
      <c r="BA145" s="20"/>
      <c r="BB145" s="20"/>
      <c r="BC145" s="20"/>
    </row>
    <row r="146" ht="13.5" customHeight="1" spans="1:55">
      <c r="A146" s="20"/>
      <c r="B146" s="62">
        <v>38284</v>
      </c>
      <c r="C146" s="63" t="s">
        <v>1201</v>
      </c>
      <c r="D146" s="63" t="s">
        <v>1153</v>
      </c>
      <c r="E146" s="64">
        <v>16</v>
      </c>
      <c r="F146" s="65"/>
      <c r="G146" s="66" t="b">
        <f>ISNUMBER(MATCH(C146,'Pareto Analysis'!$A$48:$A$114,0))</f>
        <v>1</v>
      </c>
      <c r="H146" s="67" t="str">
        <f t="shared" si="2"/>
        <v>👍</v>
      </c>
      <c r="I146" s="69"/>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row>
    <row r="147" ht="13.5" customHeight="1" spans="1:55">
      <c r="A147" s="20"/>
      <c r="B147" s="62">
        <v>38272</v>
      </c>
      <c r="C147" s="63" t="s">
        <v>1188</v>
      </c>
      <c r="D147" s="63" t="s">
        <v>1156</v>
      </c>
      <c r="E147" s="64">
        <v>17</v>
      </c>
      <c r="F147" s="65"/>
      <c r="G147" s="66" t="b">
        <f>ISNUMBER(MATCH(C147,'Pareto Analysis'!$A$48:$A$114,0))</f>
        <v>1</v>
      </c>
      <c r="H147" s="67" t="str">
        <f t="shared" si="2"/>
        <v>👍</v>
      </c>
      <c r="I147" s="69"/>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row>
    <row r="148" ht="13.5" customHeight="1" spans="1:55">
      <c r="A148" s="20"/>
      <c r="B148" s="62">
        <v>38273</v>
      </c>
      <c r="C148" s="63" t="s">
        <v>1202</v>
      </c>
      <c r="D148" s="63" t="s">
        <v>1153</v>
      </c>
      <c r="E148" s="64">
        <v>17</v>
      </c>
      <c r="F148" s="65"/>
      <c r="G148" s="66" t="b">
        <f>ISNUMBER(MATCH(C148,'Pareto Analysis'!$A$48:$A$114,0))</f>
        <v>1</v>
      </c>
      <c r="H148" s="67" t="str">
        <f t="shared" si="2"/>
        <v>👍</v>
      </c>
      <c r="I148" s="69"/>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c r="AP148" s="20"/>
      <c r="AQ148" s="20"/>
      <c r="AR148" s="20"/>
      <c r="AS148" s="20"/>
      <c r="AT148" s="20"/>
      <c r="AU148" s="20"/>
      <c r="AV148" s="20"/>
      <c r="AW148" s="20"/>
      <c r="AX148" s="20"/>
      <c r="AY148" s="20"/>
      <c r="AZ148" s="20"/>
      <c r="BA148" s="20"/>
      <c r="BB148" s="20"/>
      <c r="BC148" s="20"/>
    </row>
    <row r="149" ht="13.5" customHeight="1" spans="1:55">
      <c r="A149" s="20"/>
      <c r="B149" s="62">
        <v>38274</v>
      </c>
      <c r="C149" s="63" t="s">
        <v>1155</v>
      </c>
      <c r="D149" s="63" t="s">
        <v>1156</v>
      </c>
      <c r="E149" s="64">
        <v>17</v>
      </c>
      <c r="F149" s="65"/>
      <c r="G149" s="66" t="b">
        <f>ISNUMBER(MATCH(C149,'Pareto Analysis'!$A$48:$A$114,0))</f>
        <v>0</v>
      </c>
      <c r="H149" s="67" t="str">
        <f t="shared" si="2"/>
        <v>👎</v>
      </c>
      <c r="I149" s="69"/>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row>
    <row r="150" ht="13.5" customHeight="1" spans="1:55">
      <c r="A150" s="20"/>
      <c r="B150" s="62">
        <v>38285</v>
      </c>
      <c r="C150" s="63" t="s">
        <v>1203</v>
      </c>
      <c r="D150" s="63" t="s">
        <v>1151</v>
      </c>
      <c r="E150" s="64">
        <v>17</v>
      </c>
      <c r="F150" s="65"/>
      <c r="G150" s="66" t="b">
        <f>ISNUMBER(MATCH(C150,'Pareto Analysis'!$A$48:$A$114,0))</f>
        <v>0</v>
      </c>
      <c r="H150" s="67" t="str">
        <f t="shared" si="2"/>
        <v>👎</v>
      </c>
      <c r="I150" s="69"/>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c r="AM150" s="20"/>
      <c r="AN150" s="20"/>
      <c r="AO150" s="20"/>
      <c r="AP150" s="20"/>
      <c r="AQ150" s="20"/>
      <c r="AR150" s="20"/>
      <c r="AS150" s="20"/>
      <c r="AT150" s="20"/>
      <c r="AU150" s="20"/>
      <c r="AV150" s="20"/>
      <c r="AW150" s="20"/>
      <c r="AX150" s="20"/>
      <c r="AY150" s="20"/>
      <c r="AZ150" s="20"/>
      <c r="BA150" s="20"/>
      <c r="BB150" s="20"/>
      <c r="BC150" s="20"/>
    </row>
    <row r="151" ht="13.5" customHeight="1" spans="1:55">
      <c r="A151" s="20"/>
      <c r="B151" s="62">
        <v>38280</v>
      </c>
      <c r="C151" s="63" t="s">
        <v>1184</v>
      </c>
      <c r="D151" s="63" t="s">
        <v>1156</v>
      </c>
      <c r="E151" s="64">
        <v>18</v>
      </c>
      <c r="F151" s="65"/>
      <c r="G151" s="66" t="b">
        <f>ISNUMBER(MATCH(C151,'Pareto Analysis'!$A$48:$A$114,0))</f>
        <v>1</v>
      </c>
      <c r="H151" s="67" t="str">
        <f t="shared" si="2"/>
        <v>👍</v>
      </c>
      <c r="I151" s="69"/>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c r="AP151" s="20"/>
      <c r="AQ151" s="20"/>
      <c r="AR151" s="20"/>
      <c r="AS151" s="20"/>
      <c r="AT151" s="20"/>
      <c r="AU151" s="20"/>
      <c r="AV151" s="20"/>
      <c r="AW151" s="20"/>
      <c r="AX151" s="20"/>
      <c r="AY151" s="20"/>
      <c r="AZ151" s="20"/>
      <c r="BA151" s="20"/>
      <c r="BB151" s="20"/>
      <c r="BC151" s="20"/>
    </row>
    <row r="152" ht="13.5" customHeight="1" spans="1:55">
      <c r="A152" s="20"/>
      <c r="B152" s="62">
        <v>38270</v>
      </c>
      <c r="C152" s="63" t="s">
        <v>1169</v>
      </c>
      <c r="D152" s="63" t="s">
        <v>1151</v>
      </c>
      <c r="E152" s="64">
        <v>19</v>
      </c>
      <c r="F152" s="65"/>
      <c r="G152" s="66" t="b">
        <f>ISNUMBER(MATCH(C152,'Pareto Analysis'!$A$48:$A$114,0))</f>
        <v>1</v>
      </c>
      <c r="H152" s="67" t="str">
        <f t="shared" si="2"/>
        <v>👍</v>
      </c>
      <c r="I152" s="69"/>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row>
    <row r="153" ht="13.5" customHeight="1" spans="1:55">
      <c r="A153" s="20"/>
      <c r="B153" s="62">
        <v>38271</v>
      </c>
      <c r="C153" s="63" t="s">
        <v>1169</v>
      </c>
      <c r="D153" s="63" t="s">
        <v>1151</v>
      </c>
      <c r="E153" s="64">
        <v>19</v>
      </c>
      <c r="F153" s="65"/>
      <c r="G153" s="66" t="b">
        <f>ISNUMBER(MATCH(C153,'Pareto Analysis'!$A$48:$A$114,0))</f>
        <v>1</v>
      </c>
      <c r="H153" s="67" t="str">
        <f t="shared" si="2"/>
        <v>👍</v>
      </c>
      <c r="I153" s="69"/>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row>
    <row r="154" ht="13.5" customHeight="1" spans="1:55">
      <c r="A154" s="20"/>
      <c r="B154" s="62">
        <v>38272</v>
      </c>
      <c r="C154" s="63" t="s">
        <v>1169</v>
      </c>
      <c r="D154" s="63" t="s">
        <v>1151</v>
      </c>
      <c r="E154" s="64">
        <v>19</v>
      </c>
      <c r="F154" s="65"/>
      <c r="G154" s="66" t="b">
        <f>ISNUMBER(MATCH(C154,'Pareto Analysis'!$A$48:$A$114,0))</f>
        <v>1</v>
      </c>
      <c r="H154" s="67" t="str">
        <f t="shared" si="2"/>
        <v>👍</v>
      </c>
      <c r="I154" s="69"/>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c r="AM154" s="20"/>
      <c r="AN154" s="20"/>
      <c r="AO154" s="20"/>
      <c r="AP154" s="20"/>
      <c r="AQ154" s="20"/>
      <c r="AR154" s="20"/>
      <c r="AS154" s="20"/>
      <c r="AT154" s="20"/>
      <c r="AU154" s="20"/>
      <c r="AV154" s="20"/>
      <c r="AW154" s="20"/>
      <c r="AX154" s="20"/>
      <c r="AY154" s="20"/>
      <c r="AZ154" s="20"/>
      <c r="BA154" s="20"/>
      <c r="BB154" s="20"/>
      <c r="BC154" s="20"/>
    </row>
    <row r="155" ht="13.5" customHeight="1" spans="1:55">
      <c r="A155" s="20"/>
      <c r="B155" s="62">
        <v>38273</v>
      </c>
      <c r="C155" s="63" t="s">
        <v>1204</v>
      </c>
      <c r="D155" s="63" t="s">
        <v>1153</v>
      </c>
      <c r="E155" s="64">
        <v>19</v>
      </c>
      <c r="F155" s="65"/>
      <c r="G155" s="66" t="b">
        <f>ISNUMBER(MATCH(C155,'Pareto Analysis'!$A$48:$A$114,0))</f>
        <v>1</v>
      </c>
      <c r="H155" s="67" t="str">
        <f t="shared" si="2"/>
        <v>👍</v>
      </c>
      <c r="I155" s="69"/>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c r="AM155" s="20"/>
      <c r="AN155" s="20"/>
      <c r="AO155" s="20"/>
      <c r="AP155" s="20"/>
      <c r="AQ155" s="20"/>
      <c r="AR155" s="20"/>
      <c r="AS155" s="20"/>
      <c r="AT155" s="20"/>
      <c r="AU155" s="20"/>
      <c r="AV155" s="20"/>
      <c r="AW155" s="20"/>
      <c r="AX155" s="20"/>
      <c r="AY155" s="20"/>
      <c r="AZ155" s="20"/>
      <c r="BA155" s="20"/>
      <c r="BB155" s="20"/>
      <c r="BC155" s="20"/>
    </row>
    <row r="156" ht="13.5" customHeight="1" spans="1:55">
      <c r="A156" s="20"/>
      <c r="B156" s="62">
        <v>38281</v>
      </c>
      <c r="C156" s="63" t="s">
        <v>1152</v>
      </c>
      <c r="D156" s="63" t="s">
        <v>1153</v>
      </c>
      <c r="E156" s="64">
        <v>19</v>
      </c>
      <c r="F156" s="65"/>
      <c r="G156" s="66" t="b">
        <f>ISNUMBER(MATCH(C156,'Pareto Analysis'!$A$48:$A$114,0))</f>
        <v>0</v>
      </c>
      <c r="H156" s="67" t="str">
        <f t="shared" si="2"/>
        <v>👎</v>
      </c>
      <c r="I156" s="69"/>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row>
    <row r="157" ht="13.5" customHeight="1" spans="1:55">
      <c r="A157" s="20"/>
      <c r="B157" s="62">
        <v>38284</v>
      </c>
      <c r="C157" s="63" t="s">
        <v>1205</v>
      </c>
      <c r="D157" s="63" t="s">
        <v>1153</v>
      </c>
      <c r="E157" s="64">
        <v>19</v>
      </c>
      <c r="F157" s="65"/>
      <c r="G157" s="66" t="b">
        <f>ISNUMBER(MATCH(C157,'Pareto Analysis'!$A$48:$A$114,0))</f>
        <v>1</v>
      </c>
      <c r="H157" s="67" t="str">
        <f t="shared" si="2"/>
        <v>👍</v>
      </c>
      <c r="I157" s="69"/>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row>
    <row r="158" ht="13.5" customHeight="1" spans="1:55">
      <c r="A158" s="20"/>
      <c r="B158" s="62">
        <v>38280</v>
      </c>
      <c r="C158" s="63" t="s">
        <v>1152</v>
      </c>
      <c r="D158" s="63" t="s">
        <v>1153</v>
      </c>
      <c r="E158" s="64">
        <v>20</v>
      </c>
      <c r="F158" s="65"/>
      <c r="G158" s="66" t="b">
        <f>ISNUMBER(MATCH(C158,'Pareto Analysis'!$A$48:$A$114,0))</f>
        <v>0</v>
      </c>
      <c r="H158" s="67" t="str">
        <f t="shared" si="2"/>
        <v>👎</v>
      </c>
      <c r="I158" s="69"/>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row>
    <row r="159" ht="13.5" customHeight="1" spans="1:55">
      <c r="A159" s="20"/>
      <c r="B159" s="62">
        <v>38281</v>
      </c>
      <c r="C159" s="63" t="s">
        <v>1169</v>
      </c>
      <c r="D159" s="63" t="s">
        <v>1151</v>
      </c>
      <c r="E159" s="64">
        <v>20</v>
      </c>
      <c r="F159" s="65"/>
      <c r="G159" s="66" t="b">
        <f>ISNUMBER(MATCH(C159,'Pareto Analysis'!$A$48:$A$114,0))</f>
        <v>1</v>
      </c>
      <c r="H159" s="67" t="str">
        <f t="shared" si="2"/>
        <v>👍</v>
      </c>
      <c r="I159" s="69"/>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row>
    <row r="160" ht="13.5" customHeight="1" spans="1:55">
      <c r="A160" s="20"/>
      <c r="B160" s="62">
        <v>38284</v>
      </c>
      <c r="C160" s="63" t="s">
        <v>1169</v>
      </c>
      <c r="D160" s="63" t="s">
        <v>1151</v>
      </c>
      <c r="E160" s="64">
        <v>20</v>
      </c>
      <c r="F160" s="65"/>
      <c r="G160" s="66" t="b">
        <f>ISNUMBER(MATCH(C160,'Pareto Analysis'!$A$48:$A$114,0))</f>
        <v>1</v>
      </c>
      <c r="H160" s="67" t="str">
        <f t="shared" si="2"/>
        <v>👍</v>
      </c>
      <c r="I160" s="69"/>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c r="AM160" s="20"/>
      <c r="AN160" s="20"/>
      <c r="AO160" s="20"/>
      <c r="AP160" s="20"/>
      <c r="AQ160" s="20"/>
      <c r="AR160" s="20"/>
      <c r="AS160" s="20"/>
      <c r="AT160" s="20"/>
      <c r="AU160" s="20"/>
      <c r="AV160" s="20"/>
      <c r="AW160" s="20"/>
      <c r="AX160" s="20"/>
      <c r="AY160" s="20"/>
      <c r="AZ160" s="20"/>
      <c r="BA160" s="20"/>
      <c r="BB160" s="20"/>
      <c r="BC160" s="20"/>
    </row>
    <row r="161" ht="13.5" customHeight="1" spans="1:55">
      <c r="A161" s="20"/>
      <c r="B161" s="62">
        <v>38284</v>
      </c>
      <c r="C161" s="63" t="s">
        <v>1152</v>
      </c>
      <c r="D161" s="63" t="s">
        <v>1153</v>
      </c>
      <c r="E161" s="64">
        <v>20</v>
      </c>
      <c r="F161" s="65"/>
      <c r="G161" s="66" t="b">
        <f>ISNUMBER(MATCH(C161,'Pareto Analysis'!$A$48:$A$114,0))</f>
        <v>0</v>
      </c>
      <c r="H161" s="67" t="str">
        <f t="shared" si="2"/>
        <v>👎</v>
      </c>
      <c r="I161" s="69"/>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c r="AP161" s="20"/>
      <c r="AQ161" s="20"/>
      <c r="AR161" s="20"/>
      <c r="AS161" s="20"/>
      <c r="AT161" s="20"/>
      <c r="AU161" s="20"/>
      <c r="AV161" s="20"/>
      <c r="AW161" s="20"/>
      <c r="AX161" s="20"/>
      <c r="AY161" s="20"/>
      <c r="AZ161" s="20"/>
      <c r="BA161" s="20"/>
      <c r="BB161" s="20"/>
      <c r="BC161" s="20"/>
    </row>
    <row r="162" ht="13.5" customHeight="1" spans="1:55">
      <c r="A162" s="20"/>
      <c r="B162" s="62">
        <v>38273</v>
      </c>
      <c r="C162" s="63" t="s">
        <v>1169</v>
      </c>
      <c r="D162" s="63" t="s">
        <v>1151</v>
      </c>
      <c r="E162" s="64">
        <v>21</v>
      </c>
      <c r="F162" s="65"/>
      <c r="G162" s="66" t="b">
        <f>ISNUMBER(MATCH(C162,'Pareto Analysis'!$A$48:$A$114,0))</f>
        <v>1</v>
      </c>
      <c r="H162" s="67" t="str">
        <f t="shared" si="2"/>
        <v>👍</v>
      </c>
      <c r="I162" s="69"/>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c r="AP162" s="20"/>
      <c r="AQ162" s="20"/>
      <c r="AR162" s="20"/>
      <c r="AS162" s="20"/>
      <c r="AT162" s="20"/>
      <c r="AU162" s="20"/>
      <c r="AV162" s="20"/>
      <c r="AW162" s="20"/>
      <c r="AX162" s="20"/>
      <c r="AY162" s="20"/>
      <c r="AZ162" s="20"/>
      <c r="BA162" s="20"/>
      <c r="BB162" s="20"/>
      <c r="BC162" s="20"/>
    </row>
    <row r="163" ht="13.5" customHeight="1" spans="1:55">
      <c r="A163" s="20"/>
      <c r="B163" s="62">
        <v>38274</v>
      </c>
      <c r="C163" s="63" t="s">
        <v>1169</v>
      </c>
      <c r="D163" s="63" t="s">
        <v>1151</v>
      </c>
      <c r="E163" s="64">
        <v>21</v>
      </c>
      <c r="F163" s="65"/>
      <c r="G163" s="66" t="b">
        <f>ISNUMBER(MATCH(C163,'Pareto Analysis'!$A$48:$A$114,0))</f>
        <v>1</v>
      </c>
      <c r="H163" s="67" t="str">
        <f t="shared" si="2"/>
        <v>👍</v>
      </c>
      <c r="I163" s="69"/>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c r="AP163" s="20"/>
      <c r="AQ163" s="20"/>
      <c r="AR163" s="20"/>
      <c r="AS163" s="20"/>
      <c r="AT163" s="20"/>
      <c r="AU163" s="20"/>
      <c r="AV163" s="20"/>
      <c r="AW163" s="20"/>
      <c r="AX163" s="20"/>
      <c r="AY163" s="20"/>
      <c r="AZ163" s="20"/>
      <c r="BA163" s="20"/>
      <c r="BB163" s="20"/>
      <c r="BC163" s="20"/>
    </row>
    <row r="164" ht="13.5" customHeight="1" spans="1:55">
      <c r="A164" s="20"/>
      <c r="B164" s="62">
        <v>38277</v>
      </c>
      <c r="C164" s="63" t="s">
        <v>1169</v>
      </c>
      <c r="D164" s="63" t="s">
        <v>1151</v>
      </c>
      <c r="E164" s="64">
        <v>21</v>
      </c>
      <c r="F164" s="65"/>
      <c r="G164" s="66" t="b">
        <f>ISNUMBER(MATCH(C164,'Pareto Analysis'!$A$48:$A$114,0))</f>
        <v>1</v>
      </c>
      <c r="H164" s="67" t="str">
        <f t="shared" si="2"/>
        <v>👍</v>
      </c>
      <c r="I164" s="69"/>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row>
    <row r="165" ht="13.5" customHeight="1" spans="1:55">
      <c r="A165" s="20"/>
      <c r="B165" s="62">
        <v>38280</v>
      </c>
      <c r="C165" s="63" t="s">
        <v>1169</v>
      </c>
      <c r="D165" s="63" t="s">
        <v>1151</v>
      </c>
      <c r="E165" s="64">
        <v>21</v>
      </c>
      <c r="F165" s="65"/>
      <c r="G165" s="66" t="b">
        <f>ISNUMBER(MATCH(C165,'Pareto Analysis'!$A$48:$A$114,0))</f>
        <v>1</v>
      </c>
      <c r="H165" s="67" t="str">
        <f t="shared" si="2"/>
        <v>👍</v>
      </c>
      <c r="I165" s="69"/>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row>
    <row r="166" ht="13.5" customHeight="1" spans="1:55">
      <c r="A166" s="20"/>
      <c r="B166" s="62">
        <v>38286</v>
      </c>
      <c r="C166" s="63" t="s">
        <v>1206</v>
      </c>
      <c r="D166" s="63" t="s">
        <v>1156</v>
      </c>
      <c r="E166" s="64">
        <v>21</v>
      </c>
      <c r="F166" s="65"/>
      <c r="G166" s="66" t="b">
        <f>ISNUMBER(MATCH(C166,'Pareto Analysis'!$A$48:$A$114,0))</f>
        <v>1</v>
      </c>
      <c r="H166" s="67" t="str">
        <f t="shared" si="2"/>
        <v>👍</v>
      </c>
      <c r="I166" s="69"/>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c r="AP166" s="20"/>
      <c r="AQ166" s="20"/>
      <c r="AR166" s="20"/>
      <c r="AS166" s="20"/>
      <c r="AT166" s="20"/>
      <c r="AU166" s="20"/>
      <c r="AV166" s="20"/>
      <c r="AW166" s="20"/>
      <c r="AX166" s="20"/>
      <c r="AY166" s="20"/>
      <c r="AZ166" s="20"/>
      <c r="BA166" s="20"/>
      <c r="BB166" s="20"/>
      <c r="BC166" s="20"/>
    </row>
    <row r="167" ht="13.5" customHeight="1" spans="1:55">
      <c r="A167" s="20"/>
      <c r="B167" s="62">
        <v>38271</v>
      </c>
      <c r="C167" s="63" t="s">
        <v>1170</v>
      </c>
      <c r="D167" s="63" t="s">
        <v>1153</v>
      </c>
      <c r="E167" s="64">
        <v>22</v>
      </c>
      <c r="F167" s="65"/>
      <c r="G167" s="66" t="b">
        <f>ISNUMBER(MATCH(C167,'Pareto Analysis'!$A$48:$A$114,0))</f>
        <v>0</v>
      </c>
      <c r="H167" s="67" t="str">
        <f t="shared" si="2"/>
        <v>👎</v>
      </c>
      <c r="I167" s="69"/>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c r="AP167" s="20"/>
      <c r="AQ167" s="20"/>
      <c r="AR167" s="20"/>
      <c r="AS167" s="20"/>
      <c r="AT167" s="20"/>
      <c r="AU167" s="20"/>
      <c r="AV167" s="20"/>
      <c r="AW167" s="20"/>
      <c r="AX167" s="20"/>
      <c r="AY167" s="20"/>
      <c r="AZ167" s="20"/>
      <c r="BA167" s="20"/>
      <c r="BB167" s="20"/>
      <c r="BC167" s="20"/>
    </row>
    <row r="168" ht="13.5" customHeight="1" spans="1:55">
      <c r="A168" s="20"/>
      <c r="B168" s="62">
        <v>38273</v>
      </c>
      <c r="C168" s="63" t="s">
        <v>1188</v>
      </c>
      <c r="D168" s="63" t="s">
        <v>1156</v>
      </c>
      <c r="E168" s="64">
        <v>22</v>
      </c>
      <c r="F168" s="65"/>
      <c r="G168" s="66" t="b">
        <f>ISNUMBER(MATCH(C168,'Pareto Analysis'!$A$48:$A$114,0))</f>
        <v>1</v>
      </c>
      <c r="H168" s="67" t="str">
        <f t="shared" si="2"/>
        <v>👍</v>
      </c>
      <c r="I168" s="69"/>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c r="AP168" s="20"/>
      <c r="AQ168" s="20"/>
      <c r="AR168" s="20"/>
      <c r="AS168" s="20"/>
      <c r="AT168" s="20"/>
      <c r="AU168" s="20"/>
      <c r="AV168" s="20"/>
      <c r="AW168" s="20"/>
      <c r="AX168" s="20"/>
      <c r="AY168" s="20"/>
      <c r="AZ168" s="20"/>
      <c r="BA168" s="20"/>
      <c r="BB168" s="20"/>
      <c r="BC168" s="20"/>
    </row>
    <row r="169" ht="13.5" customHeight="1" spans="1:55">
      <c r="A169" s="20"/>
      <c r="B169" s="62">
        <v>38281</v>
      </c>
      <c r="C169" s="63" t="s">
        <v>1184</v>
      </c>
      <c r="D169" s="63" t="s">
        <v>1156</v>
      </c>
      <c r="E169" s="64">
        <v>22</v>
      </c>
      <c r="F169" s="65"/>
      <c r="G169" s="66" t="b">
        <f>ISNUMBER(MATCH(C169,'Pareto Analysis'!$A$48:$A$114,0))</f>
        <v>1</v>
      </c>
      <c r="H169" s="67" t="str">
        <f t="shared" si="2"/>
        <v>👍</v>
      </c>
      <c r="I169" s="69"/>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c r="AP169" s="20"/>
      <c r="AQ169" s="20"/>
      <c r="AR169" s="20"/>
      <c r="AS169" s="20"/>
      <c r="AT169" s="20"/>
      <c r="AU169" s="20"/>
      <c r="AV169" s="20"/>
      <c r="AW169" s="20"/>
      <c r="AX169" s="20"/>
      <c r="AY169" s="20"/>
      <c r="AZ169" s="20"/>
      <c r="BA169" s="20"/>
      <c r="BB169" s="20"/>
      <c r="BC169" s="20"/>
    </row>
    <row r="170" ht="13.5" customHeight="1" spans="1:55">
      <c r="A170" s="20"/>
      <c r="B170" s="62">
        <v>38270</v>
      </c>
      <c r="C170" s="63" t="s">
        <v>1207</v>
      </c>
      <c r="D170" s="63" t="s">
        <v>1151</v>
      </c>
      <c r="E170" s="64">
        <v>23</v>
      </c>
      <c r="F170" s="65"/>
      <c r="G170" s="66" t="b">
        <f>ISNUMBER(MATCH(C170,'Pareto Analysis'!$A$48:$A$114,0))</f>
        <v>1</v>
      </c>
      <c r="H170" s="67" t="str">
        <f t="shared" si="2"/>
        <v>👍</v>
      </c>
      <c r="I170" s="69"/>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c r="AP170" s="20"/>
      <c r="AQ170" s="20"/>
      <c r="AR170" s="20"/>
      <c r="AS170" s="20"/>
      <c r="AT170" s="20"/>
      <c r="AU170" s="20"/>
      <c r="AV170" s="20"/>
      <c r="AW170" s="20"/>
      <c r="AX170" s="20"/>
      <c r="AY170" s="20"/>
      <c r="AZ170" s="20"/>
      <c r="BA170" s="20"/>
      <c r="BB170" s="20"/>
      <c r="BC170" s="20"/>
    </row>
    <row r="171" ht="13.5" customHeight="1" spans="1:55">
      <c r="A171" s="20"/>
      <c r="B171" s="62">
        <v>38271</v>
      </c>
      <c r="C171" s="63" t="s">
        <v>1207</v>
      </c>
      <c r="D171" s="63" t="s">
        <v>1151</v>
      </c>
      <c r="E171" s="64">
        <v>23</v>
      </c>
      <c r="F171" s="65"/>
      <c r="G171" s="66" t="b">
        <f>ISNUMBER(MATCH(C171,'Pareto Analysis'!$A$48:$A$114,0))</f>
        <v>1</v>
      </c>
      <c r="H171" s="67" t="str">
        <f t="shared" si="2"/>
        <v>👍</v>
      </c>
      <c r="I171" s="69"/>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c r="AP171" s="20"/>
      <c r="AQ171" s="20"/>
      <c r="AR171" s="20"/>
      <c r="AS171" s="20"/>
      <c r="AT171" s="20"/>
      <c r="AU171" s="20"/>
      <c r="AV171" s="20"/>
      <c r="AW171" s="20"/>
      <c r="AX171" s="20"/>
      <c r="AY171" s="20"/>
      <c r="AZ171" s="20"/>
      <c r="BA171" s="20"/>
      <c r="BB171" s="20"/>
      <c r="BC171" s="20"/>
    </row>
    <row r="172" ht="13.5" customHeight="1" spans="1:55">
      <c r="A172" s="20"/>
      <c r="B172" s="62">
        <v>38274</v>
      </c>
      <c r="C172" s="63" t="s">
        <v>1188</v>
      </c>
      <c r="D172" s="63" t="s">
        <v>1156</v>
      </c>
      <c r="E172" s="64">
        <v>23</v>
      </c>
      <c r="F172" s="65"/>
      <c r="G172" s="66" t="b">
        <f>ISNUMBER(MATCH(C172,'Pareto Analysis'!$A$48:$A$114,0))</f>
        <v>1</v>
      </c>
      <c r="H172" s="67" t="str">
        <f t="shared" si="2"/>
        <v>👍</v>
      </c>
      <c r="I172" s="69"/>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row>
    <row r="173" ht="13.5" customHeight="1" spans="1:55">
      <c r="A173" s="20"/>
      <c r="B173" s="62">
        <v>38285</v>
      </c>
      <c r="C173" s="63" t="s">
        <v>1206</v>
      </c>
      <c r="D173" s="63" t="s">
        <v>1156</v>
      </c>
      <c r="E173" s="64">
        <v>23</v>
      </c>
      <c r="F173" s="65"/>
      <c r="G173" s="66" t="b">
        <f>ISNUMBER(MATCH(C173,'Pareto Analysis'!$A$48:$A$114,0))</f>
        <v>1</v>
      </c>
      <c r="H173" s="67" t="str">
        <f t="shared" si="2"/>
        <v>👍</v>
      </c>
      <c r="I173" s="69"/>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c r="AP173" s="20"/>
      <c r="AQ173" s="20"/>
      <c r="AR173" s="20"/>
      <c r="AS173" s="20"/>
      <c r="AT173" s="20"/>
      <c r="AU173" s="20"/>
      <c r="AV173" s="20"/>
      <c r="AW173" s="20"/>
      <c r="AX173" s="20"/>
      <c r="AY173" s="20"/>
      <c r="AZ173" s="20"/>
      <c r="BA173" s="20"/>
      <c r="BB173" s="20"/>
      <c r="BC173" s="20"/>
    </row>
    <row r="174" ht="13.5" customHeight="1" spans="1:55">
      <c r="A174" s="20"/>
      <c r="B174" s="62">
        <v>38277</v>
      </c>
      <c r="C174" s="63" t="s">
        <v>1149</v>
      </c>
      <c r="D174" s="63" t="s">
        <v>1148</v>
      </c>
      <c r="E174" s="64">
        <v>23.2</v>
      </c>
      <c r="F174" s="65"/>
      <c r="G174" s="66" t="b">
        <f>ISNUMBER(MATCH(C174,'Pareto Analysis'!$A$48:$A$114,0))</f>
        <v>1</v>
      </c>
      <c r="H174" s="67" t="str">
        <f t="shared" si="2"/>
        <v>👍</v>
      </c>
      <c r="I174" s="69"/>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row>
    <row r="175" ht="13.5" customHeight="1" spans="1:55">
      <c r="A175" s="20"/>
      <c r="B175" s="62">
        <v>38270</v>
      </c>
      <c r="C175" s="63" t="s">
        <v>1200</v>
      </c>
      <c r="D175" s="63" t="s">
        <v>1151</v>
      </c>
      <c r="E175" s="64">
        <v>24</v>
      </c>
      <c r="F175" s="65"/>
      <c r="G175" s="66" t="b">
        <f>ISNUMBER(MATCH(C175,'Pareto Analysis'!$A$48:$A$114,0))</f>
        <v>1</v>
      </c>
      <c r="H175" s="67" t="str">
        <f t="shared" si="2"/>
        <v>👍</v>
      </c>
      <c r="I175" s="69"/>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row>
    <row r="176" ht="13.5" customHeight="1" spans="1:55">
      <c r="A176" s="20"/>
      <c r="B176" s="62">
        <v>38272</v>
      </c>
      <c r="C176" s="63" t="s">
        <v>1207</v>
      </c>
      <c r="D176" s="63" t="s">
        <v>1151</v>
      </c>
      <c r="E176" s="64">
        <v>24</v>
      </c>
      <c r="F176" s="65"/>
      <c r="G176" s="66" t="b">
        <f>ISNUMBER(MATCH(C176,'Pareto Analysis'!$A$48:$A$114,0))</f>
        <v>1</v>
      </c>
      <c r="H176" s="67" t="str">
        <f t="shared" si="2"/>
        <v>👍</v>
      </c>
      <c r="I176" s="69"/>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row>
    <row r="177" ht="13.5" customHeight="1" spans="1:55">
      <c r="A177" s="20"/>
      <c r="B177" s="62">
        <v>38277</v>
      </c>
      <c r="C177" s="63" t="s">
        <v>1207</v>
      </c>
      <c r="D177" s="63" t="s">
        <v>1151</v>
      </c>
      <c r="E177" s="64">
        <v>24</v>
      </c>
      <c r="F177" s="65"/>
      <c r="G177" s="66" t="b">
        <f>ISNUMBER(MATCH(C177,'Pareto Analysis'!$A$48:$A$114,0))</f>
        <v>1</v>
      </c>
      <c r="H177" s="67" t="str">
        <f t="shared" si="2"/>
        <v>👍</v>
      </c>
      <c r="I177" s="69"/>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row>
    <row r="178" ht="13.5" customHeight="1" spans="1:55">
      <c r="A178" s="20"/>
      <c r="B178" s="62">
        <v>38280</v>
      </c>
      <c r="C178" s="63" t="s">
        <v>1208</v>
      </c>
      <c r="D178" s="63" t="s">
        <v>1151</v>
      </c>
      <c r="E178" s="64">
        <v>24</v>
      </c>
      <c r="F178" s="65"/>
      <c r="G178" s="66" t="b">
        <f>ISNUMBER(MATCH(C178,'Pareto Analysis'!$A$48:$A$114,0))</f>
        <v>0</v>
      </c>
      <c r="H178" s="67" t="str">
        <f t="shared" si="2"/>
        <v>👎</v>
      </c>
      <c r="I178" s="69"/>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row>
    <row r="179" ht="13.5" customHeight="1" spans="1:55">
      <c r="A179" s="20"/>
      <c r="B179" s="62">
        <v>38285</v>
      </c>
      <c r="C179" s="63" t="s">
        <v>1184</v>
      </c>
      <c r="D179" s="63" t="s">
        <v>1156</v>
      </c>
      <c r="E179" s="64">
        <v>24</v>
      </c>
      <c r="F179" s="65"/>
      <c r="G179" s="66" t="b">
        <f>ISNUMBER(MATCH(C179,'Pareto Analysis'!$A$48:$A$114,0))</f>
        <v>1</v>
      </c>
      <c r="H179" s="67" t="str">
        <f t="shared" si="2"/>
        <v>👍</v>
      </c>
      <c r="I179" s="69"/>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row>
    <row r="180" ht="13.5" customHeight="1" spans="1:55">
      <c r="A180" s="20"/>
      <c r="B180" s="62">
        <v>38271</v>
      </c>
      <c r="C180" s="63" t="s">
        <v>1209</v>
      </c>
      <c r="D180" s="63" t="s">
        <v>1151</v>
      </c>
      <c r="E180" s="64">
        <v>25</v>
      </c>
      <c r="F180" s="65"/>
      <c r="G180" s="66" t="b">
        <f>ISNUMBER(MATCH(C180,'Pareto Analysis'!$A$48:$A$114,0))</f>
        <v>1</v>
      </c>
      <c r="H180" s="67" t="str">
        <f t="shared" si="2"/>
        <v>👍</v>
      </c>
      <c r="I180" s="69"/>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row>
    <row r="181" ht="13.5" customHeight="1" spans="1:55">
      <c r="A181" s="20"/>
      <c r="B181" s="62">
        <v>38272</v>
      </c>
      <c r="C181" s="63" t="s">
        <v>1201</v>
      </c>
      <c r="D181" s="63" t="s">
        <v>1153</v>
      </c>
      <c r="E181" s="64">
        <v>25</v>
      </c>
      <c r="F181" s="65"/>
      <c r="G181" s="66" t="b">
        <f>ISNUMBER(MATCH(C181,'Pareto Analysis'!$A$48:$A$114,0))</f>
        <v>1</v>
      </c>
      <c r="H181" s="67" t="str">
        <f t="shared" si="2"/>
        <v>👍</v>
      </c>
      <c r="I181" s="69"/>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row>
    <row r="182" ht="13.5" customHeight="1" spans="1:55">
      <c r="A182" s="20"/>
      <c r="B182" s="62">
        <v>38273</v>
      </c>
      <c r="C182" s="63" t="s">
        <v>1207</v>
      </c>
      <c r="D182" s="63" t="s">
        <v>1151</v>
      </c>
      <c r="E182" s="64">
        <v>25</v>
      </c>
      <c r="F182" s="65"/>
      <c r="G182" s="66" t="b">
        <f>ISNUMBER(MATCH(C182,'Pareto Analysis'!$A$48:$A$114,0))</f>
        <v>1</v>
      </c>
      <c r="H182" s="67" t="str">
        <f t="shared" si="2"/>
        <v>👍</v>
      </c>
      <c r="I182" s="69"/>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c r="AP182" s="20"/>
      <c r="AQ182" s="20"/>
      <c r="AR182" s="20"/>
      <c r="AS182" s="20"/>
      <c r="AT182" s="20"/>
      <c r="AU182" s="20"/>
      <c r="AV182" s="20"/>
      <c r="AW182" s="20"/>
      <c r="AX182" s="20"/>
      <c r="AY182" s="20"/>
      <c r="AZ182" s="20"/>
      <c r="BA182" s="20"/>
      <c r="BB182" s="20"/>
      <c r="BC182" s="20"/>
    </row>
    <row r="183" ht="13.5" customHeight="1" spans="1:55">
      <c r="A183" s="20"/>
      <c r="B183" s="62">
        <v>38274</v>
      </c>
      <c r="C183" s="63" t="s">
        <v>1207</v>
      </c>
      <c r="D183" s="63" t="s">
        <v>1151</v>
      </c>
      <c r="E183" s="64">
        <v>25</v>
      </c>
      <c r="F183" s="65"/>
      <c r="G183" s="66" t="b">
        <f>ISNUMBER(MATCH(C183,'Pareto Analysis'!$A$48:$A$114,0))</f>
        <v>1</v>
      </c>
      <c r="H183" s="67" t="str">
        <f t="shared" si="2"/>
        <v>👍</v>
      </c>
      <c r="I183" s="69"/>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row>
    <row r="184" ht="13.5" customHeight="1" spans="1:55">
      <c r="A184" s="20"/>
      <c r="B184" s="62">
        <v>38285</v>
      </c>
      <c r="C184" s="63" t="s">
        <v>1195</v>
      </c>
      <c r="D184" s="63" t="s">
        <v>1151</v>
      </c>
      <c r="E184" s="64">
        <v>25</v>
      </c>
      <c r="F184" s="65"/>
      <c r="G184" s="66" t="b">
        <f>ISNUMBER(MATCH(C184,'Pareto Analysis'!$A$48:$A$114,0))</f>
        <v>1</v>
      </c>
      <c r="H184" s="67" t="str">
        <f t="shared" si="2"/>
        <v>👍</v>
      </c>
      <c r="I184" s="69"/>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row>
    <row r="185" ht="13.5" customHeight="1" spans="1:55">
      <c r="A185" s="20"/>
      <c r="B185" s="62">
        <v>38286</v>
      </c>
      <c r="C185" s="63" t="s">
        <v>1203</v>
      </c>
      <c r="D185" s="63" t="s">
        <v>1151</v>
      </c>
      <c r="E185" s="64">
        <v>25</v>
      </c>
      <c r="F185" s="65"/>
      <c r="G185" s="66" t="b">
        <f>ISNUMBER(MATCH(C185,'Pareto Analysis'!$A$48:$A$114,0))</f>
        <v>0</v>
      </c>
      <c r="H185" s="67" t="str">
        <f t="shared" si="2"/>
        <v>👎</v>
      </c>
      <c r="I185" s="69"/>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row>
    <row r="186" ht="13.5" customHeight="1" spans="1:55">
      <c r="A186" s="20"/>
      <c r="B186" s="62">
        <v>38280</v>
      </c>
      <c r="C186" s="63" t="s">
        <v>1210</v>
      </c>
      <c r="D186" s="63" t="s">
        <v>1148</v>
      </c>
      <c r="E186" s="64">
        <v>25.6</v>
      </c>
      <c r="F186" s="65"/>
      <c r="G186" s="66" t="b">
        <f>ISNUMBER(MATCH(C186,'Pareto Analysis'!$A$48:$A$114,0))</f>
        <v>0</v>
      </c>
      <c r="H186" s="67" t="str">
        <f t="shared" si="2"/>
        <v>👎</v>
      </c>
      <c r="I186" s="69"/>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row>
    <row r="187" ht="13.5" customHeight="1" spans="1:55">
      <c r="A187" s="20"/>
      <c r="B187" s="62">
        <v>38271</v>
      </c>
      <c r="C187" s="63" t="s">
        <v>1211</v>
      </c>
      <c r="D187" s="63" t="s">
        <v>1153</v>
      </c>
      <c r="E187" s="64">
        <v>26</v>
      </c>
      <c r="F187" s="65"/>
      <c r="G187" s="66" t="b">
        <f>ISNUMBER(MATCH(C187,'Pareto Analysis'!$A$48:$A$114,0))</f>
        <v>1</v>
      </c>
      <c r="H187" s="67" t="str">
        <f t="shared" si="2"/>
        <v>👍</v>
      </c>
      <c r="I187" s="69"/>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row>
    <row r="188" ht="13.5" customHeight="1" spans="1:55">
      <c r="A188" s="20"/>
      <c r="B188" s="62">
        <v>38285</v>
      </c>
      <c r="C188" s="63" t="s">
        <v>1207</v>
      </c>
      <c r="D188" s="63" t="s">
        <v>1151</v>
      </c>
      <c r="E188" s="64">
        <v>26</v>
      </c>
      <c r="F188" s="65"/>
      <c r="G188" s="66" t="b">
        <f>ISNUMBER(MATCH(C188,'Pareto Analysis'!$A$48:$A$114,0))</f>
        <v>1</v>
      </c>
      <c r="H188" s="67" t="str">
        <f t="shared" si="2"/>
        <v>👍</v>
      </c>
      <c r="I188" s="69"/>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row>
    <row r="189" ht="13.5" customHeight="1" spans="1:55">
      <c r="A189" s="20"/>
      <c r="B189" s="62">
        <v>38286</v>
      </c>
      <c r="C189" s="63" t="s">
        <v>1212</v>
      </c>
      <c r="D189" s="63" t="s">
        <v>1156</v>
      </c>
      <c r="E189" s="64">
        <v>26</v>
      </c>
      <c r="F189" s="65"/>
      <c r="G189" s="66" t="b">
        <f>ISNUMBER(MATCH(C189,'Pareto Analysis'!$A$48:$A$114,0))</f>
        <v>1</v>
      </c>
      <c r="H189" s="67" t="str">
        <f t="shared" si="2"/>
        <v>👍</v>
      </c>
      <c r="I189" s="69"/>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row>
    <row r="190" ht="13.5" customHeight="1" spans="1:55">
      <c r="A190" s="20"/>
      <c r="B190" s="62">
        <v>38280</v>
      </c>
      <c r="C190" s="63" t="s">
        <v>1212</v>
      </c>
      <c r="D190" s="63" t="s">
        <v>1156</v>
      </c>
      <c r="E190" s="64">
        <v>27</v>
      </c>
      <c r="F190" s="65"/>
      <c r="G190" s="66" t="b">
        <f>ISNUMBER(MATCH(C190,'Pareto Analysis'!$A$48:$A$114,0))</f>
        <v>1</v>
      </c>
      <c r="H190" s="67" t="str">
        <f t="shared" si="2"/>
        <v>👍</v>
      </c>
      <c r="I190" s="69"/>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row>
    <row r="191" ht="13.5" customHeight="1" spans="1:55">
      <c r="A191" s="20"/>
      <c r="B191" s="62">
        <v>38280</v>
      </c>
      <c r="C191" s="63" t="s">
        <v>1207</v>
      </c>
      <c r="D191" s="63" t="s">
        <v>1151</v>
      </c>
      <c r="E191" s="64">
        <v>27</v>
      </c>
      <c r="F191" s="65"/>
      <c r="G191" s="66" t="b">
        <f>ISNUMBER(MATCH(C191,'Pareto Analysis'!$A$48:$A$114,0))</f>
        <v>1</v>
      </c>
      <c r="H191" s="67" t="str">
        <f t="shared" si="2"/>
        <v>👍</v>
      </c>
      <c r="I191" s="69"/>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row>
    <row r="192" ht="13.5" customHeight="1" spans="1:55">
      <c r="A192" s="20"/>
      <c r="B192" s="62">
        <v>38281</v>
      </c>
      <c r="C192" s="63" t="s">
        <v>1212</v>
      </c>
      <c r="D192" s="63" t="s">
        <v>1156</v>
      </c>
      <c r="E192" s="64">
        <v>27</v>
      </c>
      <c r="F192" s="65"/>
      <c r="G192" s="66" t="b">
        <f>ISNUMBER(MATCH(C192,'Pareto Analysis'!$A$48:$A$114,0))</f>
        <v>1</v>
      </c>
      <c r="H192" s="67" t="str">
        <f t="shared" si="2"/>
        <v>👍</v>
      </c>
      <c r="I192" s="69"/>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row>
    <row r="193" ht="13.5" customHeight="1" spans="1:55">
      <c r="A193" s="20"/>
      <c r="B193" s="62">
        <v>38284</v>
      </c>
      <c r="C193" s="63" t="s">
        <v>1213</v>
      </c>
      <c r="D193" s="63" t="s">
        <v>1153</v>
      </c>
      <c r="E193" s="64">
        <v>27</v>
      </c>
      <c r="F193" s="65"/>
      <c r="G193" s="66" t="b">
        <f>ISNUMBER(MATCH(C193,'Pareto Analysis'!$A$48:$A$114,0))</f>
        <v>1</v>
      </c>
      <c r="H193" s="67" t="str">
        <f t="shared" si="2"/>
        <v>👍</v>
      </c>
      <c r="I193" s="69"/>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row>
    <row r="194" ht="13.5" customHeight="1" spans="1:55">
      <c r="A194" s="20"/>
      <c r="B194" s="62">
        <v>38284</v>
      </c>
      <c r="C194" s="63" t="s">
        <v>1212</v>
      </c>
      <c r="D194" s="63" t="s">
        <v>1156</v>
      </c>
      <c r="E194" s="64">
        <v>27</v>
      </c>
      <c r="F194" s="65"/>
      <c r="G194" s="66" t="b">
        <f>ISNUMBER(MATCH(C194,'Pareto Analysis'!$A$48:$A$114,0))</f>
        <v>1</v>
      </c>
      <c r="H194" s="67" t="str">
        <f t="shared" si="2"/>
        <v>👍</v>
      </c>
      <c r="I194" s="69"/>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row>
    <row r="195" ht="13.5" customHeight="1" spans="1:55">
      <c r="A195" s="20"/>
      <c r="B195" s="62">
        <v>38284</v>
      </c>
      <c r="C195" s="63" t="s">
        <v>1184</v>
      </c>
      <c r="D195" s="63" t="s">
        <v>1156</v>
      </c>
      <c r="E195" s="64">
        <v>27</v>
      </c>
      <c r="F195" s="65"/>
      <c r="G195" s="66" t="b">
        <f>ISNUMBER(MATCH(C195,'Pareto Analysis'!$A$48:$A$114,0))</f>
        <v>1</v>
      </c>
      <c r="H195" s="67" t="str">
        <f t="shared" si="2"/>
        <v>👍</v>
      </c>
      <c r="I195" s="69"/>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row>
    <row r="196" ht="13.5" customHeight="1" spans="1:55">
      <c r="A196" s="20"/>
      <c r="B196" s="62">
        <v>38285</v>
      </c>
      <c r="C196" s="63" t="s">
        <v>1212</v>
      </c>
      <c r="D196" s="63" t="s">
        <v>1156</v>
      </c>
      <c r="E196" s="64">
        <v>27</v>
      </c>
      <c r="F196" s="65"/>
      <c r="G196" s="66" t="b">
        <f>ISNUMBER(MATCH(C196,'Pareto Analysis'!$A$48:$A$114,0))</f>
        <v>1</v>
      </c>
      <c r="H196" s="67" t="str">
        <f t="shared" si="2"/>
        <v>👍</v>
      </c>
      <c r="I196" s="69"/>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row>
    <row r="197" ht="13.5" customHeight="1" spans="1:55">
      <c r="A197" s="20"/>
      <c r="B197" s="62">
        <v>38277</v>
      </c>
      <c r="C197" s="63" t="s">
        <v>1188</v>
      </c>
      <c r="D197" s="63" t="s">
        <v>1156</v>
      </c>
      <c r="E197" s="64">
        <v>28</v>
      </c>
      <c r="F197" s="65"/>
      <c r="G197" s="66" t="b">
        <f>ISNUMBER(MATCH(C197,'Pareto Analysis'!$A$48:$A$114,0))</f>
        <v>1</v>
      </c>
      <c r="H197" s="67" t="str">
        <f t="shared" si="2"/>
        <v>👍</v>
      </c>
      <c r="I197" s="69"/>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row>
    <row r="198" ht="13.5" customHeight="1" spans="1:55">
      <c r="A198" s="20"/>
      <c r="B198" s="62">
        <v>38286</v>
      </c>
      <c r="C198" s="63" t="s">
        <v>1184</v>
      </c>
      <c r="D198" s="63" t="s">
        <v>1156</v>
      </c>
      <c r="E198" s="64">
        <v>28</v>
      </c>
      <c r="F198" s="65"/>
      <c r="G198" s="66" t="b">
        <f>ISNUMBER(MATCH(C198,'Pareto Analysis'!$A$48:$A$114,0))</f>
        <v>1</v>
      </c>
      <c r="H198" s="67" t="str">
        <f t="shared" si="2"/>
        <v>👍</v>
      </c>
      <c r="I198" s="69"/>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row>
    <row r="199" ht="13.5" customHeight="1" spans="1:55">
      <c r="A199" s="20"/>
      <c r="B199" s="62">
        <v>38281</v>
      </c>
      <c r="C199" s="63" t="s">
        <v>1207</v>
      </c>
      <c r="D199" s="63" t="s">
        <v>1151</v>
      </c>
      <c r="E199" s="64">
        <v>29</v>
      </c>
      <c r="F199" s="65"/>
      <c r="G199" s="66" t="b">
        <f>ISNUMBER(MATCH(C199,'Pareto Analysis'!$A$48:$A$114,0))</f>
        <v>1</v>
      </c>
      <c r="H199" s="67" t="str">
        <f t="shared" ref="H199:H262" si="3">IF(G199=TRUE,"👍",IF(G199=FALSE,"👎",""))</f>
        <v>👍</v>
      </c>
      <c r="I199" s="69"/>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row>
    <row r="200" ht="13.5" customHeight="1" spans="1:55">
      <c r="A200" s="20"/>
      <c r="B200" s="62">
        <v>38277</v>
      </c>
      <c r="C200" s="63" t="s">
        <v>1201</v>
      </c>
      <c r="D200" s="63" t="s">
        <v>1153</v>
      </c>
      <c r="E200" s="64">
        <v>30</v>
      </c>
      <c r="F200" s="65"/>
      <c r="G200" s="66" t="b">
        <f>ISNUMBER(MATCH(C200,'Pareto Analysis'!$A$48:$A$114,0))</f>
        <v>1</v>
      </c>
      <c r="H200" s="67" t="str">
        <f t="shared" si="3"/>
        <v>👍</v>
      </c>
      <c r="I200" s="69"/>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row>
    <row r="201" ht="13.5" customHeight="1" spans="1:55">
      <c r="A201" s="20"/>
      <c r="B201" s="62">
        <v>38284</v>
      </c>
      <c r="C201" s="63" t="s">
        <v>1207</v>
      </c>
      <c r="D201" s="63" t="s">
        <v>1151</v>
      </c>
      <c r="E201" s="64">
        <v>30</v>
      </c>
      <c r="F201" s="65"/>
      <c r="G201" s="66" t="b">
        <f>ISNUMBER(MATCH(C201,'Pareto Analysis'!$A$48:$A$114,0))</f>
        <v>1</v>
      </c>
      <c r="H201" s="67" t="str">
        <f t="shared" si="3"/>
        <v>👍</v>
      </c>
      <c r="I201" s="69"/>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row>
    <row r="202" ht="13.5" customHeight="1" spans="1:55">
      <c r="A202" s="20"/>
      <c r="B202" s="62">
        <v>38273</v>
      </c>
      <c r="C202" s="63" t="s">
        <v>1205</v>
      </c>
      <c r="D202" s="63" t="s">
        <v>1153</v>
      </c>
      <c r="E202" s="64">
        <v>31</v>
      </c>
      <c r="F202" s="65"/>
      <c r="G202" s="66" t="b">
        <f>ISNUMBER(MATCH(C202,'Pareto Analysis'!$A$48:$A$114,0))</f>
        <v>1</v>
      </c>
      <c r="H202" s="67" t="str">
        <f t="shared" si="3"/>
        <v>👍</v>
      </c>
      <c r="I202" s="69"/>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row>
    <row r="203" ht="13.5" customHeight="1" spans="1:55">
      <c r="A203" s="20"/>
      <c r="B203" s="62">
        <v>38274</v>
      </c>
      <c r="C203" s="63" t="s">
        <v>1204</v>
      </c>
      <c r="D203" s="63" t="s">
        <v>1153</v>
      </c>
      <c r="E203" s="64">
        <v>31</v>
      </c>
      <c r="F203" s="65"/>
      <c r="G203" s="66" t="b">
        <f>ISNUMBER(MATCH(C203,'Pareto Analysis'!$A$48:$A$114,0))</f>
        <v>1</v>
      </c>
      <c r="H203" s="67" t="str">
        <f t="shared" si="3"/>
        <v>👍</v>
      </c>
      <c r="I203" s="69"/>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row>
    <row r="204" ht="13.5" customHeight="1" spans="1:55">
      <c r="A204" s="20"/>
      <c r="B204" s="62">
        <v>38274</v>
      </c>
      <c r="C204" s="63" t="s">
        <v>1211</v>
      </c>
      <c r="D204" s="63" t="s">
        <v>1153</v>
      </c>
      <c r="E204" s="64">
        <v>31</v>
      </c>
      <c r="F204" s="65"/>
      <c r="G204" s="66" t="b">
        <f>ISNUMBER(MATCH(C204,'Pareto Analysis'!$A$48:$A$114,0))</f>
        <v>1</v>
      </c>
      <c r="H204" s="67" t="str">
        <f t="shared" si="3"/>
        <v>👍</v>
      </c>
      <c r="I204" s="69"/>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row>
    <row r="205" ht="13.5" customHeight="1" spans="1:55">
      <c r="A205" s="20"/>
      <c r="B205" s="62">
        <v>38281</v>
      </c>
      <c r="C205" s="63" t="s">
        <v>1213</v>
      </c>
      <c r="D205" s="63" t="s">
        <v>1153</v>
      </c>
      <c r="E205" s="64">
        <v>31</v>
      </c>
      <c r="F205" s="65"/>
      <c r="G205" s="66" t="b">
        <f>ISNUMBER(MATCH(C205,'Pareto Analysis'!$A$48:$A$114,0))</f>
        <v>1</v>
      </c>
      <c r="H205" s="67" t="str">
        <f t="shared" si="3"/>
        <v>👍</v>
      </c>
      <c r="I205" s="69"/>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row>
    <row r="206" ht="13.5" customHeight="1" spans="1:55">
      <c r="A206" s="20"/>
      <c r="B206" s="62">
        <v>38285</v>
      </c>
      <c r="C206" s="63" t="s">
        <v>1214</v>
      </c>
      <c r="D206" s="63" t="s">
        <v>1156</v>
      </c>
      <c r="E206" s="64">
        <v>32</v>
      </c>
      <c r="F206" s="65"/>
      <c r="G206" s="66" t="b">
        <f>ISNUMBER(MATCH(C206,'Pareto Analysis'!$A$48:$A$114,0))</f>
        <v>1</v>
      </c>
      <c r="H206" s="67" t="str">
        <f t="shared" si="3"/>
        <v>👍</v>
      </c>
      <c r="I206" s="69"/>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row>
    <row r="207" ht="13.5" customHeight="1" spans="1:55">
      <c r="A207" s="20"/>
      <c r="B207" s="62">
        <v>38273</v>
      </c>
      <c r="C207" s="63" t="s">
        <v>1215</v>
      </c>
      <c r="D207" s="63" t="s">
        <v>1153</v>
      </c>
      <c r="E207" s="64">
        <v>33</v>
      </c>
      <c r="F207" s="65"/>
      <c r="G207" s="66" t="b">
        <f>ISNUMBER(MATCH(C207,'Pareto Analysis'!$A$48:$A$114,0))</f>
        <v>1</v>
      </c>
      <c r="H207" s="67" t="str">
        <f t="shared" si="3"/>
        <v>👍</v>
      </c>
      <c r="I207" s="69"/>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row>
    <row r="208" ht="13.5" customHeight="1" spans="1:55">
      <c r="A208" s="20"/>
      <c r="B208" s="62">
        <v>38286</v>
      </c>
      <c r="C208" s="63" t="s">
        <v>1195</v>
      </c>
      <c r="D208" s="63" t="s">
        <v>1151</v>
      </c>
      <c r="E208" s="64">
        <v>33</v>
      </c>
      <c r="F208" s="65"/>
      <c r="G208" s="66" t="b">
        <f>ISNUMBER(MATCH(C208,'Pareto Analysis'!$A$48:$A$114,0))</f>
        <v>1</v>
      </c>
      <c r="H208" s="67" t="str">
        <f t="shared" si="3"/>
        <v>👍</v>
      </c>
      <c r="I208" s="69"/>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row>
    <row r="209" ht="13.5" customHeight="1" spans="1:55">
      <c r="A209" s="20"/>
      <c r="B209" s="62">
        <v>38286</v>
      </c>
      <c r="C209" s="63" t="s">
        <v>1207</v>
      </c>
      <c r="D209" s="63" t="s">
        <v>1151</v>
      </c>
      <c r="E209" s="64">
        <v>33</v>
      </c>
      <c r="F209" s="65"/>
      <c r="G209" s="66" t="b">
        <f>ISNUMBER(MATCH(C209,'Pareto Analysis'!$A$48:$A$114,0))</f>
        <v>1</v>
      </c>
      <c r="H209" s="67" t="str">
        <f t="shared" si="3"/>
        <v>👍</v>
      </c>
      <c r="I209" s="69"/>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row>
    <row r="210" ht="13.5" customHeight="1" spans="1:55">
      <c r="A210" s="20"/>
      <c r="B210" s="62">
        <v>38271</v>
      </c>
      <c r="C210" s="63" t="s">
        <v>1216</v>
      </c>
      <c r="D210" s="63" t="s">
        <v>1153</v>
      </c>
      <c r="E210" s="64">
        <v>34</v>
      </c>
      <c r="F210" s="65"/>
      <c r="G210" s="66" t="b">
        <f>ISNUMBER(MATCH(C210,'Pareto Analysis'!$A$48:$A$114,0))</f>
        <v>1</v>
      </c>
      <c r="H210" s="67" t="str">
        <f t="shared" si="3"/>
        <v>👍</v>
      </c>
      <c r="I210" s="69"/>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row>
    <row r="211" ht="13.5" customHeight="1" spans="1:55">
      <c r="A211" s="20"/>
      <c r="B211" s="62">
        <v>38280</v>
      </c>
      <c r="C211" s="63" t="s">
        <v>1217</v>
      </c>
      <c r="D211" s="63" t="s">
        <v>1156</v>
      </c>
      <c r="E211" s="64">
        <v>34</v>
      </c>
      <c r="F211" s="65"/>
      <c r="G211" s="66" t="b">
        <f>ISNUMBER(MATCH(C211,'Pareto Analysis'!$A$48:$A$114,0))</f>
        <v>1</v>
      </c>
      <c r="H211" s="67" t="str">
        <f t="shared" si="3"/>
        <v>👍</v>
      </c>
      <c r="I211" s="69"/>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row>
    <row r="212" ht="13.5" customHeight="1" spans="1:55">
      <c r="A212" s="20"/>
      <c r="B212" s="62">
        <v>38281</v>
      </c>
      <c r="C212" s="63" t="s">
        <v>1217</v>
      </c>
      <c r="D212" s="63" t="s">
        <v>1156</v>
      </c>
      <c r="E212" s="64">
        <v>34</v>
      </c>
      <c r="F212" s="65"/>
      <c r="G212" s="66" t="b">
        <f>ISNUMBER(MATCH(C212,'Pareto Analysis'!$A$48:$A$114,0))</f>
        <v>1</v>
      </c>
      <c r="H212" s="67" t="str">
        <f t="shared" si="3"/>
        <v>👍</v>
      </c>
      <c r="I212" s="69"/>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row>
    <row r="213" ht="13.5" customHeight="1" spans="1:55">
      <c r="A213" s="20"/>
      <c r="B213" s="62">
        <v>38281</v>
      </c>
      <c r="C213" s="63" t="s">
        <v>1188</v>
      </c>
      <c r="D213" s="63" t="s">
        <v>1156</v>
      </c>
      <c r="E213" s="64">
        <v>34</v>
      </c>
      <c r="F213" s="65"/>
      <c r="G213" s="66" t="b">
        <f>ISNUMBER(MATCH(C213,'Pareto Analysis'!$A$48:$A$114,0))</f>
        <v>1</v>
      </c>
      <c r="H213" s="67" t="str">
        <f t="shared" si="3"/>
        <v>👍</v>
      </c>
      <c r="I213" s="69"/>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row>
    <row r="214" ht="13.5" customHeight="1" spans="1:55">
      <c r="A214" s="20"/>
      <c r="B214" s="62">
        <v>38284</v>
      </c>
      <c r="C214" s="63" t="s">
        <v>1217</v>
      </c>
      <c r="D214" s="63" t="s">
        <v>1156</v>
      </c>
      <c r="E214" s="64">
        <v>34</v>
      </c>
      <c r="F214" s="65"/>
      <c r="G214" s="66" t="b">
        <f>ISNUMBER(MATCH(C214,'Pareto Analysis'!$A$48:$A$114,0))</f>
        <v>1</v>
      </c>
      <c r="H214" s="67" t="str">
        <f t="shared" si="3"/>
        <v>👍</v>
      </c>
      <c r="I214" s="69"/>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row>
    <row r="215" ht="13.5" customHeight="1" spans="1:55">
      <c r="A215" s="20"/>
      <c r="B215" s="62">
        <v>38285</v>
      </c>
      <c r="C215" s="63" t="s">
        <v>1217</v>
      </c>
      <c r="D215" s="63" t="s">
        <v>1156</v>
      </c>
      <c r="E215" s="64">
        <v>34</v>
      </c>
      <c r="F215" s="65"/>
      <c r="G215" s="66" t="b">
        <f>ISNUMBER(MATCH(C215,'Pareto Analysis'!$A$48:$A$114,0))</f>
        <v>1</v>
      </c>
      <c r="H215" s="67" t="str">
        <f t="shared" si="3"/>
        <v>👍</v>
      </c>
      <c r="I215" s="69"/>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row>
    <row r="216" ht="13.5" customHeight="1" spans="1:55">
      <c r="A216" s="20"/>
      <c r="B216" s="62">
        <v>38285</v>
      </c>
      <c r="C216" s="63" t="s">
        <v>1201</v>
      </c>
      <c r="D216" s="63" t="s">
        <v>1153</v>
      </c>
      <c r="E216" s="64">
        <v>34</v>
      </c>
      <c r="F216" s="65"/>
      <c r="G216" s="66" t="b">
        <f>ISNUMBER(MATCH(C216,'Pareto Analysis'!$A$48:$A$114,0))</f>
        <v>1</v>
      </c>
      <c r="H216" s="67" t="str">
        <f t="shared" si="3"/>
        <v>👍</v>
      </c>
      <c r="I216" s="69"/>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row>
    <row r="217" ht="13.5" customHeight="1" spans="1:55">
      <c r="A217" s="20"/>
      <c r="B217" s="62">
        <v>38286</v>
      </c>
      <c r="C217" s="63" t="s">
        <v>1217</v>
      </c>
      <c r="D217" s="63" t="s">
        <v>1156</v>
      </c>
      <c r="E217" s="64">
        <v>34</v>
      </c>
      <c r="F217" s="65"/>
      <c r="G217" s="66" t="b">
        <f>ISNUMBER(MATCH(C217,'Pareto Analysis'!$A$48:$A$114,0))</f>
        <v>1</v>
      </c>
      <c r="H217" s="67" t="str">
        <f t="shared" si="3"/>
        <v>👍</v>
      </c>
      <c r="I217" s="69"/>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row>
    <row r="218" ht="13.5" customHeight="1" spans="1:55">
      <c r="A218" s="20"/>
      <c r="B218" s="62">
        <v>38286</v>
      </c>
      <c r="C218" s="63" t="s">
        <v>1201</v>
      </c>
      <c r="D218" s="63" t="s">
        <v>1153</v>
      </c>
      <c r="E218" s="64">
        <v>34</v>
      </c>
      <c r="F218" s="65"/>
      <c r="G218" s="66" t="b">
        <f>ISNUMBER(MATCH(C218,'Pareto Analysis'!$A$48:$A$114,0))</f>
        <v>1</v>
      </c>
      <c r="H218" s="67" t="str">
        <f t="shared" si="3"/>
        <v>👍</v>
      </c>
      <c r="I218" s="69"/>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row>
    <row r="219" ht="13.5" customHeight="1" spans="1:55">
      <c r="A219" s="20"/>
      <c r="B219" s="62">
        <v>38273</v>
      </c>
      <c r="C219" s="63" t="s">
        <v>1176</v>
      </c>
      <c r="D219" s="63" t="s">
        <v>1153</v>
      </c>
      <c r="E219" s="64">
        <v>35</v>
      </c>
      <c r="F219" s="65"/>
      <c r="G219" s="66" t="b">
        <f>ISNUMBER(MATCH(C219,'Pareto Analysis'!$A$48:$A$114,0))</f>
        <v>1</v>
      </c>
      <c r="H219" s="67" t="str">
        <f t="shared" si="3"/>
        <v>👍</v>
      </c>
      <c r="I219" s="69"/>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c r="AP219" s="20"/>
      <c r="AQ219" s="20"/>
      <c r="AR219" s="20"/>
      <c r="AS219" s="20"/>
      <c r="AT219" s="20"/>
      <c r="AU219" s="20"/>
      <c r="AV219" s="20"/>
      <c r="AW219" s="20"/>
      <c r="AX219" s="20"/>
      <c r="AY219" s="20"/>
      <c r="AZ219" s="20"/>
      <c r="BA219" s="20"/>
      <c r="BB219" s="20"/>
      <c r="BC219" s="20"/>
    </row>
    <row r="220" ht="13.5" customHeight="1" spans="1:55">
      <c r="A220" s="20"/>
      <c r="B220" s="62">
        <v>38280</v>
      </c>
      <c r="C220" s="63" t="s">
        <v>1218</v>
      </c>
      <c r="D220" s="63" t="s">
        <v>1151</v>
      </c>
      <c r="E220" s="64">
        <v>36</v>
      </c>
      <c r="F220" s="65"/>
      <c r="G220" s="66" t="b">
        <f>ISNUMBER(MATCH(C220,'Pareto Analysis'!$A$48:$A$114,0))</f>
        <v>0</v>
      </c>
      <c r="H220" s="67" t="str">
        <f t="shared" si="3"/>
        <v>👎</v>
      </c>
      <c r="I220" s="69"/>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c r="AP220" s="20"/>
      <c r="AQ220" s="20"/>
      <c r="AR220" s="20"/>
      <c r="AS220" s="20"/>
      <c r="AT220" s="20"/>
      <c r="AU220" s="20"/>
      <c r="AV220" s="20"/>
      <c r="AW220" s="20"/>
      <c r="AX220" s="20"/>
      <c r="AY220" s="20"/>
      <c r="AZ220" s="20"/>
      <c r="BA220" s="20"/>
      <c r="BB220" s="20"/>
      <c r="BC220" s="20"/>
    </row>
    <row r="221" ht="13.5" customHeight="1" spans="1:55">
      <c r="A221" s="20"/>
      <c r="B221" s="62">
        <v>38284</v>
      </c>
      <c r="C221" s="63" t="s">
        <v>1197</v>
      </c>
      <c r="D221" s="63" t="s">
        <v>1156</v>
      </c>
      <c r="E221" s="64">
        <v>36</v>
      </c>
      <c r="F221" s="65"/>
      <c r="G221" s="66" t="b">
        <f>ISNUMBER(MATCH(C221,'Pareto Analysis'!$A$48:$A$114,0))</f>
        <v>1</v>
      </c>
      <c r="H221" s="67" t="str">
        <f t="shared" si="3"/>
        <v>👍</v>
      </c>
      <c r="I221" s="69"/>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row>
    <row r="222" ht="13.5" customHeight="1" spans="1:55">
      <c r="A222" s="20"/>
      <c r="B222" s="62">
        <v>38284</v>
      </c>
      <c r="C222" s="63" t="s">
        <v>1218</v>
      </c>
      <c r="D222" s="63" t="s">
        <v>1151</v>
      </c>
      <c r="E222" s="64">
        <v>36</v>
      </c>
      <c r="F222" s="65"/>
      <c r="G222" s="66" t="b">
        <f>ISNUMBER(MATCH(C222,'Pareto Analysis'!$A$48:$A$114,0))</f>
        <v>0</v>
      </c>
      <c r="H222" s="67" t="str">
        <f t="shared" si="3"/>
        <v>👎</v>
      </c>
      <c r="I222" s="69"/>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row>
    <row r="223" ht="13.5" customHeight="1" spans="1:55">
      <c r="A223" s="20"/>
      <c r="B223" s="62">
        <v>38285</v>
      </c>
      <c r="C223" s="63" t="s">
        <v>1219</v>
      </c>
      <c r="D223" s="63" t="s">
        <v>1156</v>
      </c>
      <c r="E223" s="64">
        <v>36</v>
      </c>
      <c r="F223" s="65"/>
      <c r="G223" s="66" t="b">
        <f>ISNUMBER(MATCH(C223,'Pareto Analysis'!$A$48:$A$114,0))</f>
        <v>1</v>
      </c>
      <c r="H223" s="67" t="str">
        <f t="shared" si="3"/>
        <v>👍</v>
      </c>
      <c r="I223" s="69"/>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row>
    <row r="224" ht="13.5" customHeight="1" spans="1:55">
      <c r="A224" s="20"/>
      <c r="B224" s="62">
        <v>38274</v>
      </c>
      <c r="C224" s="63" t="s">
        <v>1176</v>
      </c>
      <c r="D224" s="63" t="s">
        <v>1153</v>
      </c>
      <c r="E224" s="64">
        <v>37</v>
      </c>
      <c r="F224" s="65"/>
      <c r="G224" s="66" t="b">
        <f>ISNUMBER(MATCH(C224,'Pareto Analysis'!$A$48:$A$114,0))</f>
        <v>1</v>
      </c>
      <c r="H224" s="67" t="str">
        <f t="shared" si="3"/>
        <v>👍</v>
      </c>
      <c r="I224" s="69"/>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row>
    <row r="225" ht="13.5" customHeight="1" spans="1:55">
      <c r="A225" s="20"/>
      <c r="B225" s="62">
        <v>38286</v>
      </c>
      <c r="C225" s="63" t="s">
        <v>1192</v>
      </c>
      <c r="D225" s="63" t="s">
        <v>1151</v>
      </c>
      <c r="E225" s="64">
        <v>37</v>
      </c>
      <c r="F225" s="65"/>
      <c r="G225" s="66" t="b">
        <f>ISNUMBER(MATCH(C225,'Pareto Analysis'!$A$48:$A$114,0))</f>
        <v>1</v>
      </c>
      <c r="H225" s="67" t="str">
        <f t="shared" si="3"/>
        <v>👍</v>
      </c>
      <c r="I225" s="69"/>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c r="AP225" s="20"/>
      <c r="AQ225" s="20"/>
      <c r="AR225" s="20"/>
      <c r="AS225" s="20"/>
      <c r="AT225" s="20"/>
      <c r="AU225" s="20"/>
      <c r="AV225" s="20"/>
      <c r="AW225" s="20"/>
      <c r="AX225" s="20"/>
      <c r="AY225" s="20"/>
      <c r="AZ225" s="20"/>
      <c r="BA225" s="20"/>
      <c r="BB225" s="20"/>
      <c r="BC225" s="20"/>
    </row>
    <row r="226" ht="13.5" customHeight="1" spans="1:55">
      <c r="A226" s="20"/>
      <c r="B226" s="62">
        <v>38273</v>
      </c>
      <c r="C226" s="63" t="s">
        <v>1220</v>
      </c>
      <c r="D226" s="63" t="s">
        <v>1153</v>
      </c>
      <c r="E226" s="64">
        <v>38</v>
      </c>
      <c r="F226" s="65"/>
      <c r="G226" s="66" t="b">
        <f>ISNUMBER(MATCH(C226,'Pareto Analysis'!$A$48:$A$114,0))</f>
        <v>1</v>
      </c>
      <c r="H226" s="67" t="str">
        <f t="shared" si="3"/>
        <v>👍</v>
      </c>
      <c r="I226" s="69"/>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row>
    <row r="227" ht="13.5" customHeight="1" spans="1:55">
      <c r="A227" s="20"/>
      <c r="B227" s="62">
        <v>38274</v>
      </c>
      <c r="C227" s="63" t="s">
        <v>1174</v>
      </c>
      <c r="D227" s="63" t="s">
        <v>1156</v>
      </c>
      <c r="E227" s="64">
        <v>38</v>
      </c>
      <c r="F227" s="65"/>
      <c r="G227" s="66" t="b">
        <f>ISNUMBER(MATCH(C227,'Pareto Analysis'!$A$48:$A$114,0))</f>
        <v>1</v>
      </c>
      <c r="H227" s="67" t="str">
        <f t="shared" si="3"/>
        <v>👍</v>
      </c>
      <c r="I227" s="69"/>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c r="AP227" s="20"/>
      <c r="AQ227" s="20"/>
      <c r="AR227" s="20"/>
      <c r="AS227" s="20"/>
      <c r="AT227" s="20"/>
      <c r="AU227" s="20"/>
      <c r="AV227" s="20"/>
      <c r="AW227" s="20"/>
      <c r="AX227" s="20"/>
      <c r="AY227" s="20"/>
      <c r="AZ227" s="20"/>
      <c r="BA227" s="20"/>
      <c r="BB227" s="20"/>
      <c r="BC227" s="20"/>
    </row>
    <row r="228" ht="13.5" customHeight="1" spans="1:55">
      <c r="A228" s="20"/>
      <c r="B228" s="62">
        <v>38274</v>
      </c>
      <c r="C228" s="63" t="s">
        <v>1215</v>
      </c>
      <c r="D228" s="63" t="s">
        <v>1153</v>
      </c>
      <c r="E228" s="64">
        <v>38</v>
      </c>
      <c r="F228" s="65"/>
      <c r="G228" s="66" t="b">
        <f>ISNUMBER(MATCH(C228,'Pareto Analysis'!$A$48:$A$114,0))</f>
        <v>1</v>
      </c>
      <c r="H228" s="67" t="str">
        <f t="shared" si="3"/>
        <v>👍</v>
      </c>
      <c r="I228" s="69"/>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row>
    <row r="229" ht="13.5" customHeight="1" spans="1:55">
      <c r="A229" s="20"/>
      <c r="B229" s="62">
        <v>38284</v>
      </c>
      <c r="C229" s="63" t="s">
        <v>1195</v>
      </c>
      <c r="D229" s="63" t="s">
        <v>1151</v>
      </c>
      <c r="E229" s="64">
        <v>38</v>
      </c>
      <c r="F229" s="65"/>
      <c r="G229" s="66" t="b">
        <f>ISNUMBER(MATCH(C229,'Pareto Analysis'!$A$48:$A$114,0))</f>
        <v>1</v>
      </c>
      <c r="H229" s="67" t="str">
        <f t="shared" si="3"/>
        <v>👍</v>
      </c>
      <c r="I229" s="69"/>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row>
    <row r="230" ht="13.5" customHeight="1" spans="1:55">
      <c r="A230" s="20"/>
      <c r="B230" s="62">
        <v>38285</v>
      </c>
      <c r="C230" s="63" t="s">
        <v>1149</v>
      </c>
      <c r="D230" s="63" t="s">
        <v>1148</v>
      </c>
      <c r="E230" s="64">
        <v>38.4</v>
      </c>
      <c r="F230" s="65"/>
      <c r="G230" s="66" t="b">
        <f>ISNUMBER(MATCH(C230,'Pareto Analysis'!$A$48:$A$114,0))</f>
        <v>1</v>
      </c>
      <c r="H230" s="67" t="str">
        <f t="shared" si="3"/>
        <v>👍</v>
      </c>
      <c r="I230" s="69"/>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row>
    <row r="231" ht="13.5" customHeight="1" spans="1:55">
      <c r="A231" s="20"/>
      <c r="B231" s="62">
        <v>38281</v>
      </c>
      <c r="C231" s="63" t="s">
        <v>1208</v>
      </c>
      <c r="D231" s="63" t="s">
        <v>1151</v>
      </c>
      <c r="E231" s="64">
        <v>39</v>
      </c>
      <c r="F231" s="65"/>
      <c r="G231" s="66" t="b">
        <f>ISNUMBER(MATCH(C231,'Pareto Analysis'!$A$48:$A$114,0))</f>
        <v>0</v>
      </c>
      <c r="H231" s="67" t="str">
        <f t="shared" si="3"/>
        <v>👎</v>
      </c>
      <c r="I231" s="69"/>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row>
    <row r="232" ht="13.5" customHeight="1" spans="1:55">
      <c r="A232" s="20"/>
      <c r="B232" s="62">
        <v>38270</v>
      </c>
      <c r="C232" s="63" t="s">
        <v>1221</v>
      </c>
      <c r="D232" s="63" t="s">
        <v>1153</v>
      </c>
      <c r="E232" s="64">
        <v>41</v>
      </c>
      <c r="F232" s="65"/>
      <c r="G232" s="66" t="b">
        <f>ISNUMBER(MATCH(C232,'Pareto Analysis'!$A$48:$A$114,0))</f>
        <v>1</v>
      </c>
      <c r="H232" s="67" t="str">
        <f t="shared" si="3"/>
        <v>👍</v>
      </c>
      <c r="I232" s="69"/>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row>
    <row r="233" ht="13.5" customHeight="1" spans="1:55">
      <c r="A233" s="20"/>
      <c r="B233" s="62">
        <v>38272</v>
      </c>
      <c r="C233" s="63" t="s">
        <v>1211</v>
      </c>
      <c r="D233" s="63" t="s">
        <v>1153</v>
      </c>
      <c r="E233" s="64">
        <v>41</v>
      </c>
      <c r="F233" s="65"/>
      <c r="G233" s="66" t="b">
        <f>ISNUMBER(MATCH(C233,'Pareto Analysis'!$A$48:$A$114,0))</f>
        <v>1</v>
      </c>
      <c r="H233" s="67" t="str">
        <f t="shared" si="3"/>
        <v>👍</v>
      </c>
      <c r="I233" s="69"/>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row>
    <row r="234" ht="13.5" customHeight="1" spans="1:55">
      <c r="A234" s="20"/>
      <c r="B234" s="62">
        <v>38273</v>
      </c>
      <c r="C234" s="63" t="s">
        <v>1211</v>
      </c>
      <c r="D234" s="63" t="s">
        <v>1153</v>
      </c>
      <c r="E234" s="64">
        <v>41</v>
      </c>
      <c r="F234" s="65"/>
      <c r="G234" s="66" t="b">
        <f>ISNUMBER(MATCH(C234,'Pareto Analysis'!$A$48:$A$114,0))</f>
        <v>1</v>
      </c>
      <c r="H234" s="67" t="str">
        <f t="shared" si="3"/>
        <v>👍</v>
      </c>
      <c r="I234" s="69"/>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row>
    <row r="235" ht="13.5" customHeight="1" spans="1:55">
      <c r="A235" s="20"/>
      <c r="B235" s="62">
        <v>38277</v>
      </c>
      <c r="C235" s="63" t="s">
        <v>1215</v>
      </c>
      <c r="D235" s="63" t="s">
        <v>1153</v>
      </c>
      <c r="E235" s="64">
        <v>41</v>
      </c>
      <c r="F235" s="65"/>
      <c r="G235" s="66" t="b">
        <f>ISNUMBER(MATCH(C235,'Pareto Analysis'!$A$48:$A$114,0))</f>
        <v>1</v>
      </c>
      <c r="H235" s="67" t="str">
        <f t="shared" si="3"/>
        <v>👍</v>
      </c>
      <c r="I235" s="69"/>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row>
    <row r="236" ht="13.5" customHeight="1" spans="1:55">
      <c r="A236" s="20"/>
      <c r="B236" s="62">
        <v>38274</v>
      </c>
      <c r="C236" s="63" t="s">
        <v>1201</v>
      </c>
      <c r="D236" s="63" t="s">
        <v>1153</v>
      </c>
      <c r="E236" s="64">
        <v>42</v>
      </c>
      <c r="F236" s="65"/>
      <c r="G236" s="66" t="b">
        <f>ISNUMBER(MATCH(C236,'Pareto Analysis'!$A$48:$A$114,0))</f>
        <v>1</v>
      </c>
      <c r="H236" s="67" t="str">
        <f t="shared" si="3"/>
        <v>👍</v>
      </c>
      <c r="I236" s="69"/>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row>
    <row r="237" ht="13.5" customHeight="1" spans="1:55">
      <c r="A237" s="20"/>
      <c r="B237" s="62">
        <v>38277</v>
      </c>
      <c r="C237" s="63" t="s">
        <v>1204</v>
      </c>
      <c r="D237" s="63" t="s">
        <v>1153</v>
      </c>
      <c r="E237" s="64">
        <v>42</v>
      </c>
      <c r="F237" s="65"/>
      <c r="G237" s="66" t="b">
        <f>ISNUMBER(MATCH(C237,'Pareto Analysis'!$A$48:$A$114,0))</f>
        <v>1</v>
      </c>
      <c r="H237" s="67" t="str">
        <f t="shared" si="3"/>
        <v>👍</v>
      </c>
      <c r="I237" s="69"/>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row>
    <row r="238" ht="13.5" customHeight="1" spans="1:55">
      <c r="A238" s="20"/>
      <c r="B238" s="62">
        <v>38285</v>
      </c>
      <c r="C238" s="63" t="s">
        <v>1188</v>
      </c>
      <c r="D238" s="63" t="s">
        <v>1156</v>
      </c>
      <c r="E238" s="64">
        <v>42</v>
      </c>
      <c r="F238" s="65"/>
      <c r="G238" s="66" t="b">
        <f>ISNUMBER(MATCH(C238,'Pareto Analysis'!$A$48:$A$114,0))</f>
        <v>1</v>
      </c>
      <c r="H238" s="67" t="str">
        <f t="shared" si="3"/>
        <v>👍</v>
      </c>
      <c r="I238" s="69"/>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row>
    <row r="239" ht="13.5" customHeight="1" spans="1:55">
      <c r="A239" s="20"/>
      <c r="B239" s="62">
        <v>38277</v>
      </c>
      <c r="C239" s="63" t="s">
        <v>1211</v>
      </c>
      <c r="D239" s="63" t="s">
        <v>1153</v>
      </c>
      <c r="E239" s="64">
        <v>43</v>
      </c>
      <c r="F239" s="65"/>
      <c r="G239" s="66" t="b">
        <f>ISNUMBER(MATCH(C239,'Pareto Analysis'!$A$48:$A$114,0))</f>
        <v>1</v>
      </c>
      <c r="H239" s="67" t="str">
        <f t="shared" si="3"/>
        <v>👍</v>
      </c>
      <c r="I239" s="69"/>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row>
    <row r="240" ht="13.5" customHeight="1" spans="1:55">
      <c r="A240" s="20"/>
      <c r="B240" s="62">
        <v>38271</v>
      </c>
      <c r="C240" s="63" t="s">
        <v>1222</v>
      </c>
      <c r="D240" s="63" t="s">
        <v>1153</v>
      </c>
      <c r="E240" s="64">
        <v>44</v>
      </c>
      <c r="F240" s="65"/>
      <c r="G240" s="66" t="b">
        <f>ISNUMBER(MATCH(C240,'Pareto Analysis'!$A$48:$A$114,0))</f>
        <v>1</v>
      </c>
      <c r="H240" s="67" t="str">
        <f t="shared" si="3"/>
        <v>👍</v>
      </c>
      <c r="I240" s="69"/>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row>
    <row r="241" ht="13.5" customHeight="1" spans="1:55">
      <c r="A241" s="20"/>
      <c r="B241" s="62">
        <v>38274</v>
      </c>
      <c r="C241" s="63" t="s">
        <v>1202</v>
      </c>
      <c r="D241" s="63" t="s">
        <v>1153</v>
      </c>
      <c r="E241" s="64">
        <v>44</v>
      </c>
      <c r="F241" s="65"/>
      <c r="G241" s="66" t="b">
        <f>ISNUMBER(MATCH(C241,'Pareto Analysis'!$A$48:$A$114,0))</f>
        <v>1</v>
      </c>
      <c r="H241" s="67" t="str">
        <f t="shared" si="3"/>
        <v>👍</v>
      </c>
      <c r="I241" s="69"/>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row>
    <row r="242" ht="13.5" customHeight="1" spans="1:55">
      <c r="A242" s="20"/>
      <c r="B242" s="62">
        <v>38271</v>
      </c>
      <c r="C242" s="63" t="s">
        <v>1223</v>
      </c>
      <c r="D242" s="63" t="s">
        <v>1148</v>
      </c>
      <c r="E242" s="64">
        <v>44.8</v>
      </c>
      <c r="F242" s="65"/>
      <c r="G242" s="66" t="b">
        <f>ISNUMBER(MATCH(C242,'Pareto Analysis'!$A$48:$A$114,0))</f>
        <v>1</v>
      </c>
      <c r="H242" s="67" t="str">
        <f t="shared" si="3"/>
        <v>👍</v>
      </c>
      <c r="I242" s="69"/>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c r="AP242" s="20"/>
      <c r="AQ242" s="20"/>
      <c r="AR242" s="20"/>
      <c r="AS242" s="20"/>
      <c r="AT242" s="20"/>
      <c r="AU242" s="20"/>
      <c r="AV242" s="20"/>
      <c r="AW242" s="20"/>
      <c r="AX242" s="20"/>
      <c r="AY242" s="20"/>
      <c r="AZ242" s="20"/>
      <c r="BA242" s="20"/>
      <c r="BB242" s="20"/>
      <c r="BC242" s="20"/>
    </row>
    <row r="243" ht="13.5" customHeight="1" spans="1:55">
      <c r="A243" s="20"/>
      <c r="B243" s="62">
        <v>38272</v>
      </c>
      <c r="C243" s="63" t="s">
        <v>1170</v>
      </c>
      <c r="D243" s="63" t="s">
        <v>1153</v>
      </c>
      <c r="E243" s="64">
        <v>45</v>
      </c>
      <c r="F243" s="65"/>
      <c r="G243" s="66" t="b">
        <f>ISNUMBER(MATCH(C243,'Pareto Analysis'!$A$48:$A$114,0))</f>
        <v>0</v>
      </c>
      <c r="H243" s="67" t="str">
        <f t="shared" si="3"/>
        <v>👎</v>
      </c>
      <c r="I243" s="69"/>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row>
    <row r="244" ht="13.5" customHeight="1" spans="1:55">
      <c r="A244" s="20"/>
      <c r="B244" s="62">
        <v>38271</v>
      </c>
      <c r="C244" s="63" t="s">
        <v>1221</v>
      </c>
      <c r="D244" s="63" t="s">
        <v>1153</v>
      </c>
      <c r="E244" s="64">
        <v>46</v>
      </c>
      <c r="F244" s="65"/>
      <c r="G244" s="66" t="b">
        <f>ISNUMBER(MATCH(C244,'Pareto Analysis'!$A$48:$A$114,0))</f>
        <v>1</v>
      </c>
      <c r="H244" s="67" t="str">
        <f t="shared" si="3"/>
        <v>👍</v>
      </c>
      <c r="I244" s="69"/>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c r="AP244" s="20"/>
      <c r="AQ244" s="20"/>
      <c r="AR244" s="20"/>
      <c r="AS244" s="20"/>
      <c r="AT244" s="20"/>
      <c r="AU244" s="20"/>
      <c r="AV244" s="20"/>
      <c r="AW244" s="20"/>
      <c r="AX244" s="20"/>
      <c r="AY244" s="20"/>
      <c r="AZ244" s="20"/>
      <c r="BA244" s="20"/>
      <c r="BB244" s="20"/>
      <c r="BC244" s="20"/>
    </row>
    <row r="245" ht="13.5" customHeight="1" spans="1:55">
      <c r="A245" s="20"/>
      <c r="B245" s="62">
        <v>38274</v>
      </c>
      <c r="C245" s="63" t="s">
        <v>1205</v>
      </c>
      <c r="D245" s="63" t="s">
        <v>1153</v>
      </c>
      <c r="E245" s="64">
        <v>46</v>
      </c>
      <c r="F245" s="65"/>
      <c r="G245" s="66" t="b">
        <f>ISNUMBER(MATCH(C245,'Pareto Analysis'!$A$48:$A$114,0))</f>
        <v>1</v>
      </c>
      <c r="H245" s="67" t="str">
        <f t="shared" si="3"/>
        <v>👍</v>
      </c>
      <c r="I245" s="69"/>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row>
    <row r="246" ht="13.5" customHeight="1" spans="1:55">
      <c r="A246" s="20"/>
      <c r="B246" s="62">
        <v>38286</v>
      </c>
      <c r="C246" s="63" t="s">
        <v>1176</v>
      </c>
      <c r="D246" s="63" t="s">
        <v>1153</v>
      </c>
      <c r="E246" s="64">
        <v>46</v>
      </c>
      <c r="F246" s="65"/>
      <c r="G246" s="66" t="b">
        <f>ISNUMBER(MATCH(C246,'Pareto Analysis'!$A$48:$A$114,0))</f>
        <v>1</v>
      </c>
      <c r="H246" s="67" t="str">
        <f t="shared" si="3"/>
        <v>👍</v>
      </c>
      <c r="I246" s="69"/>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row>
    <row r="247" ht="13.5" customHeight="1" spans="1:55">
      <c r="A247" s="20"/>
      <c r="B247" s="62">
        <v>38273</v>
      </c>
      <c r="C247" s="63" t="s">
        <v>1201</v>
      </c>
      <c r="D247" s="63" t="s">
        <v>1153</v>
      </c>
      <c r="E247" s="64">
        <v>47</v>
      </c>
      <c r="F247" s="65"/>
      <c r="G247" s="66" t="b">
        <f>ISNUMBER(MATCH(C247,'Pareto Analysis'!$A$48:$A$114,0))</f>
        <v>1</v>
      </c>
      <c r="H247" s="67" t="str">
        <f t="shared" si="3"/>
        <v>👍</v>
      </c>
      <c r="I247" s="69"/>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row>
    <row r="248" ht="13.5" customHeight="1" spans="1:55">
      <c r="A248" s="20"/>
      <c r="B248" s="62">
        <v>38281</v>
      </c>
      <c r="C248" s="63" t="s">
        <v>1224</v>
      </c>
      <c r="D248" s="63" t="s">
        <v>1151</v>
      </c>
      <c r="E248" s="64">
        <v>47</v>
      </c>
      <c r="F248" s="65"/>
      <c r="G248" s="66" t="b">
        <f>ISNUMBER(MATCH(C248,'Pareto Analysis'!$A$48:$A$114,0))</f>
        <v>1</v>
      </c>
      <c r="H248" s="67" t="str">
        <f t="shared" si="3"/>
        <v>👍</v>
      </c>
      <c r="I248" s="69"/>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row>
    <row r="249" ht="13.5" customHeight="1" spans="1:55">
      <c r="A249" s="20"/>
      <c r="B249" s="62">
        <v>38284</v>
      </c>
      <c r="C249" s="63" t="s">
        <v>1224</v>
      </c>
      <c r="D249" s="63" t="s">
        <v>1151</v>
      </c>
      <c r="E249" s="64">
        <v>47</v>
      </c>
      <c r="F249" s="65"/>
      <c r="G249" s="66" t="b">
        <f>ISNUMBER(MATCH(C249,'Pareto Analysis'!$A$48:$A$114,0))</f>
        <v>1</v>
      </c>
      <c r="H249" s="67" t="str">
        <f t="shared" si="3"/>
        <v>👍</v>
      </c>
      <c r="I249" s="69"/>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row>
    <row r="250" ht="13.5" customHeight="1" spans="1:55">
      <c r="A250" s="20"/>
      <c r="B250" s="62">
        <v>38281</v>
      </c>
      <c r="C250" s="63" t="s">
        <v>1225</v>
      </c>
      <c r="D250" s="63" t="s">
        <v>1156</v>
      </c>
      <c r="E250" s="64">
        <v>48</v>
      </c>
      <c r="F250" s="65"/>
      <c r="G250" s="66" t="b">
        <f>ISNUMBER(MATCH(C250,'Pareto Analysis'!$A$48:$A$114,0))</f>
        <v>0</v>
      </c>
      <c r="H250" s="67" t="str">
        <f t="shared" si="3"/>
        <v>👎</v>
      </c>
      <c r="I250" s="69"/>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c r="AP250" s="20"/>
      <c r="AQ250" s="20"/>
      <c r="AR250" s="20"/>
      <c r="AS250" s="20"/>
      <c r="AT250" s="20"/>
      <c r="AU250" s="20"/>
      <c r="AV250" s="20"/>
      <c r="AW250" s="20"/>
      <c r="AX250" s="20"/>
      <c r="AY250" s="20"/>
      <c r="AZ250" s="20"/>
      <c r="BA250" s="20"/>
      <c r="BB250" s="20"/>
      <c r="BC250" s="20"/>
    </row>
    <row r="251" ht="13.5" customHeight="1" spans="1:55">
      <c r="A251" s="20"/>
      <c r="B251" s="62">
        <v>38286</v>
      </c>
      <c r="C251" s="63" t="s">
        <v>1226</v>
      </c>
      <c r="D251" s="63" t="s">
        <v>1153</v>
      </c>
      <c r="E251" s="64">
        <v>48</v>
      </c>
      <c r="F251" s="65"/>
      <c r="G251" s="66" t="b">
        <f>ISNUMBER(MATCH(C251,'Pareto Analysis'!$A$48:$A$114,0))</f>
        <v>1</v>
      </c>
      <c r="H251" s="67" t="str">
        <f t="shared" si="3"/>
        <v>👍</v>
      </c>
      <c r="I251" s="69"/>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c r="AP251" s="20"/>
      <c r="AQ251" s="20"/>
      <c r="AR251" s="20"/>
      <c r="AS251" s="20"/>
      <c r="AT251" s="20"/>
      <c r="AU251" s="20"/>
      <c r="AV251" s="20"/>
      <c r="AW251" s="20"/>
      <c r="AX251" s="20"/>
      <c r="AY251" s="20"/>
      <c r="AZ251" s="20"/>
      <c r="BA251" s="20"/>
      <c r="BB251" s="20"/>
      <c r="BC251" s="20"/>
    </row>
    <row r="252" ht="13.5" customHeight="1" spans="1:55">
      <c r="A252" s="20"/>
      <c r="B252" s="62">
        <v>38274</v>
      </c>
      <c r="C252" s="63" t="s">
        <v>1225</v>
      </c>
      <c r="D252" s="63" t="s">
        <v>1156</v>
      </c>
      <c r="E252" s="64">
        <v>49</v>
      </c>
      <c r="F252" s="65"/>
      <c r="G252" s="66" t="b">
        <f>ISNUMBER(MATCH(C252,'Pareto Analysis'!$A$48:$A$114,0))</f>
        <v>0</v>
      </c>
      <c r="H252" s="67" t="str">
        <f t="shared" si="3"/>
        <v>👎</v>
      </c>
      <c r="I252" s="69"/>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row>
    <row r="253" ht="13.5" customHeight="1" spans="1:55">
      <c r="A253" s="20"/>
      <c r="B253" s="62">
        <v>38277</v>
      </c>
      <c r="C253" s="63" t="s">
        <v>1176</v>
      </c>
      <c r="D253" s="63" t="s">
        <v>1153</v>
      </c>
      <c r="E253" s="64">
        <v>49</v>
      </c>
      <c r="F253" s="65"/>
      <c r="G253" s="66" t="b">
        <f>ISNUMBER(MATCH(C253,'Pareto Analysis'!$A$48:$A$114,0))</f>
        <v>1</v>
      </c>
      <c r="H253" s="67" t="str">
        <f t="shared" si="3"/>
        <v>👍</v>
      </c>
      <c r="I253" s="69"/>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row>
    <row r="254" ht="13.5" customHeight="1" spans="1:55">
      <c r="A254" s="20"/>
      <c r="B254" s="62">
        <v>38285</v>
      </c>
      <c r="C254" s="63" t="s">
        <v>1227</v>
      </c>
      <c r="D254" s="63" t="s">
        <v>1151</v>
      </c>
      <c r="E254" s="64">
        <v>49</v>
      </c>
      <c r="F254" s="65"/>
      <c r="G254" s="66" t="b">
        <f>ISNUMBER(MATCH(C254,'Pareto Analysis'!$A$48:$A$114,0))</f>
        <v>1</v>
      </c>
      <c r="H254" s="67" t="str">
        <f t="shared" si="3"/>
        <v>👍</v>
      </c>
      <c r="I254" s="69"/>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row>
    <row r="255" ht="13.5" customHeight="1" spans="1:55">
      <c r="A255" s="20"/>
      <c r="B255" s="62">
        <v>38280</v>
      </c>
      <c r="C255" s="63" t="s">
        <v>1228</v>
      </c>
      <c r="D255" s="63" t="s">
        <v>1151</v>
      </c>
      <c r="E255" s="64">
        <v>51</v>
      </c>
      <c r="F255" s="65"/>
      <c r="G255" s="66" t="b">
        <f>ISNUMBER(MATCH(C255,'Pareto Analysis'!$A$48:$A$114,0))</f>
        <v>1</v>
      </c>
      <c r="H255" s="67" t="str">
        <f t="shared" si="3"/>
        <v>👍</v>
      </c>
      <c r="I255" s="69"/>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row>
    <row r="256" ht="13.5" customHeight="1" spans="1:55">
      <c r="A256" s="20"/>
      <c r="B256" s="62">
        <v>38281</v>
      </c>
      <c r="C256" s="63" t="s">
        <v>1228</v>
      </c>
      <c r="D256" s="63" t="s">
        <v>1151</v>
      </c>
      <c r="E256" s="64">
        <v>51</v>
      </c>
      <c r="F256" s="65"/>
      <c r="G256" s="66" t="b">
        <f>ISNUMBER(MATCH(C256,'Pareto Analysis'!$A$48:$A$114,0))</f>
        <v>1</v>
      </c>
      <c r="H256" s="67" t="str">
        <f t="shared" si="3"/>
        <v>👍</v>
      </c>
      <c r="I256" s="69"/>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row>
    <row r="257" ht="13.5" customHeight="1" spans="1:55">
      <c r="A257" s="20"/>
      <c r="B257" s="62">
        <v>38284</v>
      </c>
      <c r="C257" s="63" t="s">
        <v>1192</v>
      </c>
      <c r="D257" s="63" t="s">
        <v>1151</v>
      </c>
      <c r="E257" s="64">
        <v>52</v>
      </c>
      <c r="F257" s="65"/>
      <c r="G257" s="66" t="b">
        <f>ISNUMBER(MATCH(C257,'Pareto Analysis'!$A$48:$A$114,0))</f>
        <v>1</v>
      </c>
      <c r="H257" s="67" t="str">
        <f t="shared" si="3"/>
        <v>👍</v>
      </c>
      <c r="I257" s="69"/>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row>
    <row r="258" ht="13.5" customHeight="1" spans="1:55">
      <c r="A258" s="20"/>
      <c r="B258" s="62">
        <v>38286</v>
      </c>
      <c r="C258" s="63" t="s">
        <v>1188</v>
      </c>
      <c r="D258" s="63" t="s">
        <v>1156</v>
      </c>
      <c r="E258" s="64">
        <v>52</v>
      </c>
      <c r="F258" s="65"/>
      <c r="G258" s="66" t="b">
        <f>ISNUMBER(MATCH(C258,'Pareto Analysis'!$A$48:$A$114,0))</f>
        <v>1</v>
      </c>
      <c r="H258" s="67" t="str">
        <f t="shared" si="3"/>
        <v>👍</v>
      </c>
      <c r="I258" s="69"/>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row>
    <row r="259" ht="13.5" customHeight="1" spans="1:55">
      <c r="A259" s="20"/>
      <c r="B259" s="62">
        <v>38270</v>
      </c>
      <c r="C259" s="63" t="s">
        <v>1213</v>
      </c>
      <c r="D259" s="63" t="s">
        <v>1153</v>
      </c>
      <c r="E259" s="64">
        <v>53</v>
      </c>
      <c r="F259" s="65"/>
      <c r="G259" s="66" t="b">
        <f>ISNUMBER(MATCH(C259,'Pareto Analysis'!$A$48:$A$114,0))</f>
        <v>1</v>
      </c>
      <c r="H259" s="67" t="str">
        <f t="shared" si="3"/>
        <v>👍</v>
      </c>
      <c r="I259" s="69"/>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row>
    <row r="260" ht="13.5" customHeight="1" spans="1:55">
      <c r="A260" s="20"/>
      <c r="B260" s="62">
        <v>38272</v>
      </c>
      <c r="C260" s="63" t="s">
        <v>1221</v>
      </c>
      <c r="D260" s="63" t="s">
        <v>1153</v>
      </c>
      <c r="E260" s="64">
        <v>53</v>
      </c>
      <c r="F260" s="65"/>
      <c r="G260" s="66" t="b">
        <f>ISNUMBER(MATCH(C260,'Pareto Analysis'!$A$48:$A$114,0))</f>
        <v>1</v>
      </c>
      <c r="H260" s="67" t="str">
        <f t="shared" si="3"/>
        <v>👍</v>
      </c>
      <c r="I260" s="69"/>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row>
    <row r="261" ht="13.5" customHeight="1" spans="1:55">
      <c r="A261" s="20"/>
      <c r="B261" s="62">
        <v>38280</v>
      </c>
      <c r="C261" s="63" t="s">
        <v>1204</v>
      </c>
      <c r="D261" s="63" t="s">
        <v>1153</v>
      </c>
      <c r="E261" s="64">
        <v>53</v>
      </c>
      <c r="F261" s="65"/>
      <c r="G261" s="66" t="b">
        <f>ISNUMBER(MATCH(C261,'Pareto Analysis'!$A$48:$A$114,0))</f>
        <v>1</v>
      </c>
      <c r="H261" s="67" t="str">
        <f t="shared" si="3"/>
        <v>👍</v>
      </c>
      <c r="I261" s="69"/>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row>
    <row r="262" ht="13.5" customHeight="1" spans="1:55">
      <c r="A262" s="20"/>
      <c r="B262" s="62">
        <v>38281</v>
      </c>
      <c r="C262" s="63" t="s">
        <v>1185</v>
      </c>
      <c r="D262" s="63" t="s">
        <v>1153</v>
      </c>
      <c r="E262" s="64">
        <v>53</v>
      </c>
      <c r="F262" s="65"/>
      <c r="G262" s="66" t="b">
        <f>ISNUMBER(MATCH(C262,'Pareto Analysis'!$A$48:$A$114,0))</f>
        <v>1</v>
      </c>
      <c r="H262" s="67" t="str">
        <f t="shared" si="3"/>
        <v>👍</v>
      </c>
      <c r="I262" s="69"/>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row>
    <row r="263" ht="13.5" customHeight="1" spans="1:55">
      <c r="A263" s="20"/>
      <c r="B263" s="62">
        <v>38270</v>
      </c>
      <c r="C263" s="63" t="s">
        <v>1197</v>
      </c>
      <c r="D263" s="63" t="s">
        <v>1156</v>
      </c>
      <c r="E263" s="64">
        <v>54</v>
      </c>
      <c r="F263" s="65"/>
      <c r="G263" s="66" t="b">
        <f>ISNUMBER(MATCH(C263,'Pareto Analysis'!$A$48:$A$114,0))</f>
        <v>1</v>
      </c>
      <c r="H263" s="67" t="str">
        <f t="shared" ref="H263:H326" si="4">IF(G263=TRUE,"👍",IF(G263=FALSE,"👎",""))</f>
        <v>👍</v>
      </c>
      <c r="I263" s="69"/>
      <c r="J263" s="20"/>
      <c r="K263" s="20"/>
      <c r="L263" s="20"/>
      <c r="M263" s="20"/>
      <c r="N263" s="20"/>
      <c r="O263" s="20"/>
      <c r="P263" s="20"/>
      <c r="Q263" s="20"/>
      <c r="R263" s="20"/>
      <c r="S263" s="20"/>
      <c r="T263" s="20"/>
      <c r="U263" s="20"/>
      <c r="V263" s="20"/>
      <c r="W263" s="20"/>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row>
    <row r="264" ht="13.5" customHeight="1" spans="1:55">
      <c r="A264" s="20"/>
      <c r="B264" s="62">
        <v>38285</v>
      </c>
      <c r="C264" s="63" t="s">
        <v>1229</v>
      </c>
      <c r="D264" s="63" t="s">
        <v>1153</v>
      </c>
      <c r="E264" s="64">
        <v>54</v>
      </c>
      <c r="F264" s="65"/>
      <c r="G264" s="66" t="b">
        <f>ISNUMBER(MATCH(C264,'Pareto Analysis'!$A$48:$A$114,0))</f>
        <v>0</v>
      </c>
      <c r="H264" s="67" t="str">
        <f t="shared" si="4"/>
        <v>👎</v>
      </c>
      <c r="I264" s="69"/>
      <c r="J264" s="20"/>
      <c r="K264" s="20"/>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row>
    <row r="265" ht="13.5" customHeight="1" spans="1:55">
      <c r="A265" s="20"/>
      <c r="B265" s="62">
        <v>38271</v>
      </c>
      <c r="C265" s="63" t="s">
        <v>1197</v>
      </c>
      <c r="D265" s="63" t="s">
        <v>1156</v>
      </c>
      <c r="E265" s="64">
        <v>56</v>
      </c>
      <c r="F265" s="65"/>
      <c r="G265" s="66" t="b">
        <f>ISNUMBER(MATCH(C265,'Pareto Analysis'!$A$48:$A$114,0))</f>
        <v>1</v>
      </c>
      <c r="H265" s="67" t="str">
        <f t="shared" si="4"/>
        <v>👍</v>
      </c>
      <c r="I265" s="69"/>
      <c r="J265" s="20"/>
      <c r="K265" s="20"/>
      <c r="L265" s="20"/>
      <c r="M265" s="20"/>
      <c r="N265" s="20"/>
      <c r="O265" s="20"/>
      <c r="P265" s="20"/>
      <c r="Q265" s="20"/>
      <c r="R265" s="20"/>
      <c r="S265" s="20"/>
      <c r="T265" s="20"/>
      <c r="U265" s="20"/>
      <c r="V265" s="20"/>
      <c r="W265" s="20"/>
      <c r="X265" s="20"/>
      <c r="Y265" s="20"/>
      <c r="Z265" s="20"/>
      <c r="AA265" s="20"/>
      <c r="AB265" s="20"/>
      <c r="AC265" s="20"/>
      <c r="AD265" s="20"/>
      <c r="AE265" s="20"/>
      <c r="AF265" s="20"/>
      <c r="AG265" s="20"/>
      <c r="AH265" s="20"/>
      <c r="AI265" s="20"/>
      <c r="AJ265" s="20"/>
      <c r="AK265" s="20"/>
      <c r="AL265" s="20"/>
      <c r="AM265" s="20"/>
      <c r="AN265" s="20"/>
      <c r="AO265" s="20"/>
      <c r="AP265" s="20"/>
      <c r="AQ265" s="20"/>
      <c r="AR265" s="20"/>
      <c r="AS265" s="20"/>
      <c r="AT265" s="20"/>
      <c r="AU265" s="20"/>
      <c r="AV265" s="20"/>
      <c r="AW265" s="20"/>
      <c r="AX265" s="20"/>
      <c r="AY265" s="20"/>
      <c r="AZ265" s="20"/>
      <c r="BA265" s="20"/>
      <c r="BB265" s="20"/>
      <c r="BC265" s="20"/>
    </row>
    <row r="266" ht="13.5" customHeight="1" spans="1:55">
      <c r="A266" s="20"/>
      <c r="B266" s="62">
        <v>38272</v>
      </c>
      <c r="C266" s="63" t="s">
        <v>1197</v>
      </c>
      <c r="D266" s="63" t="s">
        <v>1156</v>
      </c>
      <c r="E266" s="64">
        <v>56</v>
      </c>
      <c r="F266" s="65"/>
      <c r="G266" s="66" t="b">
        <f>ISNUMBER(MATCH(C266,'Pareto Analysis'!$A$48:$A$114,0))</f>
        <v>1</v>
      </c>
      <c r="H266" s="67" t="str">
        <f t="shared" si="4"/>
        <v>👍</v>
      </c>
      <c r="I266" s="69"/>
      <c r="J266" s="20"/>
      <c r="K266" s="20"/>
      <c r="L266" s="20"/>
      <c r="M266" s="20"/>
      <c r="N266" s="20"/>
      <c r="O266" s="20"/>
      <c r="P266" s="20"/>
      <c r="Q266" s="20"/>
      <c r="R266" s="20"/>
      <c r="S266" s="20"/>
      <c r="T266" s="20"/>
      <c r="U266" s="20"/>
      <c r="V266" s="20"/>
      <c r="W266" s="20"/>
      <c r="X266" s="20"/>
      <c r="Y266" s="20"/>
      <c r="Z266" s="20"/>
      <c r="AA266" s="20"/>
      <c r="AB266" s="20"/>
      <c r="AC266" s="20"/>
      <c r="AD266" s="20"/>
      <c r="AE266" s="20"/>
      <c r="AF266" s="20"/>
      <c r="AG266" s="20"/>
      <c r="AH266" s="20"/>
      <c r="AI266" s="20"/>
      <c r="AJ266" s="20"/>
      <c r="AK266" s="20"/>
      <c r="AL266" s="20"/>
      <c r="AM266" s="20"/>
      <c r="AN266" s="20"/>
      <c r="AO266" s="20"/>
      <c r="AP266" s="20"/>
      <c r="AQ266" s="20"/>
      <c r="AR266" s="20"/>
      <c r="AS266" s="20"/>
      <c r="AT266" s="20"/>
      <c r="AU266" s="20"/>
      <c r="AV266" s="20"/>
      <c r="AW266" s="20"/>
      <c r="AX266" s="20"/>
      <c r="AY266" s="20"/>
      <c r="AZ266" s="20"/>
      <c r="BA266" s="20"/>
      <c r="BB266" s="20"/>
      <c r="BC266" s="20"/>
    </row>
    <row r="267" ht="13.5" customHeight="1" spans="1:55">
      <c r="A267" s="20"/>
      <c r="B267" s="62">
        <v>38273</v>
      </c>
      <c r="C267" s="63" t="s">
        <v>1197</v>
      </c>
      <c r="D267" s="63" t="s">
        <v>1156</v>
      </c>
      <c r="E267" s="64">
        <v>56</v>
      </c>
      <c r="F267" s="65"/>
      <c r="G267" s="66" t="b">
        <f>ISNUMBER(MATCH(C267,'Pareto Analysis'!$A$48:$A$114,0))</f>
        <v>1</v>
      </c>
      <c r="H267" s="67" t="str">
        <f t="shared" si="4"/>
        <v>👍</v>
      </c>
      <c r="I267" s="69"/>
      <c r="J267" s="20"/>
      <c r="K267" s="20"/>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row>
    <row r="268" ht="13.5" customHeight="1" spans="1:55">
      <c r="A268" s="20"/>
      <c r="B268" s="62">
        <v>38281</v>
      </c>
      <c r="C268" s="63" t="s">
        <v>1215</v>
      </c>
      <c r="D268" s="63" t="s">
        <v>1153</v>
      </c>
      <c r="E268" s="64">
        <v>57</v>
      </c>
      <c r="F268" s="65"/>
      <c r="G268" s="66" t="b">
        <f>ISNUMBER(MATCH(C268,'Pareto Analysis'!$A$48:$A$114,0))</f>
        <v>1</v>
      </c>
      <c r="H268" s="67" t="str">
        <f t="shared" si="4"/>
        <v>👍</v>
      </c>
      <c r="I268" s="69"/>
      <c r="J268" s="20"/>
      <c r="K268" s="20"/>
      <c r="L268" s="20"/>
      <c r="M268" s="20"/>
      <c r="N268" s="20"/>
      <c r="O268" s="20"/>
      <c r="P268" s="20"/>
      <c r="Q268" s="20"/>
      <c r="R268" s="20"/>
      <c r="S268" s="20"/>
      <c r="T268" s="20"/>
      <c r="U268" s="20"/>
      <c r="V268" s="20"/>
      <c r="W268" s="20"/>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row>
    <row r="269" ht="13.5" customHeight="1" spans="1:55">
      <c r="A269" s="20"/>
      <c r="B269" s="62">
        <v>38271</v>
      </c>
      <c r="C269" s="63" t="s">
        <v>1213</v>
      </c>
      <c r="D269" s="63" t="s">
        <v>1153</v>
      </c>
      <c r="E269" s="64">
        <v>58</v>
      </c>
      <c r="F269" s="65"/>
      <c r="G269" s="66" t="b">
        <f>ISNUMBER(MATCH(C269,'Pareto Analysis'!$A$48:$A$114,0))</f>
        <v>1</v>
      </c>
      <c r="H269" s="67" t="str">
        <f t="shared" si="4"/>
        <v>👍</v>
      </c>
      <c r="I269" s="69"/>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row>
    <row r="270" ht="13.5" customHeight="1" spans="1:55">
      <c r="A270" s="20"/>
      <c r="B270" s="62">
        <v>38274</v>
      </c>
      <c r="C270" s="63" t="s">
        <v>1230</v>
      </c>
      <c r="D270" s="63" t="s">
        <v>1153</v>
      </c>
      <c r="E270" s="64">
        <v>58</v>
      </c>
      <c r="F270" s="65"/>
      <c r="G270" s="66" t="b">
        <f>ISNUMBER(MATCH(C270,'Pareto Analysis'!$A$48:$A$114,0))</f>
        <v>1</v>
      </c>
      <c r="H270" s="67" t="str">
        <f t="shared" si="4"/>
        <v>👍</v>
      </c>
      <c r="I270" s="69"/>
      <c r="J270" s="20"/>
      <c r="K270" s="20"/>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row>
    <row r="271" ht="13.5" customHeight="1" spans="1:55">
      <c r="A271" s="20"/>
      <c r="B271" s="62">
        <v>38274</v>
      </c>
      <c r="C271" s="63" t="s">
        <v>1197</v>
      </c>
      <c r="D271" s="63" t="s">
        <v>1156</v>
      </c>
      <c r="E271" s="64">
        <v>58</v>
      </c>
      <c r="F271" s="65"/>
      <c r="G271" s="66" t="b">
        <f>ISNUMBER(MATCH(C271,'Pareto Analysis'!$A$48:$A$114,0))</f>
        <v>1</v>
      </c>
      <c r="H271" s="67" t="str">
        <f t="shared" si="4"/>
        <v>👍</v>
      </c>
      <c r="I271" s="69"/>
      <c r="J271" s="20"/>
      <c r="K271" s="20"/>
      <c r="L271" s="20"/>
      <c r="M271" s="20"/>
      <c r="N271" s="20"/>
      <c r="O271" s="20"/>
      <c r="P271" s="20"/>
      <c r="Q271" s="20"/>
      <c r="R271" s="20"/>
      <c r="S271" s="20"/>
      <c r="T271" s="20"/>
      <c r="U271" s="20"/>
      <c r="V271" s="20"/>
      <c r="W271" s="20"/>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row>
    <row r="272" ht="13.5" customHeight="1" spans="1:55">
      <c r="A272" s="20"/>
      <c r="B272" s="62">
        <v>38285</v>
      </c>
      <c r="C272" s="63" t="s">
        <v>1211</v>
      </c>
      <c r="D272" s="63" t="s">
        <v>1153</v>
      </c>
      <c r="E272" s="64">
        <v>63</v>
      </c>
      <c r="F272" s="65"/>
      <c r="G272" s="66" t="b">
        <f>ISNUMBER(MATCH(C272,'Pareto Analysis'!$A$48:$A$114,0))</f>
        <v>1</v>
      </c>
      <c r="H272" s="67" t="str">
        <f t="shared" si="4"/>
        <v>👍</v>
      </c>
      <c r="I272" s="69"/>
      <c r="J272" s="20"/>
      <c r="K272" s="20"/>
      <c r="L272" s="20"/>
      <c r="M272" s="20"/>
      <c r="N272" s="20"/>
      <c r="O272" s="20"/>
      <c r="P272" s="20"/>
      <c r="Q272" s="20"/>
      <c r="R272" s="20"/>
      <c r="S272" s="20"/>
      <c r="T272" s="20"/>
      <c r="U272" s="20"/>
      <c r="V272" s="20"/>
      <c r="W272" s="20"/>
      <c r="X272" s="20"/>
      <c r="Y272" s="20"/>
      <c r="Z272" s="20"/>
      <c r="AA272" s="20"/>
      <c r="AB272" s="20"/>
      <c r="AC272" s="20"/>
      <c r="AD272" s="20"/>
      <c r="AE272" s="20"/>
      <c r="AF272" s="20"/>
      <c r="AG272" s="20"/>
      <c r="AH272" s="20"/>
      <c r="AI272" s="20"/>
      <c r="AJ272" s="20"/>
      <c r="AK272" s="20"/>
      <c r="AL272" s="20"/>
      <c r="AM272" s="20"/>
      <c r="AN272" s="20"/>
      <c r="AO272" s="20"/>
      <c r="AP272" s="20"/>
      <c r="AQ272" s="20"/>
      <c r="AR272" s="20"/>
      <c r="AS272" s="20"/>
      <c r="AT272" s="20"/>
      <c r="AU272" s="20"/>
      <c r="AV272" s="20"/>
      <c r="AW272" s="20"/>
      <c r="AX272" s="20"/>
      <c r="AY272" s="20"/>
      <c r="AZ272" s="20"/>
      <c r="BA272" s="20"/>
      <c r="BB272" s="20"/>
      <c r="BC272" s="20"/>
    </row>
    <row r="273" ht="13.5" customHeight="1" spans="1:55">
      <c r="A273" s="20"/>
      <c r="B273" s="62">
        <v>38280</v>
      </c>
      <c r="C273" s="63" t="s">
        <v>1211</v>
      </c>
      <c r="D273" s="63" t="s">
        <v>1153</v>
      </c>
      <c r="E273" s="64">
        <v>64</v>
      </c>
      <c r="F273" s="65"/>
      <c r="G273" s="66" t="b">
        <f>ISNUMBER(MATCH(C273,'Pareto Analysis'!$A$48:$A$114,0))</f>
        <v>1</v>
      </c>
      <c r="H273" s="67" t="str">
        <f t="shared" si="4"/>
        <v>👍</v>
      </c>
      <c r="I273" s="69"/>
      <c r="J273" s="20"/>
      <c r="K273" s="20"/>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0"/>
      <c r="AI273" s="20"/>
      <c r="AJ273" s="20"/>
      <c r="AK273" s="20"/>
      <c r="AL273" s="20"/>
      <c r="AM273" s="20"/>
      <c r="AN273" s="20"/>
      <c r="AO273" s="20"/>
      <c r="AP273" s="20"/>
      <c r="AQ273" s="20"/>
      <c r="AR273" s="20"/>
      <c r="AS273" s="20"/>
      <c r="AT273" s="20"/>
      <c r="AU273" s="20"/>
      <c r="AV273" s="20"/>
      <c r="AW273" s="20"/>
      <c r="AX273" s="20"/>
      <c r="AY273" s="20"/>
      <c r="AZ273" s="20"/>
      <c r="BA273" s="20"/>
      <c r="BB273" s="20"/>
      <c r="BC273" s="20"/>
    </row>
    <row r="274" ht="13.5" customHeight="1" spans="1:55">
      <c r="A274" s="20"/>
      <c r="B274" s="62">
        <v>38281</v>
      </c>
      <c r="C274" s="63" t="s">
        <v>1201</v>
      </c>
      <c r="D274" s="63" t="s">
        <v>1153</v>
      </c>
      <c r="E274" s="64">
        <v>64</v>
      </c>
      <c r="F274" s="65"/>
      <c r="G274" s="66" t="b">
        <f>ISNUMBER(MATCH(C274,'Pareto Analysis'!$A$48:$A$114,0))</f>
        <v>1</v>
      </c>
      <c r="H274" s="67" t="str">
        <f t="shared" si="4"/>
        <v>👍</v>
      </c>
      <c r="I274" s="69"/>
      <c r="J274" s="20"/>
      <c r="K274" s="20"/>
      <c r="L274" s="20"/>
      <c r="M274" s="20"/>
      <c r="N274" s="20"/>
      <c r="O274" s="20"/>
      <c r="P274" s="20"/>
      <c r="Q274" s="20"/>
      <c r="R274" s="20"/>
      <c r="S274" s="20"/>
      <c r="T274" s="20"/>
      <c r="U274" s="20"/>
      <c r="V274" s="20"/>
      <c r="W274" s="20"/>
      <c r="X274" s="20"/>
      <c r="Y274" s="20"/>
      <c r="Z274" s="20"/>
      <c r="AA274" s="20"/>
      <c r="AB274" s="20"/>
      <c r="AC274" s="20"/>
      <c r="AD274" s="20"/>
      <c r="AE274" s="20"/>
      <c r="AF274" s="20"/>
      <c r="AG274" s="20"/>
      <c r="AH274" s="20"/>
      <c r="AI274" s="20"/>
      <c r="AJ274" s="20"/>
      <c r="AK274" s="20"/>
      <c r="AL274" s="20"/>
      <c r="AM274" s="20"/>
      <c r="AN274" s="20"/>
      <c r="AO274" s="20"/>
      <c r="AP274" s="20"/>
      <c r="AQ274" s="20"/>
      <c r="AR274" s="20"/>
      <c r="AS274" s="20"/>
      <c r="AT274" s="20"/>
      <c r="AU274" s="20"/>
      <c r="AV274" s="20"/>
      <c r="AW274" s="20"/>
      <c r="AX274" s="20"/>
      <c r="AY274" s="20"/>
      <c r="AZ274" s="20"/>
      <c r="BA274" s="20"/>
      <c r="BB274" s="20"/>
      <c r="BC274" s="20"/>
    </row>
    <row r="275" ht="13.5" customHeight="1" spans="1:55">
      <c r="A275" s="20"/>
      <c r="B275" s="62">
        <v>38281</v>
      </c>
      <c r="C275" s="63" t="s">
        <v>1211</v>
      </c>
      <c r="D275" s="63" t="s">
        <v>1153</v>
      </c>
      <c r="E275" s="64">
        <v>64</v>
      </c>
      <c r="F275" s="65"/>
      <c r="G275" s="66" t="b">
        <f>ISNUMBER(MATCH(C275,'Pareto Analysis'!$A$48:$A$114,0))</f>
        <v>1</v>
      </c>
      <c r="H275" s="67" t="str">
        <f t="shared" si="4"/>
        <v>👍</v>
      </c>
      <c r="I275" s="69"/>
      <c r="J275" s="20"/>
      <c r="K275" s="20"/>
      <c r="L275" s="20"/>
      <c r="M275" s="20"/>
      <c r="N275" s="20"/>
      <c r="O275" s="20"/>
      <c r="P275" s="20"/>
      <c r="Q275" s="20"/>
      <c r="R275" s="20"/>
      <c r="S275" s="20"/>
      <c r="T275" s="20"/>
      <c r="U275" s="20"/>
      <c r="V275" s="20"/>
      <c r="W275" s="20"/>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row>
    <row r="276" ht="13.5" customHeight="1" spans="1:55">
      <c r="A276" s="20"/>
      <c r="B276" s="62">
        <v>38280</v>
      </c>
      <c r="C276" s="63" t="s">
        <v>1197</v>
      </c>
      <c r="D276" s="63" t="s">
        <v>1156</v>
      </c>
      <c r="E276" s="64">
        <v>65</v>
      </c>
      <c r="F276" s="65"/>
      <c r="G276" s="66" t="b">
        <f>ISNUMBER(MATCH(C276,'Pareto Analysis'!$A$48:$A$114,0))</f>
        <v>1</v>
      </c>
      <c r="H276" s="67" t="str">
        <f t="shared" si="4"/>
        <v>👍</v>
      </c>
      <c r="I276" s="69"/>
      <c r="J276" s="20"/>
      <c r="K276" s="20"/>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0"/>
      <c r="AI276" s="20"/>
      <c r="AJ276" s="20"/>
      <c r="AK276" s="20"/>
      <c r="AL276" s="20"/>
      <c r="AM276" s="20"/>
      <c r="AN276" s="20"/>
      <c r="AO276" s="20"/>
      <c r="AP276" s="20"/>
      <c r="AQ276" s="20"/>
      <c r="AR276" s="20"/>
      <c r="AS276" s="20"/>
      <c r="AT276" s="20"/>
      <c r="AU276" s="20"/>
      <c r="AV276" s="20"/>
      <c r="AW276" s="20"/>
      <c r="AX276" s="20"/>
      <c r="AY276" s="20"/>
      <c r="AZ276" s="20"/>
      <c r="BA276" s="20"/>
      <c r="BB276" s="20"/>
      <c r="BC276" s="20"/>
    </row>
    <row r="277" ht="13.5" customHeight="1" spans="1:55">
      <c r="A277" s="20"/>
      <c r="B277" s="62">
        <v>38281</v>
      </c>
      <c r="C277" s="63" t="s">
        <v>1197</v>
      </c>
      <c r="D277" s="63" t="s">
        <v>1156</v>
      </c>
      <c r="E277" s="64">
        <v>65</v>
      </c>
      <c r="F277" s="65"/>
      <c r="G277" s="66" t="b">
        <f>ISNUMBER(MATCH(C277,'Pareto Analysis'!$A$48:$A$114,0))</f>
        <v>1</v>
      </c>
      <c r="H277" s="67" t="str">
        <f t="shared" si="4"/>
        <v>👍</v>
      </c>
      <c r="I277" s="69"/>
      <c r="J277" s="20"/>
      <c r="K277" s="20"/>
      <c r="L277" s="20"/>
      <c r="M277" s="20"/>
      <c r="N277" s="20"/>
      <c r="O277" s="20"/>
      <c r="P277" s="20"/>
      <c r="Q277" s="20"/>
      <c r="R277" s="20"/>
      <c r="S277" s="20"/>
      <c r="T277" s="20"/>
      <c r="U277" s="20"/>
      <c r="V277" s="20"/>
      <c r="W277" s="20"/>
      <c r="X277" s="20"/>
      <c r="Y277" s="20"/>
      <c r="Z277" s="20"/>
      <c r="AA277" s="20"/>
      <c r="AB277" s="20"/>
      <c r="AC277" s="20"/>
      <c r="AD277" s="20"/>
      <c r="AE277" s="20"/>
      <c r="AF277" s="20"/>
      <c r="AG277" s="20"/>
      <c r="AH277" s="20"/>
      <c r="AI277" s="20"/>
      <c r="AJ277" s="20"/>
      <c r="AK277" s="20"/>
      <c r="AL277" s="20"/>
      <c r="AM277" s="20"/>
      <c r="AN277" s="20"/>
      <c r="AO277" s="20"/>
      <c r="AP277" s="20"/>
      <c r="AQ277" s="20"/>
      <c r="AR277" s="20"/>
      <c r="AS277" s="20"/>
      <c r="AT277" s="20"/>
      <c r="AU277" s="20"/>
      <c r="AV277" s="20"/>
      <c r="AW277" s="20"/>
      <c r="AX277" s="20"/>
      <c r="AY277" s="20"/>
      <c r="AZ277" s="20"/>
      <c r="BA277" s="20"/>
      <c r="BB277" s="20"/>
      <c r="BC277" s="20"/>
    </row>
    <row r="278" ht="13.5" customHeight="1" spans="1:55">
      <c r="A278" s="20"/>
      <c r="B278" s="62">
        <v>38281</v>
      </c>
      <c r="C278" s="63" t="s">
        <v>1204</v>
      </c>
      <c r="D278" s="63" t="s">
        <v>1153</v>
      </c>
      <c r="E278" s="64">
        <v>65</v>
      </c>
      <c r="F278" s="65"/>
      <c r="G278" s="66" t="b">
        <f>ISNUMBER(MATCH(C278,'Pareto Analysis'!$A$48:$A$114,0))</f>
        <v>1</v>
      </c>
      <c r="H278" s="67" t="str">
        <f t="shared" si="4"/>
        <v>👍</v>
      </c>
      <c r="I278" s="69"/>
      <c r="J278" s="20"/>
      <c r="K278" s="20"/>
      <c r="L278" s="20"/>
      <c r="M278" s="20"/>
      <c r="N278" s="20"/>
      <c r="O278" s="20"/>
      <c r="P278" s="20"/>
      <c r="Q278" s="20"/>
      <c r="R278" s="20"/>
      <c r="S278" s="20"/>
      <c r="T278" s="20"/>
      <c r="U278" s="20"/>
      <c r="V278" s="20"/>
      <c r="W278" s="20"/>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row>
    <row r="279" ht="13.5" customHeight="1" spans="1:55">
      <c r="A279" s="20"/>
      <c r="B279" s="62">
        <v>38270</v>
      </c>
      <c r="C279" s="63" t="s">
        <v>1231</v>
      </c>
      <c r="D279" s="63" t="s">
        <v>1153</v>
      </c>
      <c r="E279" s="64">
        <v>66</v>
      </c>
      <c r="F279" s="65"/>
      <c r="G279" s="66" t="b">
        <f>ISNUMBER(MATCH(C279,'Pareto Analysis'!$A$48:$A$114,0))</f>
        <v>1</v>
      </c>
      <c r="H279" s="67" t="str">
        <f t="shared" si="4"/>
        <v>👍</v>
      </c>
      <c r="I279" s="69"/>
      <c r="J279" s="20"/>
      <c r="K279" s="20"/>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row>
    <row r="280" ht="13.5" customHeight="1" spans="1:55">
      <c r="A280" s="20"/>
      <c r="B280" s="62">
        <v>38284</v>
      </c>
      <c r="C280" s="63" t="s">
        <v>1211</v>
      </c>
      <c r="D280" s="63" t="s">
        <v>1153</v>
      </c>
      <c r="E280" s="64">
        <v>66</v>
      </c>
      <c r="F280" s="65"/>
      <c r="G280" s="66" t="b">
        <f>ISNUMBER(MATCH(C280,'Pareto Analysis'!$A$48:$A$114,0))</f>
        <v>1</v>
      </c>
      <c r="H280" s="67" t="str">
        <f t="shared" si="4"/>
        <v>👍</v>
      </c>
      <c r="I280" s="69"/>
      <c r="J280" s="20"/>
      <c r="K280" s="20"/>
      <c r="L280" s="20"/>
      <c r="M280" s="20"/>
      <c r="N280" s="20"/>
      <c r="O280" s="20"/>
      <c r="P280" s="20"/>
      <c r="Q280" s="20"/>
      <c r="R280" s="20"/>
      <c r="S280" s="20"/>
      <c r="T280" s="20"/>
      <c r="U280" s="20"/>
      <c r="V280" s="20"/>
      <c r="W280" s="20"/>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row>
    <row r="281" ht="13.5" customHeight="1" spans="1:55">
      <c r="A281" s="20"/>
      <c r="B281" s="62">
        <v>38270</v>
      </c>
      <c r="C281" s="63" t="s">
        <v>1211</v>
      </c>
      <c r="D281" s="63" t="s">
        <v>1153</v>
      </c>
      <c r="E281" s="64">
        <v>67</v>
      </c>
      <c r="F281" s="65"/>
      <c r="G281" s="66" t="b">
        <f>ISNUMBER(MATCH(C281,'Pareto Analysis'!$A$48:$A$114,0))</f>
        <v>1</v>
      </c>
      <c r="H281" s="67" t="str">
        <f t="shared" si="4"/>
        <v>👍</v>
      </c>
      <c r="I281" s="69"/>
      <c r="J281" s="20"/>
      <c r="K281" s="20"/>
      <c r="L281" s="20"/>
      <c r="M281" s="20"/>
      <c r="N281" s="20"/>
      <c r="O281" s="20"/>
      <c r="P281" s="20"/>
      <c r="Q281" s="20"/>
      <c r="R281" s="20"/>
      <c r="S281" s="20"/>
      <c r="T281" s="20"/>
      <c r="U281" s="20"/>
      <c r="V281" s="20"/>
      <c r="W281" s="20"/>
      <c r="X281" s="20"/>
      <c r="Y281" s="20"/>
      <c r="Z281" s="20"/>
      <c r="AA281" s="20"/>
      <c r="AB281" s="20"/>
      <c r="AC281" s="20"/>
      <c r="AD281" s="20"/>
      <c r="AE281" s="20"/>
      <c r="AF281" s="20"/>
      <c r="AG281" s="20"/>
      <c r="AH281" s="20"/>
      <c r="AI281" s="20"/>
      <c r="AJ281" s="20"/>
      <c r="AK281" s="20"/>
      <c r="AL281" s="20"/>
      <c r="AM281" s="20"/>
      <c r="AN281" s="20"/>
      <c r="AO281" s="20"/>
      <c r="AP281" s="20"/>
      <c r="AQ281" s="20"/>
      <c r="AR281" s="20"/>
      <c r="AS281" s="20"/>
      <c r="AT281" s="20"/>
      <c r="AU281" s="20"/>
      <c r="AV281" s="20"/>
      <c r="AW281" s="20"/>
      <c r="AX281" s="20"/>
      <c r="AY281" s="20"/>
      <c r="AZ281" s="20"/>
      <c r="BA281" s="20"/>
      <c r="BB281" s="20"/>
      <c r="BC281" s="20"/>
    </row>
    <row r="282" ht="13.5" customHeight="1" spans="1:55">
      <c r="A282" s="20"/>
      <c r="B282" s="62">
        <v>38271</v>
      </c>
      <c r="C282" s="63" t="s">
        <v>1232</v>
      </c>
      <c r="D282" s="63" t="s">
        <v>1153</v>
      </c>
      <c r="E282" s="64">
        <v>68</v>
      </c>
      <c r="F282" s="65"/>
      <c r="G282" s="66" t="b">
        <f>ISNUMBER(MATCH(C282,'Pareto Analysis'!$A$48:$A$114,0))</f>
        <v>1</v>
      </c>
      <c r="H282" s="67" t="str">
        <f t="shared" si="4"/>
        <v>👍</v>
      </c>
      <c r="I282" s="69"/>
      <c r="J282" s="20"/>
      <c r="K282" s="20"/>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0"/>
      <c r="AI282" s="20"/>
      <c r="AJ282" s="20"/>
      <c r="AK282" s="20"/>
      <c r="AL282" s="20"/>
      <c r="AM282" s="20"/>
      <c r="AN282" s="20"/>
      <c r="AO282" s="20"/>
      <c r="AP282" s="20"/>
      <c r="AQ282" s="20"/>
      <c r="AR282" s="20"/>
      <c r="AS282" s="20"/>
      <c r="AT282" s="20"/>
      <c r="AU282" s="20"/>
      <c r="AV282" s="20"/>
      <c r="AW282" s="20"/>
      <c r="AX282" s="20"/>
      <c r="AY282" s="20"/>
      <c r="AZ282" s="20"/>
      <c r="BA282" s="20"/>
      <c r="BB282" s="20"/>
      <c r="BC282" s="20"/>
    </row>
    <row r="283" ht="13.5" customHeight="1" spans="1:55">
      <c r="A283" s="20"/>
      <c r="B283" s="62">
        <v>38285</v>
      </c>
      <c r="C283" s="63" t="s">
        <v>1176</v>
      </c>
      <c r="D283" s="63" t="s">
        <v>1153</v>
      </c>
      <c r="E283" s="64">
        <v>68</v>
      </c>
      <c r="F283" s="65"/>
      <c r="G283" s="66" t="b">
        <f>ISNUMBER(MATCH(C283,'Pareto Analysis'!$A$48:$A$114,0))</f>
        <v>1</v>
      </c>
      <c r="H283" s="67" t="str">
        <f t="shared" si="4"/>
        <v>👍</v>
      </c>
      <c r="I283" s="69"/>
      <c r="J283" s="20"/>
      <c r="K283" s="20"/>
      <c r="L283" s="20"/>
      <c r="M283" s="20"/>
      <c r="N283" s="20"/>
      <c r="O283" s="20"/>
      <c r="P283" s="20"/>
      <c r="Q283" s="20"/>
      <c r="R283" s="20"/>
      <c r="S283" s="20"/>
      <c r="T283" s="20"/>
      <c r="U283" s="20"/>
      <c r="V283" s="20"/>
      <c r="W283" s="20"/>
      <c r="X283" s="20"/>
      <c r="Y283" s="20"/>
      <c r="Z283" s="20"/>
      <c r="AA283" s="20"/>
      <c r="AB283" s="20"/>
      <c r="AC283" s="20"/>
      <c r="AD283" s="20"/>
      <c r="AE283" s="20"/>
      <c r="AF283" s="20"/>
      <c r="AG283" s="20"/>
      <c r="AH283" s="20"/>
      <c r="AI283" s="20"/>
      <c r="AJ283" s="20"/>
      <c r="AK283" s="20"/>
      <c r="AL283" s="20"/>
      <c r="AM283" s="20"/>
      <c r="AN283" s="20"/>
      <c r="AO283" s="20"/>
      <c r="AP283" s="20"/>
      <c r="AQ283" s="20"/>
      <c r="AR283" s="20"/>
      <c r="AS283" s="20"/>
      <c r="AT283" s="20"/>
      <c r="AU283" s="20"/>
      <c r="AV283" s="20"/>
      <c r="AW283" s="20"/>
      <c r="AX283" s="20"/>
      <c r="AY283" s="20"/>
      <c r="AZ283" s="20"/>
      <c r="BA283" s="20"/>
      <c r="BB283" s="20"/>
      <c r="BC283" s="20"/>
    </row>
    <row r="284" ht="13.5" customHeight="1" spans="1:55">
      <c r="A284" s="20"/>
      <c r="B284" s="62">
        <v>38280</v>
      </c>
      <c r="C284" s="63" t="s">
        <v>1221</v>
      </c>
      <c r="D284" s="63" t="s">
        <v>1153</v>
      </c>
      <c r="E284" s="64">
        <v>70</v>
      </c>
      <c r="F284" s="65"/>
      <c r="G284" s="66" t="b">
        <f>ISNUMBER(MATCH(C284,'Pareto Analysis'!$A$48:$A$114,0))</f>
        <v>1</v>
      </c>
      <c r="H284" s="67" t="str">
        <f t="shared" si="4"/>
        <v>👍</v>
      </c>
      <c r="I284" s="69"/>
      <c r="J284" s="20"/>
      <c r="K284" s="20"/>
      <c r="L284" s="20"/>
      <c r="M284" s="20"/>
      <c r="N284" s="20"/>
      <c r="O284" s="20"/>
      <c r="P284" s="20"/>
      <c r="Q284" s="20"/>
      <c r="R284" s="20"/>
      <c r="S284" s="20"/>
      <c r="T284" s="20"/>
      <c r="U284" s="20"/>
      <c r="V284" s="20"/>
      <c r="W284" s="20"/>
      <c r="X284" s="20"/>
      <c r="Y284" s="20"/>
      <c r="Z284" s="20"/>
      <c r="AA284" s="20"/>
      <c r="AB284" s="20"/>
      <c r="AC284" s="20"/>
      <c r="AD284" s="20"/>
      <c r="AE284" s="20"/>
      <c r="AF284" s="20"/>
      <c r="AG284" s="20"/>
      <c r="AH284" s="20"/>
      <c r="AI284" s="20"/>
      <c r="AJ284" s="20"/>
      <c r="AK284" s="20"/>
      <c r="AL284" s="20"/>
      <c r="AM284" s="20"/>
      <c r="AN284" s="20"/>
      <c r="AO284" s="20"/>
      <c r="AP284" s="20"/>
      <c r="AQ284" s="20"/>
      <c r="AR284" s="20"/>
      <c r="AS284" s="20"/>
      <c r="AT284" s="20"/>
      <c r="AU284" s="20"/>
      <c r="AV284" s="20"/>
      <c r="AW284" s="20"/>
      <c r="AX284" s="20"/>
      <c r="AY284" s="20"/>
      <c r="AZ284" s="20"/>
      <c r="BA284" s="20"/>
      <c r="BB284" s="20"/>
      <c r="BC284" s="20"/>
    </row>
    <row r="285" ht="13.5" customHeight="1" spans="1:55">
      <c r="A285" s="20"/>
      <c r="B285" s="62">
        <v>38281</v>
      </c>
      <c r="C285" s="63" t="s">
        <v>1221</v>
      </c>
      <c r="D285" s="63" t="s">
        <v>1153</v>
      </c>
      <c r="E285" s="64">
        <v>71</v>
      </c>
      <c r="F285" s="65"/>
      <c r="G285" s="66" t="b">
        <f>ISNUMBER(MATCH(C285,'Pareto Analysis'!$A$48:$A$114,0))</f>
        <v>1</v>
      </c>
      <c r="H285" s="67" t="str">
        <f t="shared" si="4"/>
        <v>👍</v>
      </c>
      <c r="I285" s="69"/>
      <c r="J285" s="20"/>
      <c r="K285" s="20"/>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0"/>
      <c r="AI285" s="20"/>
      <c r="AJ285" s="20"/>
      <c r="AK285" s="20"/>
      <c r="AL285" s="20"/>
      <c r="AM285" s="20"/>
      <c r="AN285" s="20"/>
      <c r="AO285" s="20"/>
      <c r="AP285" s="20"/>
      <c r="AQ285" s="20"/>
      <c r="AR285" s="20"/>
      <c r="AS285" s="20"/>
      <c r="AT285" s="20"/>
      <c r="AU285" s="20"/>
      <c r="AV285" s="20"/>
      <c r="AW285" s="20"/>
      <c r="AX285" s="20"/>
      <c r="AY285" s="20"/>
      <c r="AZ285" s="20"/>
      <c r="BA285" s="20"/>
      <c r="BB285" s="20"/>
      <c r="BC285" s="20"/>
    </row>
    <row r="286" ht="13.5" customHeight="1" spans="1:55">
      <c r="A286" s="20"/>
      <c r="B286" s="62">
        <v>38284</v>
      </c>
      <c r="C286" s="63" t="s">
        <v>1204</v>
      </c>
      <c r="D286" s="63" t="s">
        <v>1153</v>
      </c>
      <c r="E286" s="64">
        <v>71</v>
      </c>
      <c r="F286" s="65"/>
      <c r="G286" s="66" t="b">
        <f>ISNUMBER(MATCH(C286,'Pareto Analysis'!$A$48:$A$114,0))</f>
        <v>1</v>
      </c>
      <c r="H286" s="67" t="str">
        <f t="shared" si="4"/>
        <v>👍</v>
      </c>
      <c r="I286" s="69"/>
      <c r="J286" s="20"/>
      <c r="K286" s="20"/>
      <c r="L286" s="20"/>
      <c r="M286" s="20"/>
      <c r="N286" s="20"/>
      <c r="O286" s="20"/>
      <c r="P286" s="20"/>
      <c r="Q286" s="20"/>
      <c r="R286" s="20"/>
      <c r="S286" s="20"/>
      <c r="T286" s="20"/>
      <c r="U286" s="20"/>
      <c r="V286" s="20"/>
      <c r="W286" s="20"/>
      <c r="X286" s="20"/>
      <c r="Y286" s="20"/>
      <c r="Z286" s="20"/>
      <c r="AA286" s="20"/>
      <c r="AB286" s="20"/>
      <c r="AC286" s="20"/>
      <c r="AD286" s="20"/>
      <c r="AE286" s="20"/>
      <c r="AF286" s="20"/>
      <c r="AG286" s="20"/>
      <c r="AH286" s="20"/>
      <c r="AI286" s="20"/>
      <c r="AJ286" s="20"/>
      <c r="AK286" s="20"/>
      <c r="AL286" s="20"/>
      <c r="AM286" s="20"/>
      <c r="AN286" s="20"/>
      <c r="AO286" s="20"/>
      <c r="AP286" s="20"/>
      <c r="AQ286" s="20"/>
      <c r="AR286" s="20"/>
      <c r="AS286" s="20"/>
      <c r="AT286" s="20"/>
      <c r="AU286" s="20"/>
      <c r="AV286" s="20"/>
      <c r="AW286" s="20"/>
      <c r="AX286" s="20"/>
      <c r="AY286" s="20"/>
      <c r="AZ286" s="20"/>
      <c r="BA286" s="20"/>
      <c r="BB286" s="20"/>
      <c r="BC286" s="20"/>
    </row>
    <row r="287" ht="13.5" customHeight="1" spans="1:55">
      <c r="A287" s="20"/>
      <c r="B287" s="62">
        <v>38284</v>
      </c>
      <c r="C287" s="63" t="s">
        <v>1221</v>
      </c>
      <c r="D287" s="63" t="s">
        <v>1153</v>
      </c>
      <c r="E287" s="64">
        <v>71</v>
      </c>
      <c r="F287" s="65"/>
      <c r="G287" s="66" t="b">
        <f>ISNUMBER(MATCH(C287,'Pareto Analysis'!$A$48:$A$114,0))</f>
        <v>1</v>
      </c>
      <c r="H287" s="67" t="str">
        <f t="shared" si="4"/>
        <v>👍</v>
      </c>
      <c r="I287" s="69"/>
      <c r="J287" s="20"/>
      <c r="K287" s="20"/>
      <c r="L287" s="20"/>
      <c r="M287" s="20"/>
      <c r="N287" s="20"/>
      <c r="O287" s="20"/>
      <c r="P287" s="20"/>
      <c r="Q287" s="20"/>
      <c r="R287" s="20"/>
      <c r="S287" s="20"/>
      <c r="T287" s="20"/>
      <c r="U287" s="20"/>
      <c r="V287" s="20"/>
      <c r="W287" s="20"/>
      <c r="X287" s="20"/>
      <c r="Y287" s="20"/>
      <c r="Z287" s="20"/>
      <c r="AA287" s="20"/>
      <c r="AB287" s="20"/>
      <c r="AC287" s="20"/>
      <c r="AD287" s="20"/>
      <c r="AE287" s="20"/>
      <c r="AF287" s="20"/>
      <c r="AG287" s="20"/>
      <c r="AH287" s="20"/>
      <c r="AI287" s="20"/>
      <c r="AJ287" s="20"/>
      <c r="AK287" s="20"/>
      <c r="AL287" s="20"/>
      <c r="AM287" s="20"/>
      <c r="AN287" s="20"/>
      <c r="AO287" s="20"/>
      <c r="AP287" s="20"/>
      <c r="AQ287" s="20"/>
      <c r="AR287" s="20"/>
      <c r="AS287" s="20"/>
      <c r="AT287" s="20"/>
      <c r="AU287" s="20"/>
      <c r="AV287" s="20"/>
      <c r="AW287" s="20"/>
      <c r="AX287" s="20"/>
      <c r="AY287" s="20"/>
      <c r="AZ287" s="20"/>
      <c r="BA287" s="20"/>
      <c r="BB287" s="20"/>
      <c r="BC287" s="20"/>
    </row>
    <row r="288" ht="13.5" customHeight="1" spans="1:55">
      <c r="A288" s="20"/>
      <c r="B288" s="62">
        <v>38272</v>
      </c>
      <c r="C288" s="63" t="s">
        <v>1213</v>
      </c>
      <c r="D288" s="63" t="s">
        <v>1153</v>
      </c>
      <c r="E288" s="64">
        <v>72</v>
      </c>
      <c r="F288" s="65"/>
      <c r="G288" s="66" t="b">
        <f>ISNUMBER(MATCH(C288,'Pareto Analysis'!$A$48:$A$114,0))</f>
        <v>1</v>
      </c>
      <c r="H288" s="67" t="str">
        <f t="shared" si="4"/>
        <v>👍</v>
      </c>
      <c r="I288" s="69"/>
      <c r="J288" s="20"/>
      <c r="K288" s="20"/>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row>
    <row r="289" ht="13.5" customHeight="1" spans="1:55">
      <c r="A289" s="20"/>
      <c r="B289" s="62">
        <v>38285</v>
      </c>
      <c r="C289" s="63" t="s">
        <v>1221</v>
      </c>
      <c r="D289" s="63" t="s">
        <v>1153</v>
      </c>
      <c r="E289" s="64">
        <v>72</v>
      </c>
      <c r="F289" s="65"/>
      <c r="G289" s="66" t="b">
        <f>ISNUMBER(MATCH(C289,'Pareto Analysis'!$A$48:$A$114,0))</f>
        <v>1</v>
      </c>
      <c r="H289" s="67" t="str">
        <f t="shared" si="4"/>
        <v>👍</v>
      </c>
      <c r="I289" s="69"/>
      <c r="J289" s="20"/>
      <c r="K289" s="20"/>
      <c r="L289" s="20"/>
      <c r="M289" s="20"/>
      <c r="N289" s="20"/>
      <c r="O289" s="20"/>
      <c r="P289" s="20"/>
      <c r="Q289" s="20"/>
      <c r="R289" s="20"/>
      <c r="S289" s="20"/>
      <c r="T289" s="20"/>
      <c r="U289" s="20"/>
      <c r="V289" s="20"/>
      <c r="W289" s="20"/>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row>
    <row r="290" ht="13.5" customHeight="1" spans="1:55">
      <c r="A290" s="20"/>
      <c r="B290" s="62">
        <v>38285</v>
      </c>
      <c r="C290" s="63" t="s">
        <v>1233</v>
      </c>
      <c r="D290" s="63" t="s">
        <v>1151</v>
      </c>
      <c r="E290" s="64">
        <v>72</v>
      </c>
      <c r="F290" s="65"/>
      <c r="G290" s="66" t="b">
        <f>ISNUMBER(MATCH(C290,'Pareto Analysis'!$A$48:$A$114,0))</f>
        <v>1</v>
      </c>
      <c r="H290" s="67" t="str">
        <f t="shared" si="4"/>
        <v>👍</v>
      </c>
      <c r="I290" s="69"/>
      <c r="J290" s="20"/>
      <c r="K290" s="20"/>
      <c r="L290" s="20"/>
      <c r="M290" s="20"/>
      <c r="N290" s="20"/>
      <c r="O290" s="20"/>
      <c r="P290" s="20"/>
      <c r="Q290" s="20"/>
      <c r="R290" s="20"/>
      <c r="S290" s="20"/>
      <c r="T290" s="20"/>
      <c r="U290" s="20"/>
      <c r="V290" s="20"/>
      <c r="W290" s="20"/>
      <c r="X290" s="20"/>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row>
    <row r="291" ht="13.5" customHeight="1" spans="1:55">
      <c r="A291" s="20"/>
      <c r="B291" s="62">
        <v>38286</v>
      </c>
      <c r="C291" s="63" t="s">
        <v>1233</v>
      </c>
      <c r="D291" s="63" t="s">
        <v>1151</v>
      </c>
      <c r="E291" s="64">
        <v>72</v>
      </c>
      <c r="F291" s="65"/>
      <c r="G291" s="66" t="b">
        <f>ISNUMBER(MATCH(C291,'Pareto Analysis'!$A$48:$A$114,0))</f>
        <v>1</v>
      </c>
      <c r="H291" s="67" t="str">
        <f t="shared" si="4"/>
        <v>👍</v>
      </c>
      <c r="I291" s="69"/>
      <c r="J291" s="20"/>
      <c r="K291" s="20"/>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row>
    <row r="292" ht="13.5" customHeight="1" spans="1:55">
      <c r="A292" s="20"/>
      <c r="B292" s="62">
        <v>38271</v>
      </c>
      <c r="C292" s="63" t="s">
        <v>1234</v>
      </c>
      <c r="D292" s="63" t="s">
        <v>1148</v>
      </c>
      <c r="E292" s="64">
        <v>72.8</v>
      </c>
      <c r="F292" s="65"/>
      <c r="G292" s="66" t="b">
        <f>ISNUMBER(MATCH(C292,'Pareto Analysis'!$A$48:$A$114,0))</f>
        <v>0</v>
      </c>
      <c r="H292" s="67" t="str">
        <f t="shared" si="4"/>
        <v>👎</v>
      </c>
      <c r="I292" s="69"/>
      <c r="J292" s="20"/>
      <c r="K292" s="20"/>
      <c r="L292" s="20"/>
      <c r="M292" s="20"/>
      <c r="N292" s="20"/>
      <c r="O292" s="20"/>
      <c r="P292" s="20"/>
      <c r="Q292" s="20"/>
      <c r="R292" s="20"/>
      <c r="S292" s="20"/>
      <c r="T292" s="20"/>
      <c r="U292" s="20"/>
      <c r="V292" s="20"/>
      <c r="W292" s="20"/>
      <c r="X292" s="20"/>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row>
    <row r="293" ht="13.5" customHeight="1" spans="1:55">
      <c r="A293" s="20"/>
      <c r="B293" s="62">
        <v>38272</v>
      </c>
      <c r="C293" s="63" t="s">
        <v>1205</v>
      </c>
      <c r="D293" s="63" t="s">
        <v>1153</v>
      </c>
      <c r="E293" s="64">
        <v>73</v>
      </c>
      <c r="F293" s="65"/>
      <c r="G293" s="66" t="b">
        <f>ISNUMBER(MATCH(C293,'Pareto Analysis'!$A$48:$A$114,0))</f>
        <v>1</v>
      </c>
      <c r="H293" s="67" t="str">
        <f t="shared" si="4"/>
        <v>👍</v>
      </c>
      <c r="I293" s="69"/>
      <c r="J293" s="20"/>
      <c r="K293" s="20"/>
      <c r="L293" s="20"/>
      <c r="M293" s="20"/>
      <c r="N293" s="20"/>
      <c r="O293" s="20"/>
      <c r="P293" s="20"/>
      <c r="Q293" s="20"/>
      <c r="R293" s="20"/>
      <c r="S293" s="20"/>
      <c r="T293" s="20"/>
      <c r="U293" s="20"/>
      <c r="V293" s="20"/>
      <c r="W293" s="20"/>
      <c r="X293" s="20"/>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row>
    <row r="294" ht="13.5" customHeight="1" spans="1:55">
      <c r="A294" s="20"/>
      <c r="B294" s="62">
        <v>38277</v>
      </c>
      <c r="C294" s="63" t="s">
        <v>1197</v>
      </c>
      <c r="D294" s="63" t="s">
        <v>1156</v>
      </c>
      <c r="E294" s="64">
        <v>74</v>
      </c>
      <c r="F294" s="65"/>
      <c r="G294" s="66" t="b">
        <f>ISNUMBER(MATCH(C294,'Pareto Analysis'!$A$48:$A$114,0))</f>
        <v>1</v>
      </c>
      <c r="H294" s="67" t="str">
        <f t="shared" si="4"/>
        <v>👍</v>
      </c>
      <c r="I294" s="69"/>
      <c r="J294" s="20"/>
      <c r="K294" s="20"/>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row>
    <row r="295" ht="13.5" customHeight="1" spans="1:55">
      <c r="A295" s="20"/>
      <c r="B295" s="62">
        <v>38280</v>
      </c>
      <c r="C295" s="63" t="s">
        <v>1201</v>
      </c>
      <c r="D295" s="63" t="s">
        <v>1153</v>
      </c>
      <c r="E295" s="64">
        <v>74</v>
      </c>
      <c r="F295" s="65"/>
      <c r="G295" s="66" t="b">
        <f>ISNUMBER(MATCH(C295,'Pareto Analysis'!$A$48:$A$114,0))</f>
        <v>1</v>
      </c>
      <c r="H295" s="67" t="str">
        <f t="shared" si="4"/>
        <v>👍</v>
      </c>
      <c r="I295" s="69"/>
      <c r="J295" s="20"/>
      <c r="K295" s="20"/>
      <c r="L295" s="20"/>
      <c r="M295" s="20"/>
      <c r="N295" s="20"/>
      <c r="O295" s="20"/>
      <c r="P295" s="20"/>
      <c r="Q295" s="20"/>
      <c r="R295" s="20"/>
      <c r="S295" s="20"/>
      <c r="T295" s="20"/>
      <c r="U295" s="20"/>
      <c r="V295" s="20"/>
      <c r="W295" s="20"/>
      <c r="X295" s="20"/>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row>
    <row r="296" ht="13.5" customHeight="1" spans="1:55">
      <c r="A296" s="20"/>
      <c r="B296" s="62">
        <v>38272</v>
      </c>
      <c r="C296" s="63" t="s">
        <v>1222</v>
      </c>
      <c r="D296" s="63" t="s">
        <v>1153</v>
      </c>
      <c r="E296" s="64">
        <v>75</v>
      </c>
      <c r="F296" s="65"/>
      <c r="G296" s="66" t="b">
        <f>ISNUMBER(MATCH(C296,'Pareto Analysis'!$A$48:$A$114,0))</f>
        <v>1</v>
      </c>
      <c r="H296" s="67" t="str">
        <f t="shared" si="4"/>
        <v>👍</v>
      </c>
      <c r="I296" s="69"/>
      <c r="J296" s="20"/>
      <c r="K296" s="20"/>
      <c r="L296" s="20"/>
      <c r="M296" s="20"/>
      <c r="N296" s="20"/>
      <c r="O296" s="20"/>
      <c r="P296" s="20"/>
      <c r="Q296" s="20"/>
      <c r="R296" s="20"/>
      <c r="S296" s="20"/>
      <c r="T296" s="20"/>
      <c r="U296" s="20"/>
      <c r="V296" s="20"/>
      <c r="W296" s="20"/>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row>
    <row r="297" ht="13.5" customHeight="1" spans="1:55">
      <c r="A297" s="20"/>
      <c r="B297" s="62">
        <v>38277</v>
      </c>
      <c r="C297" s="63" t="s">
        <v>1202</v>
      </c>
      <c r="D297" s="63" t="s">
        <v>1153</v>
      </c>
      <c r="E297" s="64">
        <v>75</v>
      </c>
      <c r="F297" s="65"/>
      <c r="G297" s="66" t="b">
        <f>ISNUMBER(MATCH(C297,'Pareto Analysis'!$A$48:$A$114,0))</f>
        <v>1</v>
      </c>
      <c r="H297" s="67" t="str">
        <f t="shared" si="4"/>
        <v>👍</v>
      </c>
      <c r="I297" s="69"/>
      <c r="J297" s="20"/>
      <c r="K297" s="20"/>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row>
    <row r="298" ht="13.5" customHeight="1" spans="1:55">
      <c r="A298" s="20"/>
      <c r="B298" s="62">
        <v>38280</v>
      </c>
      <c r="C298" s="63" t="s">
        <v>1195</v>
      </c>
      <c r="D298" s="63" t="s">
        <v>1151</v>
      </c>
      <c r="E298" s="64">
        <v>77</v>
      </c>
      <c r="F298" s="65"/>
      <c r="G298" s="66" t="b">
        <f>ISNUMBER(MATCH(C298,'Pareto Analysis'!$A$48:$A$114,0))</f>
        <v>1</v>
      </c>
      <c r="H298" s="67" t="str">
        <f t="shared" si="4"/>
        <v>👍</v>
      </c>
      <c r="I298" s="69"/>
      <c r="J298" s="20"/>
      <c r="K298" s="20"/>
      <c r="L298" s="20"/>
      <c r="M298" s="20"/>
      <c r="N298" s="20"/>
      <c r="O298" s="20"/>
      <c r="P298" s="20"/>
      <c r="Q298" s="20"/>
      <c r="R298" s="20"/>
      <c r="S298" s="20"/>
      <c r="T298" s="20"/>
      <c r="U298" s="20"/>
      <c r="V298" s="20"/>
      <c r="W298" s="20"/>
      <c r="X298" s="20"/>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row>
    <row r="299" ht="13.5" customHeight="1" spans="1:55">
      <c r="A299" s="20"/>
      <c r="B299" s="62">
        <v>38271</v>
      </c>
      <c r="C299" s="63" t="s">
        <v>1231</v>
      </c>
      <c r="D299" s="63" t="s">
        <v>1153</v>
      </c>
      <c r="E299" s="64">
        <v>78</v>
      </c>
      <c r="F299" s="65"/>
      <c r="G299" s="66" t="b">
        <f>ISNUMBER(MATCH(C299,'Pareto Analysis'!$A$48:$A$114,0))</f>
        <v>1</v>
      </c>
      <c r="H299" s="67" t="str">
        <f t="shared" si="4"/>
        <v>👍</v>
      </c>
      <c r="I299" s="69"/>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row>
    <row r="300" ht="13.5" customHeight="1" spans="1:55">
      <c r="A300" s="20"/>
      <c r="B300" s="62">
        <v>38280</v>
      </c>
      <c r="C300" s="63" t="s">
        <v>1227</v>
      </c>
      <c r="D300" s="63" t="s">
        <v>1151</v>
      </c>
      <c r="E300" s="64">
        <v>82</v>
      </c>
      <c r="F300" s="65"/>
      <c r="G300" s="66" t="b">
        <f>ISNUMBER(MATCH(C300,'Pareto Analysis'!$A$48:$A$114,0))</f>
        <v>1</v>
      </c>
      <c r="H300" s="67" t="str">
        <f t="shared" si="4"/>
        <v>👍</v>
      </c>
      <c r="I300" s="69"/>
      <c r="J300" s="20"/>
      <c r="K300" s="20"/>
      <c r="L300" s="20"/>
      <c r="M300" s="20"/>
      <c r="N300" s="20"/>
      <c r="O300" s="20"/>
      <c r="P300" s="20"/>
      <c r="Q300" s="20"/>
      <c r="R300" s="20"/>
      <c r="S300" s="20"/>
      <c r="T300" s="20"/>
      <c r="U300" s="20"/>
      <c r="V300" s="20"/>
      <c r="W300" s="20"/>
      <c r="X300" s="20"/>
      <c r="Y300" s="20"/>
      <c r="Z300" s="20"/>
      <c r="AA300" s="20"/>
      <c r="AB300" s="20"/>
      <c r="AC300" s="20"/>
      <c r="AD300" s="20"/>
      <c r="AE300" s="20"/>
      <c r="AF300" s="20"/>
      <c r="AG300" s="20"/>
      <c r="AH300" s="20"/>
      <c r="AI300" s="20"/>
      <c r="AJ300" s="20"/>
      <c r="AK300" s="20"/>
      <c r="AL300" s="20"/>
      <c r="AM300" s="20"/>
      <c r="AN300" s="20"/>
      <c r="AO300" s="20"/>
      <c r="AP300" s="20"/>
      <c r="AQ300" s="20"/>
      <c r="AR300" s="20"/>
      <c r="AS300" s="20"/>
      <c r="AT300" s="20"/>
      <c r="AU300" s="20"/>
      <c r="AV300" s="20"/>
      <c r="AW300" s="20"/>
      <c r="AX300" s="20"/>
      <c r="AY300" s="20"/>
      <c r="AZ300" s="20"/>
      <c r="BA300" s="20"/>
      <c r="BB300" s="20"/>
      <c r="BC300" s="20"/>
    </row>
    <row r="301" ht="13.5" customHeight="1" spans="1:55">
      <c r="A301" s="20"/>
      <c r="B301" s="62">
        <v>38285</v>
      </c>
      <c r="C301" s="63" t="s">
        <v>1185</v>
      </c>
      <c r="D301" s="63" t="s">
        <v>1153</v>
      </c>
      <c r="E301" s="64">
        <v>82</v>
      </c>
      <c r="F301" s="65"/>
      <c r="G301" s="66" t="b">
        <f>ISNUMBER(MATCH(C301,'Pareto Analysis'!$A$48:$A$114,0))</f>
        <v>1</v>
      </c>
      <c r="H301" s="67" t="str">
        <f t="shared" si="4"/>
        <v>👍</v>
      </c>
      <c r="I301" s="69"/>
      <c r="J301" s="20"/>
      <c r="K301" s="20"/>
      <c r="L301" s="20"/>
      <c r="M301" s="20"/>
      <c r="N301" s="20"/>
      <c r="O301" s="20"/>
      <c r="P301" s="20"/>
      <c r="Q301" s="20"/>
      <c r="R301" s="20"/>
      <c r="S301" s="20"/>
      <c r="T301" s="20"/>
      <c r="U301" s="20"/>
      <c r="V301" s="20"/>
      <c r="W301" s="20"/>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row>
    <row r="302" ht="13.5" customHeight="1" spans="1:55">
      <c r="A302" s="20"/>
      <c r="B302" s="62">
        <v>38286</v>
      </c>
      <c r="C302" s="63" t="s">
        <v>1185</v>
      </c>
      <c r="D302" s="63" t="s">
        <v>1153</v>
      </c>
      <c r="E302" s="64">
        <v>82</v>
      </c>
      <c r="F302" s="65"/>
      <c r="G302" s="66" t="b">
        <f>ISNUMBER(MATCH(C302,'Pareto Analysis'!$A$48:$A$114,0))</f>
        <v>1</v>
      </c>
      <c r="H302" s="67" t="str">
        <f t="shared" si="4"/>
        <v>👍</v>
      </c>
      <c r="I302" s="69"/>
      <c r="J302" s="20"/>
      <c r="K302" s="20"/>
      <c r="L302" s="20"/>
      <c r="M302" s="20"/>
      <c r="N302" s="20"/>
      <c r="O302" s="20"/>
      <c r="P302" s="20"/>
      <c r="Q302" s="20"/>
      <c r="R302" s="20"/>
      <c r="S302" s="20"/>
      <c r="T302" s="20"/>
      <c r="U302" s="20"/>
      <c r="V302" s="20"/>
      <c r="W302" s="20"/>
      <c r="X302" s="20"/>
      <c r="Y302" s="20"/>
      <c r="Z302" s="20"/>
      <c r="AA302" s="20"/>
      <c r="AB302" s="20"/>
      <c r="AC302" s="20"/>
      <c r="AD302" s="20"/>
      <c r="AE302" s="20"/>
      <c r="AF302" s="20"/>
      <c r="AG302" s="20"/>
      <c r="AH302" s="20"/>
      <c r="AI302" s="20"/>
      <c r="AJ302" s="20"/>
      <c r="AK302" s="20"/>
      <c r="AL302" s="20"/>
      <c r="AM302" s="20"/>
      <c r="AN302" s="20"/>
      <c r="AO302" s="20"/>
      <c r="AP302" s="20"/>
      <c r="AQ302" s="20"/>
      <c r="AR302" s="20"/>
      <c r="AS302" s="20"/>
      <c r="AT302" s="20"/>
      <c r="AU302" s="20"/>
      <c r="AV302" s="20"/>
      <c r="AW302" s="20"/>
      <c r="AX302" s="20"/>
      <c r="AY302" s="20"/>
      <c r="AZ302" s="20"/>
      <c r="BA302" s="20"/>
      <c r="BB302" s="20"/>
      <c r="BC302" s="20"/>
    </row>
    <row r="303" ht="13.5" customHeight="1" spans="1:55">
      <c r="A303" s="20"/>
      <c r="B303" s="62">
        <v>38272</v>
      </c>
      <c r="C303" s="63" t="s">
        <v>1231</v>
      </c>
      <c r="D303" s="63" t="s">
        <v>1153</v>
      </c>
      <c r="E303" s="64">
        <v>84</v>
      </c>
      <c r="F303" s="65"/>
      <c r="G303" s="66" t="b">
        <f>ISNUMBER(MATCH(C303,'Pareto Analysis'!$A$48:$A$114,0))</f>
        <v>1</v>
      </c>
      <c r="H303" s="67" t="str">
        <f t="shared" si="4"/>
        <v>👍</v>
      </c>
      <c r="I303" s="69"/>
      <c r="J303" s="20"/>
      <c r="K303" s="20"/>
      <c r="L303" s="20"/>
      <c r="M303" s="20"/>
      <c r="N303" s="20"/>
      <c r="O303" s="20"/>
      <c r="P303" s="20"/>
      <c r="Q303" s="20"/>
      <c r="R303" s="20"/>
      <c r="S303" s="20"/>
      <c r="T303" s="20"/>
      <c r="U303" s="20"/>
      <c r="V303" s="20"/>
      <c r="W303" s="20"/>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row>
    <row r="304" ht="13.5" customHeight="1" spans="1:55">
      <c r="A304" s="20"/>
      <c r="B304" s="62">
        <v>38285</v>
      </c>
      <c r="C304" s="63" t="s">
        <v>1204</v>
      </c>
      <c r="D304" s="63" t="s">
        <v>1153</v>
      </c>
      <c r="E304" s="64">
        <v>85</v>
      </c>
      <c r="F304" s="65"/>
      <c r="G304" s="66" t="b">
        <f>ISNUMBER(MATCH(C304,'Pareto Analysis'!$A$48:$A$114,0))</f>
        <v>1</v>
      </c>
      <c r="H304" s="67" t="str">
        <f t="shared" si="4"/>
        <v>👍</v>
      </c>
      <c r="I304" s="69"/>
      <c r="J304" s="20"/>
      <c r="K304" s="20"/>
      <c r="L304" s="20"/>
      <c r="M304" s="20"/>
      <c r="N304" s="20"/>
      <c r="O304" s="20"/>
      <c r="P304" s="20"/>
      <c r="Q304" s="20"/>
      <c r="R304" s="20"/>
      <c r="S304" s="20"/>
      <c r="T304" s="20"/>
      <c r="U304" s="20"/>
      <c r="V304" s="20"/>
      <c r="W304" s="20"/>
      <c r="X304" s="20"/>
      <c r="Y304" s="20"/>
      <c r="Z304" s="20"/>
      <c r="AA304" s="20"/>
      <c r="AB304" s="20"/>
      <c r="AC304" s="20"/>
      <c r="AD304" s="20"/>
      <c r="AE304" s="20"/>
      <c r="AF304" s="20"/>
      <c r="AG304" s="20"/>
      <c r="AH304" s="20"/>
      <c r="AI304" s="20"/>
      <c r="AJ304" s="20"/>
      <c r="AK304" s="20"/>
      <c r="AL304" s="20"/>
      <c r="AM304" s="20"/>
      <c r="AN304" s="20"/>
      <c r="AO304" s="20"/>
      <c r="AP304" s="20"/>
      <c r="AQ304" s="20"/>
      <c r="AR304" s="20"/>
      <c r="AS304" s="20"/>
      <c r="AT304" s="20"/>
      <c r="AU304" s="20"/>
      <c r="AV304" s="20"/>
      <c r="AW304" s="20"/>
      <c r="AX304" s="20"/>
      <c r="AY304" s="20"/>
      <c r="AZ304" s="20"/>
      <c r="BA304" s="20"/>
      <c r="BB304" s="20"/>
      <c r="BC304" s="20"/>
    </row>
    <row r="305" ht="13.5" customHeight="1" spans="1:55">
      <c r="A305" s="20"/>
      <c r="B305" s="62">
        <v>38273</v>
      </c>
      <c r="C305" s="63" t="s">
        <v>1221</v>
      </c>
      <c r="D305" s="63" t="s">
        <v>1153</v>
      </c>
      <c r="E305" s="64">
        <v>89</v>
      </c>
      <c r="F305" s="65"/>
      <c r="G305" s="66" t="b">
        <f>ISNUMBER(MATCH(C305,'Pareto Analysis'!$A$48:$A$114,0))</f>
        <v>1</v>
      </c>
      <c r="H305" s="67" t="str">
        <f t="shared" si="4"/>
        <v>👍</v>
      </c>
      <c r="I305" s="69"/>
      <c r="J305" s="20"/>
      <c r="K305" s="20"/>
      <c r="L305" s="20"/>
      <c r="M305" s="20"/>
      <c r="N305" s="20"/>
      <c r="O305" s="20"/>
      <c r="P305" s="20"/>
      <c r="Q305" s="20"/>
      <c r="R305" s="20"/>
      <c r="S305" s="20"/>
      <c r="T305" s="20"/>
      <c r="U305" s="20"/>
      <c r="V305" s="20"/>
      <c r="W305" s="20"/>
      <c r="X305" s="20"/>
      <c r="Y305" s="20"/>
      <c r="Z305" s="20"/>
      <c r="AA305" s="20"/>
      <c r="AB305" s="20"/>
      <c r="AC305" s="20"/>
      <c r="AD305" s="20"/>
      <c r="AE305" s="20"/>
      <c r="AF305" s="20"/>
      <c r="AG305" s="20"/>
      <c r="AH305" s="20"/>
      <c r="AI305" s="20"/>
      <c r="AJ305" s="20"/>
      <c r="AK305" s="20"/>
      <c r="AL305" s="20"/>
      <c r="AM305" s="20"/>
      <c r="AN305" s="20"/>
      <c r="AO305" s="20"/>
      <c r="AP305" s="20"/>
      <c r="AQ305" s="20"/>
      <c r="AR305" s="20"/>
      <c r="AS305" s="20"/>
      <c r="AT305" s="20"/>
      <c r="AU305" s="20"/>
      <c r="AV305" s="20"/>
      <c r="AW305" s="20"/>
      <c r="AX305" s="20"/>
      <c r="AY305" s="20"/>
      <c r="AZ305" s="20"/>
      <c r="BA305" s="20"/>
      <c r="BB305" s="20"/>
      <c r="BC305" s="20"/>
    </row>
    <row r="306" ht="13.5" customHeight="1" spans="1:55">
      <c r="A306" s="20"/>
      <c r="B306" s="62">
        <v>38284</v>
      </c>
      <c r="C306" s="63" t="s">
        <v>1233</v>
      </c>
      <c r="D306" s="63" t="s">
        <v>1151</v>
      </c>
      <c r="E306" s="64">
        <v>89</v>
      </c>
      <c r="F306" s="65"/>
      <c r="G306" s="66" t="b">
        <f>ISNUMBER(MATCH(C306,'Pareto Analysis'!$A$48:$A$114,0))</f>
        <v>1</v>
      </c>
      <c r="H306" s="67" t="str">
        <f t="shared" si="4"/>
        <v>👍</v>
      </c>
      <c r="I306" s="69"/>
      <c r="J306" s="20"/>
      <c r="K306" s="20"/>
      <c r="L306" s="20"/>
      <c r="M306" s="20"/>
      <c r="N306" s="20"/>
      <c r="O306" s="20"/>
      <c r="P306" s="20"/>
      <c r="Q306" s="20"/>
      <c r="R306" s="20"/>
      <c r="S306" s="20"/>
      <c r="T306" s="20"/>
      <c r="U306" s="20"/>
      <c r="V306" s="20"/>
      <c r="W306" s="20"/>
      <c r="X306" s="20"/>
      <c r="Y306" s="20"/>
      <c r="Z306" s="20"/>
      <c r="AA306" s="20"/>
      <c r="AB306" s="20"/>
      <c r="AC306" s="20"/>
      <c r="AD306" s="20"/>
      <c r="AE306" s="20"/>
      <c r="AF306" s="20"/>
      <c r="AG306" s="20"/>
      <c r="AH306" s="20"/>
      <c r="AI306" s="20"/>
      <c r="AJ306" s="20"/>
      <c r="AK306" s="20"/>
      <c r="AL306" s="20"/>
      <c r="AM306" s="20"/>
      <c r="AN306" s="20"/>
      <c r="AO306" s="20"/>
      <c r="AP306" s="20"/>
      <c r="AQ306" s="20"/>
      <c r="AR306" s="20"/>
      <c r="AS306" s="20"/>
      <c r="AT306" s="20"/>
      <c r="AU306" s="20"/>
      <c r="AV306" s="20"/>
      <c r="AW306" s="20"/>
      <c r="AX306" s="20"/>
      <c r="AY306" s="20"/>
      <c r="AZ306" s="20"/>
      <c r="BA306" s="20"/>
      <c r="BB306" s="20"/>
      <c r="BC306" s="20"/>
    </row>
    <row r="307" ht="13.5" customHeight="1" spans="1:55">
      <c r="A307" s="20"/>
      <c r="B307" s="62">
        <v>38286</v>
      </c>
      <c r="C307" s="63" t="s">
        <v>1227</v>
      </c>
      <c r="D307" s="63" t="s">
        <v>1151</v>
      </c>
      <c r="E307" s="64">
        <v>89</v>
      </c>
      <c r="F307" s="65"/>
      <c r="G307" s="66" t="b">
        <f>ISNUMBER(MATCH(C307,'Pareto Analysis'!$A$48:$A$114,0))</f>
        <v>1</v>
      </c>
      <c r="H307" s="67" t="str">
        <f t="shared" si="4"/>
        <v>👍</v>
      </c>
      <c r="I307" s="69"/>
      <c r="J307" s="20"/>
      <c r="K307" s="20"/>
      <c r="L307" s="20"/>
      <c r="M307" s="20"/>
      <c r="N307" s="20"/>
      <c r="O307" s="20"/>
      <c r="P307" s="20"/>
      <c r="Q307" s="20"/>
      <c r="R307" s="20"/>
      <c r="S307" s="20"/>
      <c r="T307" s="20"/>
      <c r="U307" s="20"/>
      <c r="V307" s="20"/>
      <c r="W307" s="20"/>
      <c r="X307" s="20"/>
      <c r="Y307" s="20"/>
      <c r="Z307" s="20"/>
      <c r="AA307" s="20"/>
      <c r="AB307" s="20"/>
      <c r="AC307" s="20"/>
      <c r="AD307" s="20"/>
      <c r="AE307" s="20"/>
      <c r="AF307" s="20"/>
      <c r="AG307" s="20"/>
      <c r="AH307" s="20"/>
      <c r="AI307" s="20"/>
      <c r="AJ307" s="20"/>
      <c r="AK307" s="20"/>
      <c r="AL307" s="20"/>
      <c r="AM307" s="20"/>
      <c r="AN307" s="20"/>
      <c r="AO307" s="20"/>
      <c r="AP307" s="20"/>
      <c r="AQ307" s="20"/>
      <c r="AR307" s="20"/>
      <c r="AS307" s="20"/>
      <c r="AT307" s="20"/>
      <c r="AU307" s="20"/>
      <c r="AV307" s="20"/>
      <c r="AW307" s="20"/>
      <c r="AX307" s="20"/>
      <c r="AY307" s="20"/>
      <c r="AZ307" s="20"/>
      <c r="BA307" s="20"/>
      <c r="BB307" s="20"/>
      <c r="BC307" s="20"/>
    </row>
    <row r="308" ht="13.5" customHeight="1" spans="1:55">
      <c r="A308" s="20"/>
      <c r="B308" s="62">
        <v>38272</v>
      </c>
      <c r="C308" s="63" t="s">
        <v>1235</v>
      </c>
      <c r="D308" s="63" t="s">
        <v>1148</v>
      </c>
      <c r="E308" s="64">
        <v>90.4</v>
      </c>
      <c r="F308" s="65"/>
      <c r="G308" s="66" t="b">
        <f>ISNUMBER(MATCH(C308,'Pareto Analysis'!$A$48:$A$114,0))</f>
        <v>0</v>
      </c>
      <c r="H308" s="67" t="str">
        <f t="shared" si="4"/>
        <v>👎</v>
      </c>
      <c r="I308" s="69"/>
      <c r="J308" s="20"/>
      <c r="K308" s="20"/>
      <c r="L308" s="20"/>
      <c r="M308" s="20"/>
      <c r="N308" s="20"/>
      <c r="O308" s="20"/>
      <c r="P308" s="20"/>
      <c r="Q308" s="20"/>
      <c r="R308" s="20"/>
      <c r="S308" s="20"/>
      <c r="T308" s="20"/>
      <c r="U308" s="20"/>
      <c r="V308" s="20"/>
      <c r="W308" s="20"/>
      <c r="X308" s="20"/>
      <c r="Y308" s="20"/>
      <c r="Z308" s="20"/>
      <c r="AA308" s="20"/>
      <c r="AB308" s="20"/>
      <c r="AC308" s="20"/>
      <c r="AD308" s="20"/>
      <c r="AE308" s="20"/>
      <c r="AF308" s="20"/>
      <c r="AG308" s="20"/>
      <c r="AH308" s="20"/>
      <c r="AI308" s="20"/>
      <c r="AJ308" s="20"/>
      <c r="AK308" s="20"/>
      <c r="AL308" s="20"/>
      <c r="AM308" s="20"/>
      <c r="AN308" s="20"/>
      <c r="AO308" s="20"/>
      <c r="AP308" s="20"/>
      <c r="AQ308" s="20"/>
      <c r="AR308" s="20"/>
      <c r="AS308" s="20"/>
      <c r="AT308" s="20"/>
      <c r="AU308" s="20"/>
      <c r="AV308" s="20"/>
      <c r="AW308" s="20"/>
      <c r="AX308" s="20"/>
      <c r="AY308" s="20"/>
      <c r="AZ308" s="20"/>
      <c r="BA308" s="20"/>
      <c r="BB308" s="20"/>
      <c r="BC308" s="20"/>
    </row>
    <row r="309" ht="13.5" customHeight="1" spans="1:55">
      <c r="A309" s="20"/>
      <c r="B309" s="62">
        <v>38272</v>
      </c>
      <c r="C309" s="63" t="s">
        <v>1216</v>
      </c>
      <c r="D309" s="63" t="s">
        <v>1153</v>
      </c>
      <c r="E309" s="64">
        <v>91</v>
      </c>
      <c r="F309" s="65"/>
      <c r="G309" s="66" t="b">
        <f>ISNUMBER(MATCH(C309,'Pareto Analysis'!$A$48:$A$114,0))</f>
        <v>1</v>
      </c>
      <c r="H309" s="67" t="str">
        <f t="shared" si="4"/>
        <v>👍</v>
      </c>
      <c r="I309" s="69"/>
      <c r="J309" s="20"/>
      <c r="K309" s="20"/>
      <c r="L309" s="20"/>
      <c r="M309" s="20"/>
      <c r="N309" s="20"/>
      <c r="O309" s="20"/>
      <c r="P309" s="20"/>
      <c r="Q309" s="20"/>
      <c r="R309" s="20"/>
      <c r="S309" s="20"/>
      <c r="T309" s="20"/>
      <c r="U309" s="20"/>
      <c r="V309" s="20"/>
      <c r="W309" s="20"/>
      <c r="X309" s="20"/>
      <c r="Y309" s="20"/>
      <c r="Z309" s="20"/>
      <c r="AA309" s="20"/>
      <c r="AB309" s="20"/>
      <c r="AC309" s="20"/>
      <c r="AD309" s="20"/>
      <c r="AE309" s="20"/>
      <c r="AF309" s="20"/>
      <c r="AG309" s="20"/>
      <c r="AH309" s="20"/>
      <c r="AI309" s="20"/>
      <c r="AJ309" s="20"/>
      <c r="AK309" s="20"/>
      <c r="AL309" s="20"/>
      <c r="AM309" s="20"/>
      <c r="AN309" s="20"/>
      <c r="AO309" s="20"/>
      <c r="AP309" s="20"/>
      <c r="AQ309" s="20"/>
      <c r="AR309" s="20"/>
      <c r="AS309" s="20"/>
      <c r="AT309" s="20"/>
      <c r="AU309" s="20"/>
      <c r="AV309" s="20"/>
      <c r="AW309" s="20"/>
      <c r="AX309" s="20"/>
      <c r="AY309" s="20"/>
      <c r="AZ309" s="20"/>
      <c r="BA309" s="20"/>
      <c r="BB309" s="20"/>
      <c r="BC309" s="20"/>
    </row>
    <row r="310" ht="13.5" customHeight="1" spans="1:55">
      <c r="A310" s="20"/>
      <c r="B310" s="62">
        <v>38281</v>
      </c>
      <c r="C310" s="63" t="s">
        <v>1233</v>
      </c>
      <c r="D310" s="63" t="s">
        <v>1151</v>
      </c>
      <c r="E310" s="64">
        <v>91</v>
      </c>
      <c r="F310" s="65"/>
      <c r="G310" s="66" t="b">
        <f>ISNUMBER(MATCH(C310,'Pareto Analysis'!$A$48:$A$114,0))</f>
        <v>1</v>
      </c>
      <c r="H310" s="67" t="str">
        <f t="shared" si="4"/>
        <v>👍</v>
      </c>
      <c r="I310" s="69"/>
      <c r="J310" s="20"/>
      <c r="K310" s="20"/>
      <c r="L310" s="20"/>
      <c r="M310" s="20"/>
      <c r="N310" s="20"/>
      <c r="O310" s="20"/>
      <c r="P310" s="20"/>
      <c r="Q310" s="20"/>
      <c r="R310" s="20"/>
      <c r="S310" s="20"/>
      <c r="T310" s="20"/>
      <c r="U310" s="20"/>
      <c r="V310" s="20"/>
      <c r="W310" s="20"/>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row>
    <row r="311" ht="13.5" customHeight="1" spans="1:55">
      <c r="A311" s="20"/>
      <c r="B311" s="62">
        <v>38284</v>
      </c>
      <c r="C311" s="63" t="s">
        <v>1228</v>
      </c>
      <c r="D311" s="63" t="s">
        <v>1151</v>
      </c>
      <c r="E311" s="64">
        <v>91</v>
      </c>
      <c r="F311" s="65"/>
      <c r="G311" s="66" t="b">
        <f>ISNUMBER(MATCH(C311,'Pareto Analysis'!$A$48:$A$114,0))</f>
        <v>1</v>
      </c>
      <c r="H311" s="67" t="str">
        <f t="shared" si="4"/>
        <v>👍</v>
      </c>
      <c r="I311" s="69"/>
      <c r="J311" s="20"/>
      <c r="K311" s="20"/>
      <c r="L311" s="20"/>
      <c r="M311" s="20"/>
      <c r="N311" s="20"/>
      <c r="O311" s="20"/>
      <c r="P311" s="20"/>
      <c r="Q311" s="20"/>
      <c r="R311" s="20"/>
      <c r="S311" s="20"/>
      <c r="T311" s="20"/>
      <c r="U311" s="20"/>
      <c r="V311" s="20"/>
      <c r="W311" s="20"/>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row>
    <row r="312" ht="13.5" customHeight="1" spans="1:55">
      <c r="A312" s="20"/>
      <c r="B312" s="62">
        <v>38285</v>
      </c>
      <c r="C312" s="63" t="s">
        <v>1228</v>
      </c>
      <c r="D312" s="63" t="s">
        <v>1151</v>
      </c>
      <c r="E312" s="64">
        <v>91</v>
      </c>
      <c r="F312" s="65"/>
      <c r="G312" s="66" t="b">
        <f>ISNUMBER(MATCH(C312,'Pareto Analysis'!$A$48:$A$114,0))</f>
        <v>1</v>
      </c>
      <c r="H312" s="67" t="str">
        <f t="shared" si="4"/>
        <v>👍</v>
      </c>
      <c r="I312" s="69"/>
      <c r="J312" s="20"/>
      <c r="K312" s="20"/>
      <c r="L312" s="20"/>
      <c r="M312" s="20"/>
      <c r="N312" s="20"/>
      <c r="O312" s="20"/>
      <c r="P312" s="20"/>
      <c r="Q312" s="20"/>
      <c r="R312" s="20"/>
      <c r="S312" s="20"/>
      <c r="T312" s="20"/>
      <c r="U312" s="20"/>
      <c r="V312" s="20"/>
      <c r="W312" s="20"/>
      <c r="X312" s="20"/>
      <c r="Y312" s="20"/>
      <c r="Z312" s="20"/>
      <c r="AA312" s="20"/>
      <c r="AB312" s="20"/>
      <c r="AC312" s="20"/>
      <c r="AD312" s="20"/>
      <c r="AE312" s="20"/>
      <c r="AF312" s="20"/>
      <c r="AG312" s="20"/>
      <c r="AH312" s="20"/>
      <c r="AI312" s="20"/>
      <c r="AJ312" s="20"/>
      <c r="AK312" s="20"/>
      <c r="AL312" s="20"/>
      <c r="AM312" s="20"/>
      <c r="AN312" s="20"/>
      <c r="AO312" s="20"/>
      <c r="AP312" s="20"/>
      <c r="AQ312" s="20"/>
      <c r="AR312" s="20"/>
      <c r="AS312" s="20"/>
      <c r="AT312" s="20"/>
      <c r="AU312" s="20"/>
      <c r="AV312" s="20"/>
      <c r="AW312" s="20"/>
      <c r="AX312" s="20"/>
      <c r="AY312" s="20"/>
      <c r="AZ312" s="20"/>
      <c r="BA312" s="20"/>
      <c r="BB312" s="20"/>
      <c r="BC312" s="20"/>
    </row>
    <row r="313" ht="13.5" customHeight="1" spans="1:55">
      <c r="A313" s="20"/>
      <c r="B313" s="62">
        <v>38272</v>
      </c>
      <c r="C313" s="63" t="s">
        <v>1223</v>
      </c>
      <c r="D313" s="63" t="s">
        <v>1148</v>
      </c>
      <c r="E313" s="64">
        <v>92.8</v>
      </c>
      <c r="F313" s="65"/>
      <c r="G313" s="66" t="b">
        <f>ISNUMBER(MATCH(C313,'Pareto Analysis'!$A$48:$A$114,0))</f>
        <v>1</v>
      </c>
      <c r="H313" s="67" t="str">
        <f t="shared" si="4"/>
        <v>👍</v>
      </c>
      <c r="I313" s="69"/>
      <c r="J313" s="20"/>
      <c r="K313" s="20"/>
      <c r="L313" s="20"/>
      <c r="M313" s="20"/>
      <c r="N313" s="20"/>
      <c r="O313" s="20"/>
      <c r="P313" s="20"/>
      <c r="Q313" s="20"/>
      <c r="R313" s="20"/>
      <c r="S313" s="20"/>
      <c r="T313" s="20"/>
      <c r="U313" s="20"/>
      <c r="V313" s="20"/>
      <c r="W313" s="20"/>
      <c r="X313" s="20"/>
      <c r="Y313" s="20"/>
      <c r="Z313" s="20"/>
      <c r="AA313" s="20"/>
      <c r="AB313" s="20"/>
      <c r="AC313" s="20"/>
      <c r="AD313" s="20"/>
      <c r="AE313" s="20"/>
      <c r="AF313" s="20"/>
      <c r="AG313" s="20"/>
      <c r="AH313" s="20"/>
      <c r="AI313" s="20"/>
      <c r="AJ313" s="20"/>
      <c r="AK313" s="20"/>
      <c r="AL313" s="20"/>
      <c r="AM313" s="20"/>
      <c r="AN313" s="20"/>
      <c r="AO313" s="20"/>
      <c r="AP313" s="20"/>
      <c r="AQ313" s="20"/>
      <c r="AR313" s="20"/>
      <c r="AS313" s="20"/>
      <c r="AT313" s="20"/>
      <c r="AU313" s="20"/>
      <c r="AV313" s="20"/>
      <c r="AW313" s="20"/>
      <c r="AX313" s="20"/>
      <c r="AY313" s="20"/>
      <c r="AZ313" s="20"/>
      <c r="BA313" s="20"/>
      <c r="BB313" s="20"/>
      <c r="BC313" s="20"/>
    </row>
    <row r="314" ht="13.5" customHeight="1" spans="1:55">
      <c r="A314" s="20"/>
      <c r="B314" s="62">
        <v>38270</v>
      </c>
      <c r="C314" s="63" t="s">
        <v>1236</v>
      </c>
      <c r="D314" s="63" t="s">
        <v>1153</v>
      </c>
      <c r="E314" s="64">
        <v>93</v>
      </c>
      <c r="F314" s="65"/>
      <c r="G314" s="66" t="b">
        <f>ISNUMBER(MATCH(C314,'Pareto Analysis'!$A$48:$A$114,0))</f>
        <v>0</v>
      </c>
      <c r="H314" s="67" t="str">
        <f t="shared" si="4"/>
        <v>👎</v>
      </c>
      <c r="I314" s="69"/>
      <c r="J314" s="20"/>
      <c r="K314" s="20"/>
      <c r="L314" s="20"/>
      <c r="M314" s="20"/>
      <c r="N314" s="20"/>
      <c r="O314" s="20"/>
      <c r="P314" s="20"/>
      <c r="Q314" s="20"/>
      <c r="R314" s="20"/>
      <c r="S314" s="20"/>
      <c r="T314" s="20"/>
      <c r="U314" s="20"/>
      <c r="V314" s="20"/>
      <c r="W314" s="20"/>
      <c r="X314" s="20"/>
      <c r="Y314" s="20"/>
      <c r="Z314" s="20"/>
      <c r="AA314" s="20"/>
      <c r="AB314" s="20"/>
      <c r="AC314" s="20"/>
      <c r="AD314" s="20"/>
      <c r="AE314" s="20"/>
      <c r="AF314" s="20"/>
      <c r="AG314" s="20"/>
      <c r="AH314" s="20"/>
      <c r="AI314" s="20"/>
      <c r="AJ314" s="20"/>
      <c r="AK314" s="20"/>
      <c r="AL314" s="20"/>
      <c r="AM314" s="20"/>
      <c r="AN314" s="20"/>
      <c r="AO314" s="20"/>
      <c r="AP314" s="20"/>
      <c r="AQ314" s="20"/>
      <c r="AR314" s="20"/>
      <c r="AS314" s="20"/>
      <c r="AT314" s="20"/>
      <c r="AU314" s="20"/>
      <c r="AV314" s="20"/>
      <c r="AW314" s="20"/>
      <c r="AX314" s="20"/>
      <c r="AY314" s="20"/>
      <c r="AZ314" s="20"/>
      <c r="BA314" s="20"/>
      <c r="BB314" s="20"/>
      <c r="BC314" s="20"/>
    </row>
    <row r="315" ht="13.5" customHeight="1" spans="1:55">
      <c r="A315" s="20"/>
      <c r="B315" s="62">
        <v>38285</v>
      </c>
      <c r="C315" s="63" t="s">
        <v>1237</v>
      </c>
      <c r="D315" s="63" t="s">
        <v>1151</v>
      </c>
      <c r="E315" s="64">
        <v>93</v>
      </c>
      <c r="F315" s="65"/>
      <c r="G315" s="66" t="b">
        <f>ISNUMBER(MATCH(C315,'Pareto Analysis'!$A$48:$A$114,0))</f>
        <v>1</v>
      </c>
      <c r="H315" s="67" t="str">
        <f t="shared" si="4"/>
        <v>👍</v>
      </c>
      <c r="I315" s="69"/>
      <c r="J315" s="20"/>
      <c r="K315" s="20"/>
      <c r="L315" s="20"/>
      <c r="M315" s="20"/>
      <c r="N315" s="20"/>
      <c r="O315" s="20"/>
      <c r="P315" s="20"/>
      <c r="Q315" s="20"/>
      <c r="R315" s="20"/>
      <c r="S315" s="20"/>
      <c r="T315" s="20"/>
      <c r="U315" s="20"/>
      <c r="V315" s="20"/>
      <c r="W315" s="20"/>
      <c r="X315" s="20"/>
      <c r="Y315" s="20"/>
      <c r="Z315" s="20"/>
      <c r="AA315" s="20"/>
      <c r="AB315" s="20"/>
      <c r="AC315" s="20"/>
      <c r="AD315" s="20"/>
      <c r="AE315" s="20"/>
      <c r="AF315" s="20"/>
      <c r="AG315" s="20"/>
      <c r="AH315" s="20"/>
      <c r="AI315" s="20"/>
      <c r="AJ315" s="20"/>
      <c r="AK315" s="20"/>
      <c r="AL315" s="20"/>
      <c r="AM315" s="20"/>
      <c r="AN315" s="20"/>
      <c r="AO315" s="20"/>
      <c r="AP315" s="20"/>
      <c r="AQ315" s="20"/>
      <c r="AR315" s="20"/>
      <c r="AS315" s="20"/>
      <c r="AT315" s="20"/>
      <c r="AU315" s="20"/>
      <c r="AV315" s="20"/>
      <c r="AW315" s="20"/>
      <c r="AX315" s="20"/>
      <c r="AY315" s="20"/>
      <c r="AZ315" s="20"/>
      <c r="BA315" s="20"/>
      <c r="BB315" s="20"/>
      <c r="BC315" s="20"/>
    </row>
    <row r="316" ht="13.5" customHeight="1" spans="1:55">
      <c r="A316" s="20"/>
      <c r="B316" s="62">
        <v>38280</v>
      </c>
      <c r="C316" s="63" t="s">
        <v>1238</v>
      </c>
      <c r="D316" s="63" t="s">
        <v>1156</v>
      </c>
      <c r="E316" s="64">
        <v>97</v>
      </c>
      <c r="F316" s="65"/>
      <c r="G316" s="66" t="b">
        <f>ISNUMBER(MATCH(C316,'Pareto Analysis'!$A$48:$A$114,0))</f>
        <v>0</v>
      </c>
      <c r="H316" s="67" t="str">
        <f t="shared" si="4"/>
        <v>👎</v>
      </c>
      <c r="I316" s="69"/>
      <c r="J316" s="20"/>
      <c r="K316" s="20"/>
      <c r="L316" s="20"/>
      <c r="M316" s="20"/>
      <c r="N316" s="20"/>
      <c r="O316" s="20"/>
      <c r="P316" s="20"/>
      <c r="Q316" s="20"/>
      <c r="R316" s="20"/>
      <c r="S316" s="20"/>
      <c r="T316" s="20"/>
      <c r="U316" s="20"/>
      <c r="V316" s="20"/>
      <c r="W316" s="20"/>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row>
    <row r="317" ht="13.5" customHeight="1" spans="1:55">
      <c r="A317" s="20"/>
      <c r="B317" s="62">
        <v>38274</v>
      </c>
      <c r="C317" s="63" t="s">
        <v>1221</v>
      </c>
      <c r="D317" s="63" t="s">
        <v>1153</v>
      </c>
      <c r="E317" s="64">
        <v>100</v>
      </c>
      <c r="F317" s="65"/>
      <c r="G317" s="66" t="b">
        <f>ISNUMBER(MATCH(C317,'Pareto Analysis'!$A$48:$A$114,0))</f>
        <v>1</v>
      </c>
      <c r="H317" s="67" t="str">
        <f t="shared" si="4"/>
        <v>👍</v>
      </c>
      <c r="I317" s="69"/>
      <c r="J317" s="20"/>
      <c r="K317" s="20"/>
      <c r="L317" s="20"/>
      <c r="M317" s="20"/>
      <c r="N317" s="20"/>
      <c r="O317" s="20"/>
      <c r="P317" s="20"/>
      <c r="Q317" s="20"/>
      <c r="R317" s="20"/>
      <c r="S317" s="20"/>
      <c r="T317" s="20"/>
      <c r="U317" s="20"/>
      <c r="V317" s="20"/>
      <c r="W317" s="20"/>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row>
    <row r="318" ht="13.5" customHeight="1" spans="1:55">
      <c r="A318" s="20"/>
      <c r="B318" s="62">
        <v>38270</v>
      </c>
      <c r="C318" s="63" t="s">
        <v>1176</v>
      </c>
      <c r="D318" s="63" t="s">
        <v>1153</v>
      </c>
      <c r="E318" s="64">
        <v>102</v>
      </c>
      <c r="F318" s="65"/>
      <c r="G318" s="66" t="b">
        <f>ISNUMBER(MATCH(C318,'Pareto Analysis'!$A$48:$A$114,0))</f>
        <v>1</v>
      </c>
      <c r="H318" s="67" t="str">
        <f t="shared" si="4"/>
        <v>👍</v>
      </c>
      <c r="I318" s="69"/>
      <c r="J318" s="20"/>
      <c r="K318" s="20"/>
      <c r="L318" s="20"/>
      <c r="M318" s="20"/>
      <c r="N318" s="20"/>
      <c r="O318" s="20"/>
      <c r="P318" s="20"/>
      <c r="Q318" s="20"/>
      <c r="R318" s="20"/>
      <c r="S318" s="20"/>
      <c r="T318" s="20"/>
      <c r="U318" s="20"/>
      <c r="V318" s="20"/>
      <c r="W318" s="20"/>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row>
    <row r="319" ht="13.5" customHeight="1" spans="1:55">
      <c r="A319" s="20"/>
      <c r="B319" s="62">
        <v>38277</v>
      </c>
      <c r="C319" s="63" t="s">
        <v>1221</v>
      </c>
      <c r="D319" s="63" t="s">
        <v>1153</v>
      </c>
      <c r="E319" s="64">
        <v>103</v>
      </c>
      <c r="F319" s="65"/>
      <c r="G319" s="66" t="b">
        <f>ISNUMBER(MATCH(C319,'Pareto Analysis'!$A$48:$A$114,0))</f>
        <v>1</v>
      </c>
      <c r="H319" s="67" t="str">
        <f t="shared" si="4"/>
        <v>👍</v>
      </c>
      <c r="I319" s="69"/>
      <c r="J319" s="20"/>
      <c r="K319" s="20"/>
      <c r="L319" s="20"/>
      <c r="M319" s="20"/>
      <c r="N319" s="20"/>
      <c r="O319" s="20"/>
      <c r="P319" s="20"/>
      <c r="Q319" s="20"/>
      <c r="R319" s="20"/>
      <c r="S319" s="20"/>
      <c r="T319" s="20"/>
      <c r="U319" s="20"/>
      <c r="V319" s="20"/>
      <c r="W319" s="20"/>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row>
    <row r="320" ht="13.5" customHeight="1" spans="1:55">
      <c r="A320" s="20"/>
      <c r="B320" s="62">
        <v>38280</v>
      </c>
      <c r="C320" s="63" t="s">
        <v>1220</v>
      </c>
      <c r="D320" s="63" t="s">
        <v>1153</v>
      </c>
      <c r="E320" s="64">
        <v>105</v>
      </c>
      <c r="F320" s="65"/>
      <c r="G320" s="66" t="b">
        <f>ISNUMBER(MATCH(C320,'Pareto Analysis'!$A$48:$A$114,0))</f>
        <v>1</v>
      </c>
      <c r="H320" s="67" t="str">
        <f t="shared" si="4"/>
        <v>👍</v>
      </c>
      <c r="I320" s="69"/>
      <c r="J320" s="20"/>
      <c r="K320" s="20"/>
      <c r="L320" s="20"/>
      <c r="M320" s="20"/>
      <c r="N320" s="20"/>
      <c r="O320" s="20"/>
      <c r="P320" s="20"/>
      <c r="Q320" s="20"/>
      <c r="R320" s="20"/>
      <c r="S320" s="20"/>
      <c r="T320" s="20"/>
      <c r="U320" s="20"/>
      <c r="V320" s="20"/>
      <c r="W320" s="20"/>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row>
    <row r="321" ht="13.5" customHeight="1" spans="1:55">
      <c r="A321" s="20"/>
      <c r="B321" s="62">
        <v>38284</v>
      </c>
      <c r="C321" s="63" t="s">
        <v>1215</v>
      </c>
      <c r="D321" s="63" t="s">
        <v>1153</v>
      </c>
      <c r="E321" s="64">
        <v>106</v>
      </c>
      <c r="F321" s="65"/>
      <c r="G321" s="66" t="b">
        <f>ISNUMBER(MATCH(C321,'Pareto Analysis'!$A$48:$A$114,0))</f>
        <v>1</v>
      </c>
      <c r="H321" s="67" t="str">
        <f t="shared" si="4"/>
        <v>👍</v>
      </c>
      <c r="I321" s="69"/>
      <c r="J321" s="20"/>
      <c r="K321" s="20"/>
      <c r="L321" s="20"/>
      <c r="M321" s="20"/>
      <c r="N321" s="20"/>
      <c r="O321" s="20"/>
      <c r="P321" s="20"/>
      <c r="Q321" s="20"/>
      <c r="R321" s="20"/>
      <c r="S321" s="20"/>
      <c r="T321" s="20"/>
      <c r="U321" s="20"/>
      <c r="V321" s="20"/>
      <c r="W321" s="20"/>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row>
    <row r="322" ht="13.5" customHeight="1" spans="1:55">
      <c r="A322" s="20"/>
      <c r="B322" s="62">
        <v>38281</v>
      </c>
      <c r="C322" s="63" t="s">
        <v>1219</v>
      </c>
      <c r="D322" s="63" t="s">
        <v>1156</v>
      </c>
      <c r="E322" s="64">
        <v>111</v>
      </c>
      <c r="F322" s="65"/>
      <c r="G322" s="66" t="b">
        <f>ISNUMBER(MATCH(C322,'Pareto Analysis'!$A$48:$A$114,0))</f>
        <v>1</v>
      </c>
      <c r="H322" s="67" t="str">
        <f t="shared" si="4"/>
        <v>👍</v>
      </c>
      <c r="I322" s="69"/>
      <c r="J322" s="20"/>
      <c r="K322" s="20"/>
      <c r="L322" s="20"/>
      <c r="M322" s="20"/>
      <c r="N322" s="20"/>
      <c r="O322" s="20"/>
      <c r="P322" s="20"/>
      <c r="Q322" s="20"/>
      <c r="R322" s="20"/>
      <c r="S322" s="20"/>
      <c r="T322" s="20"/>
      <c r="U322" s="20"/>
      <c r="V322" s="20"/>
      <c r="W322" s="20"/>
      <c r="X322" s="20"/>
      <c r="Y322" s="20"/>
      <c r="Z322" s="20"/>
      <c r="AA322" s="20"/>
      <c r="AB322" s="20"/>
      <c r="AC322" s="20"/>
      <c r="AD322" s="20"/>
      <c r="AE322" s="20"/>
      <c r="AF322" s="20"/>
      <c r="AG322" s="20"/>
      <c r="AH322" s="20"/>
      <c r="AI322" s="20"/>
      <c r="AJ322" s="20"/>
      <c r="AK322" s="20"/>
      <c r="AL322" s="20"/>
      <c r="AM322" s="20"/>
      <c r="AN322" s="20"/>
      <c r="AO322" s="20"/>
      <c r="AP322" s="20"/>
      <c r="AQ322" s="20"/>
      <c r="AR322" s="20"/>
      <c r="AS322" s="20"/>
      <c r="AT322" s="20"/>
      <c r="AU322" s="20"/>
      <c r="AV322" s="20"/>
      <c r="AW322" s="20"/>
      <c r="AX322" s="20"/>
      <c r="AY322" s="20"/>
      <c r="AZ322" s="20"/>
      <c r="BA322" s="20"/>
      <c r="BB322" s="20"/>
      <c r="BC322" s="20"/>
    </row>
    <row r="323" ht="13.5" customHeight="1" spans="1:55">
      <c r="A323" s="20"/>
      <c r="B323" s="62">
        <v>38280</v>
      </c>
      <c r="C323" s="63" t="s">
        <v>1230</v>
      </c>
      <c r="D323" s="63" t="s">
        <v>1153</v>
      </c>
      <c r="E323" s="64">
        <v>112</v>
      </c>
      <c r="F323" s="65"/>
      <c r="G323" s="66" t="b">
        <f>ISNUMBER(MATCH(C323,'Pareto Analysis'!$A$48:$A$114,0))</f>
        <v>1</v>
      </c>
      <c r="H323" s="67" t="str">
        <f t="shared" si="4"/>
        <v>👍</v>
      </c>
      <c r="I323" s="69"/>
      <c r="J323" s="20"/>
      <c r="K323" s="20"/>
      <c r="L323" s="20"/>
      <c r="M323" s="20"/>
      <c r="N323" s="20"/>
      <c r="O323" s="20"/>
      <c r="P323" s="20"/>
      <c r="Q323" s="20"/>
      <c r="R323" s="20"/>
      <c r="S323" s="20"/>
      <c r="T323" s="20"/>
      <c r="U323" s="20"/>
      <c r="V323" s="20"/>
      <c r="W323" s="20"/>
      <c r="X323" s="20"/>
      <c r="Y323" s="20"/>
      <c r="Z323" s="20"/>
      <c r="AA323" s="20"/>
      <c r="AB323" s="20"/>
      <c r="AC323" s="20"/>
      <c r="AD323" s="20"/>
      <c r="AE323" s="20"/>
      <c r="AF323" s="20"/>
      <c r="AG323" s="20"/>
      <c r="AH323" s="20"/>
      <c r="AI323" s="20"/>
      <c r="AJ323" s="20"/>
      <c r="AK323" s="20"/>
      <c r="AL323" s="20"/>
      <c r="AM323" s="20"/>
      <c r="AN323" s="20"/>
      <c r="AO323" s="20"/>
      <c r="AP323" s="20"/>
      <c r="AQ323" s="20"/>
      <c r="AR323" s="20"/>
      <c r="AS323" s="20"/>
      <c r="AT323" s="20"/>
      <c r="AU323" s="20"/>
      <c r="AV323" s="20"/>
      <c r="AW323" s="20"/>
      <c r="AX323" s="20"/>
      <c r="AY323" s="20"/>
      <c r="AZ323" s="20"/>
      <c r="BA323" s="20"/>
      <c r="BB323" s="20"/>
      <c r="BC323" s="20"/>
    </row>
    <row r="324" ht="13.5" customHeight="1" spans="1:55">
      <c r="A324" s="20"/>
      <c r="B324" s="62">
        <v>38284</v>
      </c>
      <c r="C324" s="63" t="s">
        <v>1239</v>
      </c>
      <c r="D324" s="63" t="s">
        <v>1151</v>
      </c>
      <c r="E324" s="64">
        <v>112</v>
      </c>
      <c r="F324" s="65"/>
      <c r="G324" s="66" t="b">
        <f>ISNUMBER(MATCH(C324,'Pareto Analysis'!$A$48:$A$114,0))</f>
        <v>1</v>
      </c>
      <c r="H324" s="67" t="str">
        <f t="shared" si="4"/>
        <v>👍</v>
      </c>
      <c r="I324" s="69"/>
      <c r="J324" s="20"/>
      <c r="K324" s="20"/>
      <c r="L324" s="20"/>
      <c r="M324" s="20"/>
      <c r="N324" s="20"/>
      <c r="O324" s="20"/>
      <c r="P324" s="20"/>
      <c r="Q324" s="20"/>
      <c r="R324" s="20"/>
      <c r="S324" s="20"/>
      <c r="T324" s="20"/>
      <c r="U324" s="20"/>
      <c r="V324" s="20"/>
      <c r="W324" s="20"/>
      <c r="X324" s="20"/>
      <c r="Y324" s="20"/>
      <c r="Z324" s="20"/>
      <c r="AA324" s="20"/>
      <c r="AB324" s="20"/>
      <c r="AC324" s="20"/>
      <c r="AD324" s="20"/>
      <c r="AE324" s="20"/>
      <c r="AF324" s="20"/>
      <c r="AG324" s="20"/>
      <c r="AH324" s="20"/>
      <c r="AI324" s="20"/>
      <c r="AJ324" s="20"/>
      <c r="AK324" s="20"/>
      <c r="AL324" s="20"/>
      <c r="AM324" s="20"/>
      <c r="AN324" s="20"/>
      <c r="AO324" s="20"/>
      <c r="AP324" s="20"/>
      <c r="AQ324" s="20"/>
      <c r="AR324" s="20"/>
      <c r="AS324" s="20"/>
      <c r="AT324" s="20"/>
      <c r="AU324" s="20"/>
      <c r="AV324" s="20"/>
      <c r="AW324" s="20"/>
      <c r="AX324" s="20"/>
      <c r="AY324" s="20"/>
      <c r="AZ324" s="20"/>
      <c r="BA324" s="20"/>
      <c r="BB324" s="20"/>
      <c r="BC324" s="20"/>
    </row>
    <row r="325" ht="13.5" customHeight="1" spans="1:55">
      <c r="A325" s="20"/>
      <c r="B325" s="62">
        <v>38271</v>
      </c>
      <c r="C325" s="63" t="s">
        <v>1240</v>
      </c>
      <c r="D325" s="63" t="s">
        <v>1156</v>
      </c>
      <c r="E325" s="64">
        <v>115</v>
      </c>
      <c r="F325" s="65"/>
      <c r="G325" s="66" t="b">
        <f>ISNUMBER(MATCH(C325,'Pareto Analysis'!$A$48:$A$114,0))</f>
        <v>1</v>
      </c>
      <c r="H325" s="67" t="str">
        <f t="shared" si="4"/>
        <v>👍</v>
      </c>
      <c r="I325" s="69"/>
      <c r="J325" s="20"/>
      <c r="K325" s="20"/>
      <c r="L325" s="20"/>
      <c r="M325" s="20"/>
      <c r="N325" s="20"/>
      <c r="O325" s="20"/>
      <c r="P325" s="20"/>
      <c r="Q325" s="20"/>
      <c r="R325" s="20"/>
      <c r="S325" s="20"/>
      <c r="T325" s="20"/>
      <c r="U325" s="20"/>
      <c r="V325" s="20"/>
      <c r="W325" s="20"/>
      <c r="X325" s="20"/>
      <c r="Y325" s="20"/>
      <c r="Z325" s="20"/>
      <c r="AA325" s="20"/>
      <c r="AB325" s="20"/>
      <c r="AC325" s="20"/>
      <c r="AD325" s="20"/>
      <c r="AE325" s="20"/>
      <c r="AF325" s="20"/>
      <c r="AG325" s="20"/>
      <c r="AH325" s="20"/>
      <c r="AI325" s="20"/>
      <c r="AJ325" s="20"/>
      <c r="AK325" s="20"/>
      <c r="AL325" s="20"/>
      <c r="AM325" s="20"/>
      <c r="AN325" s="20"/>
      <c r="AO325" s="20"/>
      <c r="AP325" s="20"/>
      <c r="AQ325" s="20"/>
      <c r="AR325" s="20"/>
      <c r="AS325" s="20"/>
      <c r="AT325" s="20"/>
      <c r="AU325" s="20"/>
      <c r="AV325" s="20"/>
      <c r="AW325" s="20"/>
      <c r="AX325" s="20"/>
      <c r="AY325" s="20"/>
      <c r="AZ325" s="20"/>
      <c r="BA325" s="20"/>
      <c r="BB325" s="20"/>
      <c r="BC325" s="20"/>
    </row>
    <row r="326" ht="13.5" customHeight="1" spans="1:55">
      <c r="A326" s="20"/>
      <c r="B326" s="62">
        <v>38273</v>
      </c>
      <c r="C326" s="63" t="s">
        <v>1222</v>
      </c>
      <c r="D326" s="63" t="s">
        <v>1153</v>
      </c>
      <c r="E326" s="64">
        <v>117</v>
      </c>
      <c r="F326" s="65"/>
      <c r="G326" s="66" t="b">
        <f>ISNUMBER(MATCH(C326,'Pareto Analysis'!$A$48:$A$114,0))</f>
        <v>1</v>
      </c>
      <c r="H326" s="67" t="str">
        <f t="shared" si="4"/>
        <v>👍</v>
      </c>
      <c r="I326" s="69"/>
      <c r="J326" s="20"/>
      <c r="K326" s="20"/>
      <c r="L326" s="20"/>
      <c r="M326" s="20"/>
      <c r="N326" s="20"/>
      <c r="O326" s="20"/>
      <c r="P326" s="20"/>
      <c r="Q326" s="20"/>
      <c r="R326" s="20"/>
      <c r="S326" s="20"/>
      <c r="T326" s="20"/>
      <c r="U326" s="20"/>
      <c r="V326" s="20"/>
      <c r="W326" s="20"/>
      <c r="X326" s="20"/>
      <c r="Y326" s="20"/>
      <c r="Z326" s="20"/>
      <c r="AA326" s="20"/>
      <c r="AB326" s="20"/>
      <c r="AC326" s="20"/>
      <c r="AD326" s="20"/>
      <c r="AE326" s="20"/>
      <c r="AF326" s="20"/>
      <c r="AG326" s="20"/>
      <c r="AH326" s="20"/>
      <c r="AI326" s="20"/>
      <c r="AJ326" s="20"/>
      <c r="AK326" s="20"/>
      <c r="AL326" s="20"/>
      <c r="AM326" s="20"/>
      <c r="AN326" s="20"/>
      <c r="AO326" s="20"/>
      <c r="AP326" s="20"/>
      <c r="AQ326" s="20"/>
      <c r="AR326" s="20"/>
      <c r="AS326" s="20"/>
      <c r="AT326" s="20"/>
      <c r="AU326" s="20"/>
      <c r="AV326" s="20"/>
      <c r="AW326" s="20"/>
      <c r="AX326" s="20"/>
      <c r="AY326" s="20"/>
      <c r="AZ326" s="20"/>
      <c r="BA326" s="20"/>
      <c r="BB326" s="20"/>
      <c r="BC326" s="20"/>
    </row>
    <row r="327" ht="13.5" customHeight="1" spans="1:55">
      <c r="A327" s="20"/>
      <c r="B327" s="62">
        <v>38273</v>
      </c>
      <c r="C327" s="63" t="s">
        <v>1213</v>
      </c>
      <c r="D327" s="63" t="s">
        <v>1153</v>
      </c>
      <c r="E327" s="64">
        <v>118</v>
      </c>
      <c r="F327" s="65"/>
      <c r="G327" s="66" t="b">
        <f>ISNUMBER(MATCH(C327,'Pareto Analysis'!$A$48:$A$114,0))</f>
        <v>1</v>
      </c>
      <c r="H327" s="67" t="str">
        <f t="shared" ref="H327:H390" si="5">IF(G327=TRUE,"👍",IF(G327=FALSE,"👎",""))</f>
        <v>👍</v>
      </c>
      <c r="I327" s="69"/>
      <c r="J327" s="20"/>
      <c r="K327" s="20"/>
      <c r="L327" s="20"/>
      <c r="M327" s="20"/>
      <c r="N327" s="20"/>
      <c r="O327" s="20"/>
      <c r="P327" s="20"/>
      <c r="Q327" s="20"/>
      <c r="R327" s="20"/>
      <c r="S327" s="20"/>
      <c r="T327" s="20"/>
      <c r="U327" s="20"/>
      <c r="V327" s="20"/>
      <c r="W327" s="20"/>
      <c r="X327" s="20"/>
      <c r="Y327" s="20"/>
      <c r="Z327" s="20"/>
      <c r="AA327" s="20"/>
      <c r="AB327" s="20"/>
      <c r="AC327" s="20"/>
      <c r="AD327" s="20"/>
      <c r="AE327" s="20"/>
      <c r="AF327" s="20"/>
      <c r="AG327" s="20"/>
      <c r="AH327" s="20"/>
      <c r="AI327" s="20"/>
      <c r="AJ327" s="20"/>
      <c r="AK327" s="20"/>
      <c r="AL327" s="20"/>
      <c r="AM327" s="20"/>
      <c r="AN327" s="20"/>
      <c r="AO327" s="20"/>
      <c r="AP327" s="20"/>
      <c r="AQ327" s="20"/>
      <c r="AR327" s="20"/>
      <c r="AS327" s="20"/>
      <c r="AT327" s="20"/>
      <c r="AU327" s="20"/>
      <c r="AV327" s="20"/>
      <c r="AW327" s="20"/>
      <c r="AX327" s="20"/>
      <c r="AY327" s="20"/>
      <c r="AZ327" s="20"/>
      <c r="BA327" s="20"/>
      <c r="BB327" s="20"/>
      <c r="BC327" s="20"/>
    </row>
    <row r="328" ht="13.5" customHeight="1" spans="1:55">
      <c r="A328" s="20"/>
      <c r="B328" s="62">
        <v>38280</v>
      </c>
      <c r="C328" s="63" t="s">
        <v>1241</v>
      </c>
      <c r="D328" s="63" t="s">
        <v>1153</v>
      </c>
      <c r="E328" s="64">
        <v>118</v>
      </c>
      <c r="F328" s="65"/>
      <c r="G328" s="66" t="b">
        <f>ISNUMBER(MATCH(C328,'Pareto Analysis'!$A$48:$A$114,0))</f>
        <v>1</v>
      </c>
      <c r="H328" s="67" t="str">
        <f t="shared" si="5"/>
        <v>👍</v>
      </c>
      <c r="I328" s="69"/>
      <c r="J328" s="20"/>
      <c r="K328" s="20"/>
      <c r="L328" s="20"/>
      <c r="M328" s="20"/>
      <c r="N328" s="20"/>
      <c r="O328" s="20"/>
      <c r="P328" s="20"/>
      <c r="Q328" s="20"/>
      <c r="R328" s="20"/>
      <c r="S328" s="20"/>
      <c r="T328" s="20"/>
      <c r="U328" s="20"/>
      <c r="V328" s="20"/>
      <c r="W328" s="20"/>
      <c r="X328" s="20"/>
      <c r="Y328" s="20"/>
      <c r="Z328" s="20"/>
      <c r="AA328" s="20"/>
      <c r="AB328" s="20"/>
      <c r="AC328" s="20"/>
      <c r="AD328" s="20"/>
      <c r="AE328" s="20"/>
      <c r="AF328" s="20"/>
      <c r="AG328" s="20"/>
      <c r="AH328" s="20"/>
      <c r="AI328" s="20"/>
      <c r="AJ328" s="20"/>
      <c r="AK328" s="20"/>
      <c r="AL328" s="20"/>
      <c r="AM328" s="20"/>
      <c r="AN328" s="20"/>
      <c r="AO328" s="20"/>
      <c r="AP328" s="20"/>
      <c r="AQ328" s="20"/>
      <c r="AR328" s="20"/>
      <c r="AS328" s="20"/>
      <c r="AT328" s="20"/>
      <c r="AU328" s="20"/>
      <c r="AV328" s="20"/>
      <c r="AW328" s="20"/>
      <c r="AX328" s="20"/>
      <c r="AY328" s="20"/>
      <c r="AZ328" s="20"/>
      <c r="BA328" s="20"/>
      <c r="BB328" s="20"/>
      <c r="BC328" s="20"/>
    </row>
    <row r="329" ht="13.5" customHeight="1" spans="1:55">
      <c r="A329" s="20"/>
      <c r="B329" s="62">
        <v>38280</v>
      </c>
      <c r="C329" s="63" t="s">
        <v>1233</v>
      </c>
      <c r="D329" s="63" t="s">
        <v>1151</v>
      </c>
      <c r="E329" s="64">
        <v>122</v>
      </c>
      <c r="F329" s="65"/>
      <c r="G329" s="66" t="b">
        <f>ISNUMBER(MATCH(C329,'Pareto Analysis'!$A$48:$A$114,0))</f>
        <v>1</v>
      </c>
      <c r="H329" s="67" t="str">
        <f t="shared" si="5"/>
        <v>👍</v>
      </c>
      <c r="I329" s="69"/>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row>
    <row r="330" ht="13.5" customHeight="1" spans="1:55">
      <c r="A330" s="20"/>
      <c r="B330" s="62">
        <v>38285</v>
      </c>
      <c r="C330" s="63" t="s">
        <v>1215</v>
      </c>
      <c r="D330" s="63" t="s">
        <v>1153</v>
      </c>
      <c r="E330" s="64">
        <v>122</v>
      </c>
      <c r="F330" s="65"/>
      <c r="G330" s="66" t="b">
        <f>ISNUMBER(MATCH(C330,'Pareto Analysis'!$A$48:$A$114,0))</f>
        <v>1</v>
      </c>
      <c r="H330" s="67" t="str">
        <f t="shared" si="5"/>
        <v>👍</v>
      </c>
      <c r="I330" s="69"/>
      <c r="J330" s="20"/>
      <c r="K330" s="20"/>
      <c r="L330" s="20"/>
      <c r="M330" s="20"/>
      <c r="N330" s="20"/>
      <c r="O330" s="20"/>
      <c r="P330" s="20"/>
      <c r="Q330" s="20"/>
      <c r="R330" s="20"/>
      <c r="S330" s="20"/>
      <c r="T330" s="20"/>
      <c r="U330" s="20"/>
      <c r="V330" s="20"/>
      <c r="W330" s="20"/>
      <c r="X330" s="20"/>
      <c r="Y330" s="20"/>
      <c r="Z330" s="20"/>
      <c r="AA330" s="20"/>
      <c r="AB330" s="20"/>
      <c r="AC330" s="20"/>
      <c r="AD330" s="20"/>
      <c r="AE330" s="20"/>
      <c r="AF330" s="20"/>
      <c r="AG330" s="20"/>
      <c r="AH330" s="20"/>
      <c r="AI330" s="20"/>
      <c r="AJ330" s="20"/>
      <c r="AK330" s="20"/>
      <c r="AL330" s="20"/>
      <c r="AM330" s="20"/>
      <c r="AN330" s="20"/>
      <c r="AO330" s="20"/>
      <c r="AP330" s="20"/>
      <c r="AQ330" s="20"/>
      <c r="AR330" s="20"/>
      <c r="AS330" s="20"/>
      <c r="AT330" s="20"/>
      <c r="AU330" s="20"/>
      <c r="AV330" s="20"/>
      <c r="AW330" s="20"/>
      <c r="AX330" s="20"/>
      <c r="AY330" s="20"/>
      <c r="AZ330" s="20"/>
      <c r="BA330" s="20"/>
      <c r="BB330" s="20"/>
      <c r="BC330" s="20"/>
    </row>
    <row r="331" ht="13.5" customHeight="1" spans="1:55">
      <c r="A331" s="20"/>
      <c r="B331" s="62">
        <v>38281</v>
      </c>
      <c r="C331" s="63" t="s">
        <v>1241</v>
      </c>
      <c r="D331" s="63" t="s">
        <v>1153</v>
      </c>
      <c r="E331" s="64">
        <v>123</v>
      </c>
      <c r="F331" s="65"/>
      <c r="G331" s="66" t="b">
        <f>ISNUMBER(MATCH(C331,'Pareto Analysis'!$A$48:$A$114,0))</f>
        <v>1</v>
      </c>
      <c r="H331" s="67" t="str">
        <f t="shared" si="5"/>
        <v>👍</v>
      </c>
      <c r="I331" s="69"/>
      <c r="J331" s="20"/>
      <c r="K331" s="20"/>
      <c r="L331" s="20"/>
      <c r="M331" s="20"/>
      <c r="N331" s="20"/>
      <c r="O331" s="20"/>
      <c r="P331" s="20"/>
      <c r="Q331" s="20"/>
      <c r="R331" s="20"/>
      <c r="S331" s="20"/>
      <c r="T331" s="20"/>
      <c r="U331" s="20"/>
      <c r="V331" s="20"/>
      <c r="W331" s="20"/>
      <c r="X331" s="20"/>
      <c r="Y331" s="20"/>
      <c r="Z331" s="20"/>
      <c r="AA331" s="20"/>
      <c r="AB331" s="20"/>
      <c r="AC331" s="20"/>
      <c r="AD331" s="20"/>
      <c r="AE331" s="20"/>
      <c r="AF331" s="20"/>
      <c r="AG331" s="20"/>
      <c r="AH331" s="20"/>
      <c r="AI331" s="20"/>
      <c r="AJ331" s="20"/>
      <c r="AK331" s="20"/>
      <c r="AL331" s="20"/>
      <c r="AM331" s="20"/>
      <c r="AN331" s="20"/>
      <c r="AO331" s="20"/>
      <c r="AP331" s="20"/>
      <c r="AQ331" s="20"/>
      <c r="AR331" s="20"/>
      <c r="AS331" s="20"/>
      <c r="AT331" s="20"/>
      <c r="AU331" s="20"/>
      <c r="AV331" s="20"/>
      <c r="AW331" s="20"/>
      <c r="AX331" s="20"/>
      <c r="AY331" s="20"/>
      <c r="AZ331" s="20"/>
      <c r="BA331" s="20"/>
      <c r="BB331" s="20"/>
      <c r="BC331" s="20"/>
    </row>
    <row r="332" ht="13.5" customHeight="1" spans="1:55">
      <c r="A332" s="20"/>
      <c r="B332" s="62">
        <v>38284</v>
      </c>
      <c r="C332" s="63" t="s">
        <v>1241</v>
      </c>
      <c r="D332" s="63" t="s">
        <v>1153</v>
      </c>
      <c r="E332" s="64">
        <v>124</v>
      </c>
      <c r="F332" s="65"/>
      <c r="G332" s="66" t="b">
        <f>ISNUMBER(MATCH(C332,'Pareto Analysis'!$A$48:$A$114,0))</f>
        <v>1</v>
      </c>
      <c r="H332" s="67" t="str">
        <f t="shared" si="5"/>
        <v>👍</v>
      </c>
      <c r="I332" s="69"/>
      <c r="J332" s="20"/>
      <c r="K332" s="20"/>
      <c r="L332" s="20"/>
      <c r="M332" s="20"/>
      <c r="N332" s="20"/>
      <c r="O332" s="20"/>
      <c r="P332" s="20"/>
      <c r="Q332" s="20"/>
      <c r="R332" s="20"/>
      <c r="S332" s="20"/>
      <c r="T332" s="20"/>
      <c r="U332" s="20"/>
      <c r="V332" s="20"/>
      <c r="W332" s="20"/>
      <c r="X332" s="20"/>
      <c r="Y332" s="20"/>
      <c r="Z332" s="20"/>
      <c r="AA332" s="20"/>
      <c r="AB332" s="20"/>
      <c r="AC332" s="20"/>
      <c r="AD332" s="20"/>
      <c r="AE332" s="20"/>
      <c r="AF332" s="20"/>
      <c r="AG332" s="20"/>
      <c r="AH332" s="20"/>
      <c r="AI332" s="20"/>
      <c r="AJ332" s="20"/>
      <c r="AK332" s="20"/>
      <c r="AL332" s="20"/>
      <c r="AM332" s="20"/>
      <c r="AN332" s="20"/>
      <c r="AO332" s="20"/>
      <c r="AP332" s="20"/>
      <c r="AQ332" s="20"/>
      <c r="AR332" s="20"/>
      <c r="AS332" s="20"/>
      <c r="AT332" s="20"/>
      <c r="AU332" s="20"/>
      <c r="AV332" s="20"/>
      <c r="AW332" s="20"/>
      <c r="AX332" s="20"/>
      <c r="AY332" s="20"/>
      <c r="AZ332" s="20"/>
      <c r="BA332" s="20"/>
      <c r="BB332" s="20"/>
      <c r="BC332" s="20"/>
    </row>
    <row r="333" ht="13.5" customHeight="1" spans="1:55">
      <c r="A333" s="20"/>
      <c r="B333" s="62">
        <v>38272</v>
      </c>
      <c r="C333" s="63" t="s">
        <v>1240</v>
      </c>
      <c r="D333" s="63" t="s">
        <v>1156</v>
      </c>
      <c r="E333" s="64">
        <v>125</v>
      </c>
      <c r="F333" s="65"/>
      <c r="G333" s="66" t="b">
        <f>ISNUMBER(MATCH(C333,'Pareto Analysis'!$A$48:$A$114,0))</f>
        <v>1</v>
      </c>
      <c r="H333" s="67" t="str">
        <f t="shared" si="5"/>
        <v>👍</v>
      </c>
      <c r="I333" s="69"/>
      <c r="J333" s="20"/>
      <c r="K333" s="20"/>
      <c r="L333" s="20"/>
      <c r="M333" s="20"/>
      <c r="N333" s="20"/>
      <c r="O333" s="20"/>
      <c r="P333" s="20"/>
      <c r="Q333" s="20"/>
      <c r="R333" s="20"/>
      <c r="S333" s="20"/>
      <c r="T333" s="20"/>
      <c r="U333" s="20"/>
      <c r="V333" s="20"/>
      <c r="W333" s="20"/>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row>
    <row r="334" ht="13.5" customHeight="1" spans="1:55">
      <c r="A334" s="20"/>
      <c r="B334" s="62">
        <v>38277</v>
      </c>
      <c r="C334" s="63" t="s">
        <v>1241</v>
      </c>
      <c r="D334" s="63" t="s">
        <v>1153</v>
      </c>
      <c r="E334" s="64">
        <v>127</v>
      </c>
      <c r="F334" s="65"/>
      <c r="G334" s="66" t="b">
        <f>ISNUMBER(MATCH(C334,'Pareto Analysis'!$A$48:$A$114,0))</f>
        <v>1</v>
      </c>
      <c r="H334" s="67" t="str">
        <f t="shared" si="5"/>
        <v>👍</v>
      </c>
      <c r="I334" s="69"/>
      <c r="J334" s="20"/>
      <c r="K334" s="20"/>
      <c r="L334" s="20"/>
      <c r="M334" s="20"/>
      <c r="N334" s="20"/>
      <c r="O334" s="20"/>
      <c r="P334" s="20"/>
      <c r="Q334" s="20"/>
      <c r="R334" s="20"/>
      <c r="S334" s="20"/>
      <c r="T334" s="20"/>
      <c r="U334" s="20"/>
      <c r="V334" s="20"/>
      <c r="W334" s="20"/>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row>
    <row r="335" ht="13.5" customHeight="1" spans="1:55">
      <c r="A335" s="20"/>
      <c r="B335" s="62">
        <v>38280</v>
      </c>
      <c r="C335" s="63" t="s">
        <v>1224</v>
      </c>
      <c r="D335" s="63" t="s">
        <v>1151</v>
      </c>
      <c r="E335" s="64">
        <v>127</v>
      </c>
      <c r="F335" s="65"/>
      <c r="G335" s="66" t="b">
        <f>ISNUMBER(MATCH(C335,'Pareto Analysis'!$A$48:$A$114,0))</f>
        <v>1</v>
      </c>
      <c r="H335" s="67" t="str">
        <f t="shared" si="5"/>
        <v>👍</v>
      </c>
      <c r="I335" s="69"/>
      <c r="J335" s="20"/>
      <c r="K335" s="20"/>
      <c r="L335" s="20"/>
      <c r="M335" s="20"/>
      <c r="N335" s="20"/>
      <c r="O335" s="20"/>
      <c r="P335" s="20"/>
      <c r="Q335" s="20"/>
      <c r="R335" s="20"/>
      <c r="S335" s="20"/>
      <c r="T335" s="20"/>
      <c r="U335" s="20"/>
      <c r="V335" s="20"/>
      <c r="W335" s="20"/>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row>
    <row r="336" ht="13.5" customHeight="1" spans="1:55">
      <c r="A336" s="20"/>
      <c r="B336" s="62">
        <v>38286</v>
      </c>
      <c r="C336" s="63" t="s">
        <v>1215</v>
      </c>
      <c r="D336" s="63" t="s">
        <v>1153</v>
      </c>
      <c r="E336" s="64">
        <v>128</v>
      </c>
      <c r="F336" s="65"/>
      <c r="G336" s="66" t="b">
        <f>ISNUMBER(MATCH(C336,'Pareto Analysis'!$A$48:$A$114,0))</f>
        <v>1</v>
      </c>
      <c r="H336" s="67" t="str">
        <f t="shared" si="5"/>
        <v>👍</v>
      </c>
      <c r="I336" s="69"/>
      <c r="J336" s="20"/>
      <c r="K336" s="20"/>
      <c r="L336" s="20"/>
      <c r="M336" s="20"/>
      <c r="N336" s="20"/>
      <c r="O336" s="20"/>
      <c r="P336" s="20"/>
      <c r="Q336" s="20"/>
      <c r="R336" s="20"/>
      <c r="S336" s="20"/>
      <c r="T336" s="20"/>
      <c r="U336" s="20"/>
      <c r="V336" s="20"/>
      <c r="W336" s="20"/>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row>
    <row r="337" ht="13.5" customHeight="1" spans="1:55">
      <c r="A337" s="20"/>
      <c r="B337" s="62">
        <v>38271</v>
      </c>
      <c r="C337" s="63" t="s">
        <v>1227</v>
      </c>
      <c r="D337" s="63" t="s">
        <v>1151</v>
      </c>
      <c r="E337" s="64">
        <v>130</v>
      </c>
      <c r="F337" s="65"/>
      <c r="G337" s="66" t="b">
        <f>ISNUMBER(MATCH(C337,'Pareto Analysis'!$A$48:$A$114,0))</f>
        <v>1</v>
      </c>
      <c r="H337" s="67" t="str">
        <f t="shared" si="5"/>
        <v>👍</v>
      </c>
      <c r="I337" s="69"/>
      <c r="J337" s="20"/>
      <c r="K337" s="20"/>
      <c r="L337" s="20"/>
      <c r="M337" s="20"/>
      <c r="N337" s="20"/>
      <c r="O337" s="20"/>
      <c r="P337" s="20"/>
      <c r="Q337" s="20"/>
      <c r="R337" s="20"/>
      <c r="S337" s="20"/>
      <c r="T337" s="20"/>
      <c r="U337" s="20"/>
      <c r="V337" s="20"/>
      <c r="W337" s="20"/>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row>
    <row r="338" ht="13.5" customHeight="1" spans="1:55">
      <c r="A338" s="20"/>
      <c r="B338" s="62">
        <v>38281</v>
      </c>
      <c r="C338" s="63" t="s">
        <v>1242</v>
      </c>
      <c r="D338" s="63" t="s">
        <v>1151</v>
      </c>
      <c r="E338" s="64">
        <v>130</v>
      </c>
      <c r="F338" s="65"/>
      <c r="G338" s="66" t="b">
        <f>ISNUMBER(MATCH(C338,'Pareto Analysis'!$A$48:$A$114,0))</f>
        <v>1</v>
      </c>
      <c r="H338" s="67" t="str">
        <f t="shared" si="5"/>
        <v>👍</v>
      </c>
      <c r="I338" s="69"/>
      <c r="J338" s="20"/>
      <c r="K338" s="70"/>
      <c r="L338" s="20"/>
      <c r="M338" s="20"/>
      <c r="N338" s="20"/>
      <c r="O338" s="20"/>
      <c r="P338" s="20"/>
      <c r="Q338" s="20"/>
      <c r="R338" s="20"/>
      <c r="S338" s="20"/>
      <c r="T338" s="20"/>
      <c r="U338" s="20"/>
      <c r="V338" s="20"/>
      <c r="W338" s="20"/>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row>
    <row r="339" ht="13.5" customHeight="1" spans="1:55">
      <c r="A339" s="20"/>
      <c r="B339" s="62">
        <v>38284</v>
      </c>
      <c r="C339" s="63" t="s">
        <v>1242</v>
      </c>
      <c r="D339" s="63" t="s">
        <v>1151</v>
      </c>
      <c r="E339" s="64">
        <v>130</v>
      </c>
      <c r="F339" s="65"/>
      <c r="G339" s="66" t="b">
        <f>ISNUMBER(MATCH(C339,'Pareto Analysis'!$A$48:$A$114,0))</f>
        <v>1</v>
      </c>
      <c r="H339" s="67" t="str">
        <f t="shared" si="5"/>
        <v>👍</v>
      </c>
      <c r="I339" s="69"/>
      <c r="J339" s="20"/>
      <c r="K339" s="20"/>
      <c r="L339" s="20"/>
      <c r="M339" s="20"/>
      <c r="N339" s="20"/>
      <c r="O339" s="20"/>
      <c r="P339" s="20"/>
      <c r="Q339" s="20"/>
      <c r="R339" s="20"/>
      <c r="S339" s="20"/>
      <c r="T339" s="20"/>
      <c r="U339" s="20"/>
      <c r="V339" s="20"/>
      <c r="W339" s="20"/>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row>
    <row r="340" ht="13.5" customHeight="1" spans="1:55">
      <c r="A340" s="20"/>
      <c r="B340" s="62">
        <v>38277</v>
      </c>
      <c r="C340" s="63" t="s">
        <v>1222</v>
      </c>
      <c r="D340" s="63" t="s">
        <v>1153</v>
      </c>
      <c r="E340" s="64">
        <v>133</v>
      </c>
      <c r="F340" s="65"/>
      <c r="G340" s="66" t="b">
        <f>ISNUMBER(MATCH(C340,'Pareto Analysis'!$A$48:$A$114,0))</f>
        <v>1</v>
      </c>
      <c r="H340" s="67" t="str">
        <f t="shared" si="5"/>
        <v>👍</v>
      </c>
      <c r="I340" s="69"/>
      <c r="J340" s="20"/>
      <c r="K340" s="20"/>
      <c r="L340" s="20"/>
      <c r="M340" s="20"/>
      <c r="N340" s="20"/>
      <c r="O340" s="20"/>
      <c r="P340" s="20"/>
      <c r="Q340" s="20"/>
      <c r="R340" s="20"/>
      <c r="S340" s="20"/>
      <c r="T340" s="20"/>
      <c r="U340" s="20"/>
      <c r="V340" s="20"/>
      <c r="W340" s="20"/>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row>
    <row r="341" ht="13.5" customHeight="1" spans="1:55">
      <c r="A341" s="20"/>
      <c r="B341" s="62">
        <v>38285</v>
      </c>
      <c r="C341" s="63" t="s">
        <v>1239</v>
      </c>
      <c r="D341" s="63" t="s">
        <v>1151</v>
      </c>
      <c r="E341" s="64">
        <v>134</v>
      </c>
      <c r="F341" s="65"/>
      <c r="G341" s="66" t="b">
        <f>ISNUMBER(MATCH(C341,'Pareto Analysis'!$A$48:$A$114,0))</f>
        <v>1</v>
      </c>
      <c r="H341" s="67" t="str">
        <f t="shared" si="5"/>
        <v>👍</v>
      </c>
      <c r="I341" s="69"/>
      <c r="J341" s="20"/>
      <c r="K341" s="20"/>
      <c r="L341" s="20"/>
      <c r="M341" s="20"/>
      <c r="N341" s="20"/>
      <c r="O341" s="20"/>
      <c r="P341" s="20"/>
      <c r="Q341" s="20"/>
      <c r="R341" s="20"/>
      <c r="S341" s="20"/>
      <c r="T341" s="20"/>
      <c r="U341" s="20"/>
      <c r="V341" s="20"/>
      <c r="W341" s="20"/>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row>
    <row r="342" ht="13.5" customHeight="1" spans="1:55">
      <c r="A342" s="20"/>
      <c r="B342" s="62">
        <v>38273</v>
      </c>
      <c r="C342" s="63" t="s">
        <v>1240</v>
      </c>
      <c r="D342" s="63" t="s">
        <v>1156</v>
      </c>
      <c r="E342" s="64">
        <v>135</v>
      </c>
      <c r="F342" s="65"/>
      <c r="G342" s="66" t="b">
        <f>ISNUMBER(MATCH(C342,'Pareto Analysis'!$A$48:$A$114,0))</f>
        <v>1</v>
      </c>
      <c r="H342" s="67" t="str">
        <f t="shared" si="5"/>
        <v>👍</v>
      </c>
      <c r="I342" s="69"/>
      <c r="J342" s="20"/>
      <c r="K342" s="20"/>
      <c r="L342" s="20"/>
      <c r="M342" s="20"/>
      <c r="N342" s="20"/>
      <c r="O342" s="20"/>
      <c r="P342" s="20"/>
      <c r="Q342" s="20"/>
      <c r="R342" s="20"/>
      <c r="S342" s="20"/>
      <c r="T342" s="20"/>
      <c r="U342" s="20"/>
      <c r="V342" s="20"/>
      <c r="W342" s="20"/>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row>
    <row r="343" ht="13.5" customHeight="1" spans="1:55">
      <c r="A343" s="20"/>
      <c r="B343" s="62">
        <v>38280</v>
      </c>
      <c r="C343" s="63" t="s">
        <v>1242</v>
      </c>
      <c r="D343" s="63" t="s">
        <v>1151</v>
      </c>
      <c r="E343" s="64">
        <v>137</v>
      </c>
      <c r="F343" s="65"/>
      <c r="G343" s="66" t="b">
        <f>ISNUMBER(MATCH(C343,'Pareto Analysis'!$A$48:$A$114,0))</f>
        <v>1</v>
      </c>
      <c r="H343" s="67" t="str">
        <f t="shared" si="5"/>
        <v>👍</v>
      </c>
      <c r="I343" s="69"/>
      <c r="J343" s="20"/>
      <c r="K343" s="20"/>
      <c r="L343" s="20"/>
      <c r="M343" s="20"/>
      <c r="N343" s="20"/>
      <c r="O343" s="20"/>
      <c r="P343" s="20"/>
      <c r="Q343" s="20"/>
      <c r="R343" s="20"/>
      <c r="S343" s="20"/>
      <c r="T343" s="20"/>
      <c r="U343" s="20"/>
      <c r="V343" s="20"/>
      <c r="W343" s="20"/>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row>
    <row r="344" ht="13.5" customHeight="1" spans="1:55">
      <c r="A344" s="20"/>
      <c r="B344" s="62">
        <v>38281</v>
      </c>
      <c r="C344" s="63" t="s">
        <v>1227</v>
      </c>
      <c r="D344" s="63" t="s">
        <v>1151</v>
      </c>
      <c r="E344" s="64">
        <v>138</v>
      </c>
      <c r="F344" s="65"/>
      <c r="G344" s="66" t="b">
        <f>ISNUMBER(MATCH(C344,'Pareto Analysis'!$A$48:$A$114,0))</f>
        <v>1</v>
      </c>
      <c r="H344" s="67" t="str">
        <f t="shared" si="5"/>
        <v>👍</v>
      </c>
      <c r="I344" s="69"/>
      <c r="J344" s="20"/>
      <c r="K344" s="20"/>
      <c r="L344" s="20"/>
      <c r="M344" s="20"/>
      <c r="N344" s="20"/>
      <c r="O344" s="20"/>
      <c r="P344" s="20"/>
      <c r="Q344" s="20"/>
      <c r="R344" s="20"/>
      <c r="S344" s="20"/>
      <c r="T344" s="20"/>
      <c r="U344" s="20"/>
      <c r="V344" s="20"/>
      <c r="W344" s="20"/>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row>
    <row r="345" ht="13.5" customHeight="1" spans="1:55">
      <c r="A345" s="20"/>
      <c r="B345" s="62">
        <v>38286</v>
      </c>
      <c r="C345" s="63" t="s">
        <v>1239</v>
      </c>
      <c r="D345" s="63" t="s">
        <v>1151</v>
      </c>
      <c r="E345" s="64">
        <v>138</v>
      </c>
      <c r="F345" s="65"/>
      <c r="G345" s="66" t="b">
        <f>ISNUMBER(MATCH(C345,'Pareto Analysis'!$A$48:$A$114,0))</f>
        <v>1</v>
      </c>
      <c r="H345" s="67" t="str">
        <f t="shared" si="5"/>
        <v>👍</v>
      </c>
      <c r="I345" s="69"/>
      <c r="J345" s="20"/>
      <c r="K345" s="20"/>
      <c r="L345" s="20"/>
      <c r="M345" s="20"/>
      <c r="N345" s="20"/>
      <c r="O345" s="20"/>
      <c r="P345" s="20"/>
      <c r="Q345" s="20"/>
      <c r="R345" s="20"/>
      <c r="S345" s="20"/>
      <c r="T345" s="20"/>
      <c r="U345" s="20"/>
      <c r="V345" s="20"/>
      <c r="W345" s="20"/>
      <c r="X345" s="20"/>
      <c r="Y345" s="20"/>
      <c r="Z345" s="20"/>
      <c r="AA345" s="20"/>
      <c r="AB345" s="20"/>
      <c r="AC345" s="20"/>
      <c r="AD345" s="20"/>
      <c r="AE345" s="20"/>
      <c r="AF345" s="20"/>
      <c r="AG345" s="20"/>
      <c r="AH345" s="20"/>
      <c r="AI345" s="20"/>
      <c r="AJ345" s="20"/>
      <c r="AK345" s="20"/>
      <c r="AL345" s="20"/>
      <c r="AM345" s="20"/>
      <c r="AN345" s="20"/>
      <c r="AO345" s="20"/>
      <c r="AP345" s="20"/>
      <c r="AQ345" s="20"/>
      <c r="AR345" s="20"/>
      <c r="AS345" s="20"/>
      <c r="AT345" s="20"/>
      <c r="AU345" s="20"/>
      <c r="AV345" s="20"/>
      <c r="AW345" s="20"/>
      <c r="AX345" s="20"/>
      <c r="AY345" s="20"/>
      <c r="AZ345" s="20"/>
      <c r="BA345" s="20"/>
      <c r="BB345" s="20"/>
      <c r="BC345" s="20"/>
    </row>
    <row r="346" ht="13.5" customHeight="1" spans="1:55">
      <c r="A346" s="20"/>
      <c r="B346" s="62">
        <v>38272</v>
      </c>
      <c r="C346" s="63" t="s">
        <v>1227</v>
      </c>
      <c r="D346" s="63" t="s">
        <v>1151</v>
      </c>
      <c r="E346" s="64">
        <v>139</v>
      </c>
      <c r="F346" s="65"/>
      <c r="G346" s="66" t="b">
        <f>ISNUMBER(MATCH(C346,'Pareto Analysis'!$A$48:$A$114,0))</f>
        <v>1</v>
      </c>
      <c r="H346" s="67" t="str">
        <f t="shared" si="5"/>
        <v>👍</v>
      </c>
      <c r="I346" s="69"/>
      <c r="J346" s="20"/>
      <c r="K346" s="20"/>
      <c r="L346" s="20"/>
      <c r="M346" s="20"/>
      <c r="N346" s="20"/>
      <c r="O346" s="20"/>
      <c r="P346" s="20"/>
      <c r="Q346" s="20"/>
      <c r="R346" s="20"/>
      <c r="S346" s="20"/>
      <c r="T346" s="20"/>
      <c r="U346" s="20"/>
      <c r="V346" s="20"/>
      <c r="W346" s="20"/>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row>
    <row r="347" ht="13.5" customHeight="1" spans="1:55">
      <c r="A347" s="20"/>
      <c r="B347" s="62">
        <v>38277</v>
      </c>
      <c r="C347" s="63" t="s">
        <v>1227</v>
      </c>
      <c r="D347" s="63" t="s">
        <v>1151</v>
      </c>
      <c r="E347" s="64">
        <v>140</v>
      </c>
      <c r="F347" s="65"/>
      <c r="G347" s="66" t="b">
        <f>ISNUMBER(MATCH(C347,'Pareto Analysis'!$A$48:$A$114,0))</f>
        <v>1</v>
      </c>
      <c r="H347" s="67" t="str">
        <f t="shared" si="5"/>
        <v>👍</v>
      </c>
      <c r="I347" s="69"/>
      <c r="J347" s="20"/>
      <c r="K347" s="20"/>
      <c r="L347" s="20"/>
      <c r="M347" s="20"/>
      <c r="N347" s="20"/>
      <c r="O347" s="20"/>
      <c r="P347" s="20"/>
      <c r="Q347" s="20"/>
      <c r="R347" s="20"/>
      <c r="S347" s="20"/>
      <c r="T347" s="20"/>
      <c r="U347" s="20"/>
      <c r="V347" s="20"/>
      <c r="W347" s="20"/>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row>
    <row r="348" ht="13.5" customHeight="1" spans="1:55">
      <c r="A348" s="20"/>
      <c r="B348" s="62">
        <v>38274</v>
      </c>
      <c r="C348" s="63" t="s">
        <v>1222</v>
      </c>
      <c r="D348" s="63" t="s">
        <v>1153</v>
      </c>
      <c r="E348" s="64">
        <v>151</v>
      </c>
      <c r="F348" s="65"/>
      <c r="G348" s="66" t="b">
        <f>ISNUMBER(MATCH(C348,'Pareto Analysis'!$A$48:$A$114,0))</f>
        <v>1</v>
      </c>
      <c r="H348" s="67" t="str">
        <f t="shared" si="5"/>
        <v>👍</v>
      </c>
      <c r="I348" s="69"/>
      <c r="J348" s="20"/>
      <c r="K348" s="20"/>
      <c r="L348" s="20"/>
      <c r="M348" s="20"/>
      <c r="N348" s="20"/>
      <c r="O348" s="20"/>
      <c r="P348" s="20"/>
      <c r="Q348" s="20"/>
      <c r="R348" s="20"/>
      <c r="S348" s="20"/>
      <c r="T348" s="20"/>
      <c r="U348" s="20"/>
      <c r="V348" s="20"/>
      <c r="W348" s="20"/>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row>
    <row r="349" ht="13.5" customHeight="1" spans="1:55">
      <c r="A349" s="20"/>
      <c r="B349" s="62">
        <v>38273</v>
      </c>
      <c r="C349" s="63" t="s">
        <v>1227</v>
      </c>
      <c r="D349" s="63" t="s">
        <v>1151</v>
      </c>
      <c r="E349" s="64">
        <v>155</v>
      </c>
      <c r="F349" s="65"/>
      <c r="G349" s="66" t="b">
        <f>ISNUMBER(MATCH(C349,'Pareto Analysis'!$A$48:$A$114,0))</f>
        <v>1</v>
      </c>
      <c r="H349" s="67" t="str">
        <f t="shared" si="5"/>
        <v>👍</v>
      </c>
      <c r="I349" s="69"/>
      <c r="J349" s="20"/>
      <c r="K349" s="20"/>
      <c r="L349" s="20"/>
      <c r="M349" s="20"/>
      <c r="N349" s="20"/>
      <c r="O349" s="20"/>
      <c r="P349" s="20"/>
      <c r="Q349" s="20"/>
      <c r="R349" s="20"/>
      <c r="S349" s="20"/>
      <c r="T349" s="20"/>
      <c r="U349" s="20"/>
      <c r="V349" s="20"/>
      <c r="W349" s="20"/>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row>
    <row r="350" ht="13.5" customHeight="1" spans="1:55">
      <c r="A350" s="20"/>
      <c r="B350" s="62">
        <v>38280</v>
      </c>
      <c r="C350" s="63" t="s">
        <v>1215</v>
      </c>
      <c r="D350" s="63" t="s">
        <v>1153</v>
      </c>
      <c r="E350" s="64">
        <v>155</v>
      </c>
      <c r="F350" s="65"/>
      <c r="G350" s="66" t="b">
        <f>ISNUMBER(MATCH(C350,'Pareto Analysis'!$A$48:$A$114,0))</f>
        <v>1</v>
      </c>
      <c r="H350" s="67" t="str">
        <f t="shared" si="5"/>
        <v>👍</v>
      </c>
      <c r="I350" s="69"/>
      <c r="J350" s="20"/>
      <c r="K350" s="20"/>
      <c r="L350" s="20"/>
      <c r="M350" s="20"/>
      <c r="N350" s="20"/>
      <c r="O350" s="20"/>
      <c r="P350" s="20"/>
      <c r="Q350" s="20"/>
      <c r="R350" s="20"/>
      <c r="S350" s="20"/>
      <c r="T350" s="20"/>
      <c r="U350" s="20"/>
      <c r="V350" s="20"/>
      <c r="W350" s="20"/>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row>
    <row r="351" ht="13.5" customHeight="1" spans="1:55">
      <c r="A351" s="20"/>
      <c r="B351" s="62">
        <v>38281</v>
      </c>
      <c r="C351" s="63" t="s">
        <v>1200</v>
      </c>
      <c r="D351" s="63" t="s">
        <v>1151</v>
      </c>
      <c r="E351" s="64">
        <v>155</v>
      </c>
      <c r="F351" s="65"/>
      <c r="G351" s="66" t="b">
        <f>ISNUMBER(MATCH(C351,'Pareto Analysis'!$A$48:$A$114,0))</f>
        <v>1</v>
      </c>
      <c r="H351" s="67" t="str">
        <f t="shared" si="5"/>
        <v>👍</v>
      </c>
      <c r="I351" s="69"/>
      <c r="J351" s="20"/>
      <c r="K351" s="20"/>
      <c r="L351" s="20"/>
      <c r="M351" s="20"/>
      <c r="N351" s="20"/>
      <c r="O351" s="20"/>
      <c r="P351" s="20"/>
      <c r="Q351" s="20"/>
      <c r="R351" s="20"/>
      <c r="S351" s="20"/>
      <c r="T351" s="20"/>
      <c r="U351" s="20"/>
      <c r="V351" s="20"/>
      <c r="W351" s="20"/>
      <c r="X351" s="20"/>
      <c r="Y351" s="20"/>
      <c r="Z351" s="20"/>
      <c r="AA351" s="20"/>
      <c r="AB351" s="20"/>
      <c r="AC351" s="20"/>
      <c r="AD351" s="20"/>
      <c r="AE351" s="20"/>
      <c r="AF351" s="20"/>
      <c r="AG351" s="20"/>
      <c r="AH351" s="20"/>
      <c r="AI351" s="20"/>
      <c r="AJ351" s="20"/>
      <c r="AK351" s="20"/>
      <c r="AL351" s="20"/>
      <c r="AM351" s="20"/>
      <c r="AN351" s="20"/>
      <c r="AO351" s="20"/>
      <c r="AP351" s="20"/>
      <c r="AQ351" s="20"/>
      <c r="AR351" s="20"/>
      <c r="AS351" s="20"/>
      <c r="AT351" s="20"/>
      <c r="AU351" s="20"/>
      <c r="AV351" s="20"/>
      <c r="AW351" s="20"/>
      <c r="AX351" s="20"/>
      <c r="AY351" s="20"/>
      <c r="AZ351" s="20"/>
      <c r="BA351" s="20"/>
      <c r="BB351" s="20"/>
      <c r="BC351" s="20"/>
    </row>
    <row r="352" ht="13.5" customHeight="1" spans="1:55">
      <c r="A352" s="20"/>
      <c r="B352" s="62">
        <v>38270</v>
      </c>
      <c r="C352" s="63" t="s">
        <v>1222</v>
      </c>
      <c r="D352" s="63" t="s">
        <v>1153</v>
      </c>
      <c r="E352" s="64">
        <v>157</v>
      </c>
      <c r="F352" s="65"/>
      <c r="G352" s="66" t="b">
        <f>ISNUMBER(MATCH(C352,'Pareto Analysis'!$A$48:$A$114,0))</f>
        <v>1</v>
      </c>
      <c r="H352" s="67" t="str">
        <f t="shared" si="5"/>
        <v>👍</v>
      </c>
      <c r="I352" s="69"/>
      <c r="J352" s="20"/>
      <c r="K352" s="20"/>
      <c r="L352" s="20"/>
      <c r="M352" s="20"/>
      <c r="N352" s="20"/>
      <c r="O352" s="20"/>
      <c r="P352" s="20"/>
      <c r="Q352" s="20"/>
      <c r="R352" s="20"/>
      <c r="S352" s="20"/>
      <c r="T352" s="20"/>
      <c r="U352" s="20"/>
      <c r="V352" s="20"/>
      <c r="W352" s="20"/>
      <c r="X352" s="20"/>
      <c r="Y352" s="20"/>
      <c r="Z352" s="20"/>
      <c r="AA352" s="20"/>
      <c r="AB352" s="20"/>
      <c r="AC352" s="20"/>
      <c r="AD352" s="20"/>
      <c r="AE352" s="20"/>
      <c r="AF352" s="20"/>
      <c r="AG352" s="20"/>
      <c r="AH352" s="20"/>
      <c r="AI352" s="20"/>
      <c r="AJ352" s="20"/>
      <c r="AK352" s="20"/>
      <c r="AL352" s="20"/>
      <c r="AM352" s="20"/>
      <c r="AN352" s="20"/>
      <c r="AO352" s="20"/>
      <c r="AP352" s="20"/>
      <c r="AQ352" s="20"/>
      <c r="AR352" s="20"/>
      <c r="AS352" s="20"/>
      <c r="AT352" s="20"/>
      <c r="AU352" s="20"/>
      <c r="AV352" s="20"/>
      <c r="AW352" s="20"/>
      <c r="AX352" s="20"/>
      <c r="AY352" s="20"/>
      <c r="AZ352" s="20"/>
      <c r="BA352" s="20"/>
      <c r="BB352" s="20"/>
      <c r="BC352" s="20"/>
    </row>
    <row r="353" ht="13.5" customHeight="1" spans="1:55">
      <c r="A353" s="20"/>
      <c r="B353" s="62">
        <v>38270</v>
      </c>
      <c r="C353" s="63" t="s">
        <v>1226</v>
      </c>
      <c r="D353" s="63" t="s">
        <v>1153</v>
      </c>
      <c r="E353" s="64">
        <v>157</v>
      </c>
      <c r="F353" s="65"/>
      <c r="G353" s="66" t="b">
        <f>ISNUMBER(MATCH(C353,'Pareto Analysis'!$A$48:$A$114,0))</f>
        <v>1</v>
      </c>
      <c r="H353" s="67" t="str">
        <f t="shared" si="5"/>
        <v>👍</v>
      </c>
      <c r="I353" s="69"/>
      <c r="J353" s="20"/>
      <c r="K353" s="20"/>
      <c r="L353" s="20"/>
      <c r="M353" s="20"/>
      <c r="N353" s="20"/>
      <c r="O353" s="20"/>
      <c r="P353" s="20"/>
      <c r="Q353" s="20"/>
      <c r="R353" s="20"/>
      <c r="S353" s="20"/>
      <c r="T353" s="20"/>
      <c r="U353" s="20"/>
      <c r="V353" s="20"/>
      <c r="W353" s="20"/>
      <c r="X353" s="20"/>
      <c r="Y353" s="20"/>
      <c r="Z353" s="20"/>
      <c r="AA353" s="20"/>
      <c r="AB353" s="20"/>
      <c r="AC353" s="20"/>
      <c r="AD353" s="20"/>
      <c r="AE353" s="20"/>
      <c r="AF353" s="20"/>
      <c r="AG353" s="20"/>
      <c r="AH353" s="20"/>
      <c r="AI353" s="20"/>
      <c r="AJ353" s="20"/>
      <c r="AK353" s="20"/>
      <c r="AL353" s="20"/>
      <c r="AM353" s="20"/>
      <c r="AN353" s="20"/>
      <c r="AO353" s="20"/>
      <c r="AP353" s="20"/>
      <c r="AQ353" s="20"/>
      <c r="AR353" s="20"/>
      <c r="AS353" s="20"/>
      <c r="AT353" s="20"/>
      <c r="AU353" s="20"/>
      <c r="AV353" s="20"/>
      <c r="AW353" s="20"/>
      <c r="AX353" s="20"/>
      <c r="AY353" s="20"/>
      <c r="AZ353" s="20"/>
      <c r="BA353" s="20"/>
      <c r="BB353" s="20"/>
      <c r="BC353" s="20"/>
    </row>
    <row r="354" ht="13.5" customHeight="1" spans="1:55">
      <c r="A354" s="20"/>
      <c r="B354" s="62">
        <v>38274</v>
      </c>
      <c r="C354" s="63" t="s">
        <v>1213</v>
      </c>
      <c r="D354" s="63" t="s">
        <v>1153</v>
      </c>
      <c r="E354" s="64">
        <v>165</v>
      </c>
      <c r="F354" s="65"/>
      <c r="G354" s="66" t="b">
        <f>ISNUMBER(MATCH(C354,'Pareto Analysis'!$A$48:$A$114,0))</f>
        <v>1</v>
      </c>
      <c r="H354" s="67" t="str">
        <f t="shared" si="5"/>
        <v>👍</v>
      </c>
      <c r="I354" s="69"/>
      <c r="J354" s="20"/>
      <c r="K354" s="20"/>
      <c r="L354" s="20"/>
      <c r="M354" s="20"/>
      <c r="N354" s="20"/>
      <c r="O354" s="20"/>
      <c r="P354" s="20"/>
      <c r="Q354" s="20"/>
      <c r="R354" s="20"/>
      <c r="S354" s="20"/>
      <c r="T354" s="20"/>
      <c r="U354" s="20"/>
      <c r="V354" s="20"/>
      <c r="W354" s="20"/>
      <c r="X354" s="20"/>
      <c r="Y354" s="20"/>
      <c r="Z354" s="20"/>
      <c r="AA354" s="20"/>
      <c r="AB354" s="20"/>
      <c r="AC354" s="20"/>
      <c r="AD354" s="20"/>
      <c r="AE354" s="20"/>
      <c r="AF354" s="20"/>
      <c r="AG354" s="20"/>
      <c r="AH354" s="20"/>
      <c r="AI354" s="20"/>
      <c r="AJ354" s="20"/>
      <c r="AK354" s="20"/>
      <c r="AL354" s="20"/>
      <c r="AM354" s="20"/>
      <c r="AN354" s="20"/>
      <c r="AO354" s="20"/>
      <c r="AP354" s="20"/>
      <c r="AQ354" s="20"/>
      <c r="AR354" s="20"/>
      <c r="AS354" s="20"/>
      <c r="AT354" s="20"/>
      <c r="AU354" s="20"/>
      <c r="AV354" s="20"/>
      <c r="AW354" s="20"/>
      <c r="AX354" s="20"/>
      <c r="AY354" s="20"/>
      <c r="AZ354" s="20"/>
      <c r="BA354" s="20"/>
      <c r="BB354" s="20"/>
      <c r="BC354" s="20"/>
    </row>
    <row r="355" ht="13.5" customHeight="1" spans="1:55">
      <c r="A355" s="20"/>
      <c r="B355" s="62">
        <v>38284</v>
      </c>
      <c r="C355" s="63" t="s">
        <v>1227</v>
      </c>
      <c r="D355" s="63" t="s">
        <v>1151</v>
      </c>
      <c r="E355" s="64">
        <v>168</v>
      </c>
      <c r="F355" s="65"/>
      <c r="G355" s="66" t="b">
        <f>ISNUMBER(MATCH(C355,'Pareto Analysis'!$A$48:$A$114,0))</f>
        <v>1</v>
      </c>
      <c r="H355" s="67" t="str">
        <f t="shared" si="5"/>
        <v>👍</v>
      </c>
      <c r="I355" s="69"/>
      <c r="J355" s="20"/>
      <c r="K355" s="20"/>
      <c r="L355" s="20"/>
      <c r="M355" s="20"/>
      <c r="N355" s="20"/>
      <c r="O355" s="20"/>
      <c r="P355" s="20"/>
      <c r="Q355" s="20"/>
      <c r="R355" s="20"/>
      <c r="S355" s="20"/>
      <c r="T355" s="20"/>
      <c r="U355" s="20"/>
      <c r="V355" s="20"/>
      <c r="W355" s="20"/>
      <c r="X355" s="20"/>
      <c r="Y355" s="20"/>
      <c r="Z355" s="20"/>
      <c r="AA355" s="20"/>
      <c r="AB355" s="20"/>
      <c r="AC355" s="20"/>
      <c r="AD355" s="20"/>
      <c r="AE355" s="20"/>
      <c r="AF355" s="20"/>
      <c r="AG355" s="20"/>
      <c r="AH355" s="20"/>
      <c r="AI355" s="20"/>
      <c r="AJ355" s="20"/>
      <c r="AK355" s="20"/>
      <c r="AL355" s="20"/>
      <c r="AM355" s="20"/>
      <c r="AN355" s="20"/>
      <c r="AO355" s="20"/>
      <c r="AP355" s="20"/>
      <c r="AQ355" s="20"/>
      <c r="AR355" s="20"/>
      <c r="AS355" s="20"/>
      <c r="AT355" s="20"/>
      <c r="AU355" s="20"/>
      <c r="AV355" s="20"/>
      <c r="AW355" s="20"/>
      <c r="AX355" s="20"/>
      <c r="AY355" s="20"/>
      <c r="AZ355" s="20"/>
      <c r="BA355" s="20"/>
      <c r="BB355" s="20"/>
      <c r="BC355" s="20"/>
    </row>
    <row r="356" ht="13.5" customHeight="1" spans="1:55">
      <c r="A356" s="20"/>
      <c r="B356" s="62">
        <v>38271</v>
      </c>
      <c r="C356" s="63" t="s">
        <v>1220</v>
      </c>
      <c r="D356" s="63" t="s">
        <v>1153</v>
      </c>
      <c r="E356" s="64">
        <v>169</v>
      </c>
      <c r="F356" s="65"/>
      <c r="G356" s="66" t="b">
        <f>ISNUMBER(MATCH(C356,'Pareto Analysis'!$A$48:$A$114,0))</f>
        <v>1</v>
      </c>
      <c r="H356" s="67" t="str">
        <f t="shared" si="5"/>
        <v>👍</v>
      </c>
      <c r="I356" s="69"/>
      <c r="J356" s="20"/>
      <c r="K356" s="20"/>
      <c r="L356" s="20"/>
      <c r="M356" s="20"/>
      <c r="N356" s="20"/>
      <c r="O356" s="20"/>
      <c r="P356" s="20"/>
      <c r="Q356" s="20"/>
      <c r="R356" s="20"/>
      <c r="S356" s="20"/>
      <c r="T356" s="20"/>
      <c r="U356" s="20"/>
      <c r="V356" s="20"/>
      <c r="W356" s="20"/>
      <c r="X356" s="20"/>
      <c r="Y356" s="20"/>
      <c r="Z356" s="20"/>
      <c r="AA356" s="20"/>
      <c r="AB356" s="20"/>
      <c r="AC356" s="20"/>
      <c r="AD356" s="20"/>
      <c r="AE356" s="20"/>
      <c r="AF356" s="20"/>
      <c r="AG356" s="20"/>
      <c r="AH356" s="20"/>
      <c r="AI356" s="20"/>
      <c r="AJ356" s="20"/>
      <c r="AK356" s="20"/>
      <c r="AL356" s="20"/>
      <c r="AM356" s="20"/>
      <c r="AN356" s="20"/>
      <c r="AO356" s="20"/>
      <c r="AP356" s="20"/>
      <c r="AQ356" s="20"/>
      <c r="AR356" s="20"/>
      <c r="AS356" s="20"/>
      <c r="AT356" s="20"/>
      <c r="AU356" s="20"/>
      <c r="AV356" s="20"/>
      <c r="AW356" s="20"/>
      <c r="AX356" s="20"/>
      <c r="AY356" s="20"/>
      <c r="AZ356" s="20"/>
      <c r="BA356" s="20"/>
      <c r="BB356" s="20"/>
      <c r="BC356" s="20"/>
    </row>
    <row r="357" ht="13.5" customHeight="1" spans="1:55">
      <c r="A357" s="20"/>
      <c r="B357" s="62">
        <v>38270</v>
      </c>
      <c r="C357" s="63" t="s">
        <v>1227</v>
      </c>
      <c r="D357" s="63" t="s">
        <v>1151</v>
      </c>
      <c r="E357" s="64">
        <v>175</v>
      </c>
      <c r="F357" s="65"/>
      <c r="G357" s="66" t="b">
        <f>ISNUMBER(MATCH(C357,'Pareto Analysis'!$A$48:$A$114,0))</f>
        <v>1</v>
      </c>
      <c r="H357" s="67" t="str">
        <f t="shared" si="5"/>
        <v>👍</v>
      </c>
      <c r="I357" s="69"/>
      <c r="J357" s="20"/>
      <c r="K357" s="20"/>
      <c r="L357" s="20"/>
      <c r="M357" s="20"/>
      <c r="N357" s="20"/>
      <c r="O357" s="20"/>
      <c r="P357" s="20"/>
      <c r="Q357" s="20"/>
      <c r="R357" s="20"/>
      <c r="S357" s="20"/>
      <c r="T357" s="20"/>
      <c r="U357" s="20"/>
      <c r="V357" s="20"/>
      <c r="W357" s="20"/>
      <c r="X357" s="20"/>
      <c r="Y357" s="20"/>
      <c r="Z357" s="20"/>
      <c r="AA357" s="20"/>
      <c r="AB357" s="20"/>
      <c r="AC357" s="20"/>
      <c r="AD357" s="20"/>
      <c r="AE357" s="20"/>
      <c r="AF357" s="20"/>
      <c r="AG357" s="20"/>
      <c r="AH357" s="20"/>
      <c r="AI357" s="20"/>
      <c r="AJ357" s="20"/>
      <c r="AK357" s="20"/>
      <c r="AL357" s="20"/>
      <c r="AM357" s="20"/>
      <c r="AN357" s="20"/>
      <c r="AO357" s="20"/>
      <c r="AP357" s="20"/>
      <c r="AQ357" s="20"/>
      <c r="AR357" s="20"/>
      <c r="AS357" s="20"/>
      <c r="AT357" s="20"/>
      <c r="AU357" s="20"/>
      <c r="AV357" s="20"/>
      <c r="AW357" s="20"/>
      <c r="AX357" s="20"/>
      <c r="AY357" s="20"/>
      <c r="AZ357" s="20"/>
      <c r="BA357" s="20"/>
      <c r="BB357" s="20"/>
      <c r="BC357" s="20"/>
    </row>
    <row r="358" ht="13.5" customHeight="1" spans="1:55">
      <c r="A358" s="20"/>
      <c r="B358" s="62">
        <v>38280</v>
      </c>
      <c r="C358" s="63" t="s">
        <v>1202</v>
      </c>
      <c r="D358" s="63" t="s">
        <v>1153</v>
      </c>
      <c r="E358" s="64">
        <v>182</v>
      </c>
      <c r="F358" s="65"/>
      <c r="G358" s="66" t="b">
        <f>ISNUMBER(MATCH(C358,'Pareto Analysis'!$A$48:$A$114,0))</f>
        <v>1</v>
      </c>
      <c r="H358" s="67" t="str">
        <f t="shared" si="5"/>
        <v>👍</v>
      </c>
      <c r="I358" s="69"/>
      <c r="J358" s="20"/>
      <c r="K358" s="20"/>
      <c r="L358" s="20"/>
      <c r="M358" s="20"/>
      <c r="N358" s="20"/>
      <c r="O358" s="20"/>
      <c r="P358" s="20"/>
      <c r="Q358" s="20"/>
      <c r="R358" s="20"/>
      <c r="S358" s="20"/>
      <c r="T358" s="20"/>
      <c r="U358" s="20"/>
      <c r="V358" s="20"/>
      <c r="W358" s="20"/>
      <c r="X358" s="20"/>
      <c r="Y358" s="20"/>
      <c r="Z358" s="20"/>
      <c r="AA358" s="20"/>
      <c r="AB358" s="20"/>
      <c r="AC358" s="20"/>
      <c r="AD358" s="20"/>
      <c r="AE358" s="20"/>
      <c r="AF358" s="20"/>
      <c r="AG358" s="20"/>
      <c r="AH358" s="20"/>
      <c r="AI358" s="20"/>
      <c r="AJ358" s="20"/>
      <c r="AK358" s="20"/>
      <c r="AL358" s="20"/>
      <c r="AM358" s="20"/>
      <c r="AN358" s="20"/>
      <c r="AO358" s="20"/>
      <c r="AP358" s="20"/>
      <c r="AQ358" s="20"/>
      <c r="AR358" s="20"/>
      <c r="AS358" s="20"/>
      <c r="AT358" s="20"/>
      <c r="AU358" s="20"/>
      <c r="AV358" s="20"/>
      <c r="AW358" s="20"/>
      <c r="AX358" s="20"/>
      <c r="AY358" s="20"/>
      <c r="AZ358" s="20"/>
      <c r="BA358" s="20"/>
      <c r="BB358" s="20"/>
      <c r="BC358" s="20"/>
    </row>
    <row r="359" ht="13.5" customHeight="1" spans="1:55">
      <c r="A359" s="20"/>
      <c r="B359" s="62">
        <v>38280</v>
      </c>
      <c r="C359" s="63" t="s">
        <v>1243</v>
      </c>
      <c r="D359" s="63" t="s">
        <v>1151</v>
      </c>
      <c r="E359" s="64">
        <v>184</v>
      </c>
      <c r="F359" s="65"/>
      <c r="G359" s="66" t="b">
        <f>ISNUMBER(MATCH(C359,'Pareto Analysis'!$A$48:$A$114,0))</f>
        <v>1</v>
      </c>
      <c r="H359" s="67" t="str">
        <f t="shared" si="5"/>
        <v>👍</v>
      </c>
      <c r="I359" s="69"/>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row>
    <row r="360" ht="13.5" customHeight="1" spans="1:55">
      <c r="A360" s="20"/>
      <c r="B360" s="62">
        <v>38277</v>
      </c>
      <c r="C360" s="63" t="s">
        <v>1244</v>
      </c>
      <c r="D360" s="63" t="s">
        <v>1156</v>
      </c>
      <c r="E360" s="64">
        <v>193</v>
      </c>
      <c r="F360" s="65"/>
      <c r="G360" s="66" t="b">
        <f>ISNUMBER(MATCH(C360,'Pareto Analysis'!$A$48:$A$114,0))</f>
        <v>1</v>
      </c>
      <c r="H360" s="67" t="str">
        <f t="shared" si="5"/>
        <v>👍</v>
      </c>
      <c r="I360" s="69"/>
      <c r="J360" s="20"/>
      <c r="K360" s="20"/>
      <c r="L360" s="20"/>
      <c r="M360" s="20"/>
      <c r="N360" s="20"/>
      <c r="O360" s="20"/>
      <c r="P360" s="20"/>
      <c r="Q360" s="20"/>
      <c r="R360" s="20"/>
      <c r="S360" s="20"/>
      <c r="T360" s="20"/>
      <c r="U360" s="20"/>
      <c r="V360" s="20"/>
      <c r="W360" s="20"/>
      <c r="X360" s="20"/>
      <c r="Y360" s="20"/>
      <c r="Z360" s="20"/>
      <c r="AA360" s="20"/>
      <c r="AB360" s="20"/>
      <c r="AC360" s="20"/>
      <c r="AD360" s="20"/>
      <c r="AE360" s="20"/>
      <c r="AF360" s="20"/>
      <c r="AG360" s="20"/>
      <c r="AH360" s="20"/>
      <c r="AI360" s="20"/>
      <c r="AJ360" s="20"/>
      <c r="AK360" s="20"/>
      <c r="AL360" s="20"/>
      <c r="AM360" s="20"/>
      <c r="AN360" s="20"/>
      <c r="AO360" s="20"/>
      <c r="AP360" s="20"/>
      <c r="AQ360" s="20"/>
      <c r="AR360" s="20"/>
      <c r="AS360" s="20"/>
      <c r="AT360" s="20"/>
      <c r="AU360" s="20"/>
      <c r="AV360" s="20"/>
      <c r="AW360" s="20"/>
      <c r="AX360" s="20"/>
      <c r="AY360" s="20"/>
      <c r="AZ360" s="20"/>
      <c r="BA360" s="20"/>
      <c r="BB360" s="20"/>
      <c r="BC360" s="20"/>
    </row>
    <row r="361" ht="13.5" customHeight="1" spans="1:55">
      <c r="A361" s="20"/>
      <c r="B361" s="62">
        <v>38281</v>
      </c>
      <c r="C361" s="63" t="s">
        <v>1230</v>
      </c>
      <c r="D361" s="63" t="s">
        <v>1153</v>
      </c>
      <c r="E361" s="64">
        <v>198</v>
      </c>
      <c r="F361" s="65"/>
      <c r="G361" s="66" t="b">
        <f>ISNUMBER(MATCH(C361,'Pareto Analysis'!$A$48:$A$114,0))</f>
        <v>1</v>
      </c>
      <c r="H361" s="67" t="str">
        <f t="shared" si="5"/>
        <v>👍</v>
      </c>
      <c r="I361" s="69"/>
      <c r="J361" s="20"/>
      <c r="K361" s="20"/>
      <c r="L361" s="20"/>
      <c r="M361" s="20"/>
      <c r="N361" s="20"/>
      <c r="O361" s="20"/>
      <c r="P361" s="20"/>
      <c r="Q361" s="20"/>
      <c r="R361" s="20"/>
      <c r="S361" s="20"/>
      <c r="T361" s="20"/>
      <c r="U361" s="20"/>
      <c r="V361" s="20"/>
      <c r="W361" s="20"/>
      <c r="X361" s="20"/>
      <c r="Y361" s="20"/>
      <c r="Z361" s="20"/>
      <c r="AA361" s="20"/>
      <c r="AB361" s="20"/>
      <c r="AC361" s="20"/>
      <c r="AD361" s="20"/>
      <c r="AE361" s="20"/>
      <c r="AF361" s="20"/>
      <c r="AG361" s="20"/>
      <c r="AH361" s="20"/>
      <c r="AI361" s="20"/>
      <c r="AJ361" s="20"/>
      <c r="AK361" s="20"/>
      <c r="AL361" s="20"/>
      <c r="AM361" s="20"/>
      <c r="AN361" s="20"/>
      <c r="AO361" s="20"/>
      <c r="AP361" s="20"/>
      <c r="AQ361" s="20"/>
      <c r="AR361" s="20"/>
      <c r="AS361" s="20"/>
      <c r="AT361" s="20"/>
      <c r="AU361" s="20"/>
      <c r="AV361" s="20"/>
      <c r="AW361" s="20"/>
      <c r="AX361" s="20"/>
      <c r="AY361" s="20"/>
      <c r="AZ361" s="20"/>
      <c r="BA361" s="20"/>
      <c r="BB361" s="20"/>
      <c r="BC361" s="20"/>
    </row>
    <row r="362" ht="13.5" customHeight="1" spans="1:55">
      <c r="A362" s="20"/>
      <c r="B362" s="62">
        <v>38285</v>
      </c>
      <c r="C362" s="63" t="s">
        <v>1222</v>
      </c>
      <c r="D362" s="63" t="s">
        <v>1153</v>
      </c>
      <c r="E362" s="64">
        <v>228</v>
      </c>
      <c r="F362" s="65"/>
      <c r="G362" s="66" t="b">
        <f>ISNUMBER(MATCH(C362,'Pareto Analysis'!$A$48:$A$114,0))</f>
        <v>1</v>
      </c>
      <c r="H362" s="67" t="str">
        <f t="shared" si="5"/>
        <v>👍</v>
      </c>
      <c r="I362" s="69"/>
      <c r="J362" s="20"/>
      <c r="K362" s="20"/>
      <c r="L362" s="20"/>
      <c r="M362" s="20"/>
      <c r="N362" s="20"/>
      <c r="O362" s="20"/>
      <c r="P362" s="20"/>
      <c r="Q362" s="20"/>
      <c r="R362" s="20"/>
      <c r="S362" s="20"/>
      <c r="T362" s="20"/>
      <c r="U362" s="20"/>
      <c r="V362" s="20"/>
      <c r="W362" s="20"/>
      <c r="X362" s="20"/>
      <c r="Y362" s="20"/>
      <c r="Z362" s="20"/>
      <c r="AA362" s="20"/>
      <c r="AB362" s="20"/>
      <c r="AC362" s="20"/>
      <c r="AD362" s="20"/>
      <c r="AE362" s="20"/>
      <c r="AF362" s="20"/>
      <c r="AG362" s="20"/>
      <c r="AH362" s="20"/>
      <c r="AI362" s="20"/>
      <c r="AJ362" s="20"/>
      <c r="AK362" s="20"/>
      <c r="AL362" s="20"/>
      <c r="AM362" s="20"/>
      <c r="AN362" s="20"/>
      <c r="AO362" s="20"/>
      <c r="AP362" s="20"/>
      <c r="AQ362" s="20"/>
      <c r="AR362" s="20"/>
      <c r="AS362" s="20"/>
      <c r="AT362" s="20"/>
      <c r="AU362" s="20"/>
      <c r="AV362" s="20"/>
      <c r="AW362" s="20"/>
      <c r="AX362" s="20"/>
      <c r="AY362" s="20"/>
      <c r="AZ362" s="20"/>
      <c r="BA362" s="20"/>
      <c r="BB362" s="20"/>
      <c r="BC362" s="20"/>
    </row>
    <row r="363" ht="13.5" customHeight="1" spans="1:55">
      <c r="A363" s="20"/>
      <c r="B363" s="62">
        <v>38280</v>
      </c>
      <c r="C363" s="63" t="s">
        <v>1222</v>
      </c>
      <c r="D363" s="63" t="s">
        <v>1153</v>
      </c>
      <c r="E363" s="64">
        <v>230</v>
      </c>
      <c r="F363" s="65"/>
      <c r="G363" s="66" t="b">
        <f>ISNUMBER(MATCH(C363,'Pareto Analysis'!$A$48:$A$114,0))</f>
        <v>1</v>
      </c>
      <c r="H363" s="67" t="str">
        <f t="shared" si="5"/>
        <v>👍</v>
      </c>
      <c r="I363" s="69"/>
      <c r="J363" s="20"/>
      <c r="K363" s="20"/>
      <c r="L363" s="20"/>
      <c r="M363" s="20"/>
      <c r="N363" s="20"/>
      <c r="O363" s="20"/>
      <c r="P363" s="20"/>
      <c r="Q363" s="20"/>
      <c r="R363" s="20"/>
      <c r="S363" s="20"/>
      <c r="T363" s="20"/>
      <c r="U363" s="20"/>
      <c r="V363" s="20"/>
      <c r="W363" s="20"/>
      <c r="X363" s="20"/>
      <c r="Y363" s="20"/>
      <c r="Z363" s="20"/>
      <c r="AA363" s="20"/>
      <c r="AB363" s="20"/>
      <c r="AC363" s="20"/>
      <c r="AD363" s="20"/>
      <c r="AE363" s="20"/>
      <c r="AF363" s="20"/>
      <c r="AG363" s="20"/>
      <c r="AH363" s="20"/>
      <c r="AI363" s="20"/>
      <c r="AJ363" s="20"/>
      <c r="AK363" s="20"/>
      <c r="AL363" s="20"/>
      <c r="AM363" s="20"/>
      <c r="AN363" s="20"/>
      <c r="AO363" s="20"/>
      <c r="AP363" s="20"/>
      <c r="AQ363" s="20"/>
      <c r="AR363" s="20"/>
      <c r="AS363" s="20"/>
      <c r="AT363" s="20"/>
      <c r="AU363" s="20"/>
      <c r="AV363" s="20"/>
      <c r="AW363" s="20"/>
      <c r="AX363" s="20"/>
      <c r="AY363" s="20"/>
      <c r="AZ363" s="20"/>
      <c r="BA363" s="20"/>
      <c r="BB363" s="20"/>
      <c r="BC363" s="20"/>
    </row>
    <row r="364" ht="13.5" customHeight="1" spans="1:55">
      <c r="A364" s="20"/>
      <c r="B364" s="62">
        <v>38281</v>
      </c>
      <c r="C364" s="63" t="s">
        <v>1220</v>
      </c>
      <c r="D364" s="63" t="s">
        <v>1153</v>
      </c>
      <c r="E364" s="64">
        <v>235</v>
      </c>
      <c r="F364" s="65"/>
      <c r="G364" s="66" t="b">
        <f>ISNUMBER(MATCH(C364,'Pareto Analysis'!$A$48:$A$114,0))</f>
        <v>1</v>
      </c>
      <c r="H364" s="67" t="str">
        <f t="shared" si="5"/>
        <v>👍</v>
      </c>
      <c r="I364" s="69"/>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row>
    <row r="365" ht="13.5" customHeight="1" spans="1:55">
      <c r="A365" s="20"/>
      <c r="B365" s="62">
        <v>38272</v>
      </c>
      <c r="C365" s="63" t="s">
        <v>1232</v>
      </c>
      <c r="D365" s="63" t="s">
        <v>1153</v>
      </c>
      <c r="E365" s="64">
        <v>236</v>
      </c>
      <c r="F365" s="65"/>
      <c r="G365" s="66" t="b">
        <f>ISNUMBER(MATCH(C365,'Pareto Analysis'!$A$48:$A$114,0))</f>
        <v>1</v>
      </c>
      <c r="H365" s="67" t="str">
        <f t="shared" si="5"/>
        <v>👍</v>
      </c>
      <c r="I365" s="69"/>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row>
    <row r="366" ht="13.5" customHeight="1" spans="1:55">
      <c r="A366" s="20"/>
      <c r="B366" s="62">
        <v>38284</v>
      </c>
      <c r="C366" s="63" t="s">
        <v>1237</v>
      </c>
      <c r="D366" s="63" t="s">
        <v>1151</v>
      </c>
      <c r="E366" s="64">
        <v>247</v>
      </c>
      <c r="F366" s="65"/>
      <c r="G366" s="66" t="b">
        <f>ISNUMBER(MATCH(C366,'Pareto Analysis'!$A$48:$A$114,0))</f>
        <v>1</v>
      </c>
      <c r="H366" s="67" t="str">
        <f t="shared" si="5"/>
        <v>👍</v>
      </c>
      <c r="I366" s="69"/>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row>
    <row r="367" ht="13.5" customHeight="1" spans="1:55">
      <c r="A367" s="20"/>
      <c r="B367" s="62">
        <v>38277</v>
      </c>
      <c r="C367" s="63" t="s">
        <v>1245</v>
      </c>
      <c r="D367" s="63" t="s">
        <v>1151</v>
      </c>
      <c r="E367" s="64">
        <v>254</v>
      </c>
      <c r="F367" s="65"/>
      <c r="G367" s="66" t="b">
        <f>ISNUMBER(MATCH(C367,'Pareto Analysis'!$A$48:$A$114,0))</f>
        <v>1</v>
      </c>
      <c r="H367" s="67" t="str">
        <f t="shared" si="5"/>
        <v>👍</v>
      </c>
      <c r="I367" s="69"/>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row>
    <row r="368" ht="13.5" customHeight="1" spans="1:55">
      <c r="A368" s="20"/>
      <c r="B368" s="62">
        <v>38286</v>
      </c>
      <c r="C368" s="63" t="s">
        <v>1222</v>
      </c>
      <c r="D368" s="63" t="s">
        <v>1153</v>
      </c>
      <c r="E368" s="64">
        <v>256</v>
      </c>
      <c r="F368" s="65"/>
      <c r="G368" s="66" t="b">
        <f>ISNUMBER(MATCH(C368,'Pareto Analysis'!$A$48:$A$114,0))</f>
        <v>1</v>
      </c>
      <c r="H368" s="67" t="str">
        <f t="shared" si="5"/>
        <v>👍</v>
      </c>
      <c r="I368" s="69"/>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row>
    <row r="369" ht="13.5" customHeight="1" spans="1:55">
      <c r="A369" s="20"/>
      <c r="B369" s="62">
        <v>38274</v>
      </c>
      <c r="C369" s="63" t="s">
        <v>1240</v>
      </c>
      <c r="D369" s="63" t="s">
        <v>1156</v>
      </c>
      <c r="E369" s="64">
        <v>257</v>
      </c>
      <c r="F369" s="65"/>
      <c r="G369" s="66" t="b">
        <f>ISNUMBER(MATCH(C369,'Pareto Analysis'!$A$48:$A$114,0))</f>
        <v>1</v>
      </c>
      <c r="H369" s="67" t="str">
        <f t="shared" si="5"/>
        <v>👍</v>
      </c>
      <c r="I369" s="69"/>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row>
    <row r="370" ht="13.5" customHeight="1" spans="1:55">
      <c r="A370" s="20"/>
      <c r="B370" s="62">
        <v>38281</v>
      </c>
      <c r="C370" s="63" t="s">
        <v>1222</v>
      </c>
      <c r="D370" s="63" t="s">
        <v>1153</v>
      </c>
      <c r="E370" s="64">
        <v>261</v>
      </c>
      <c r="F370" s="65"/>
      <c r="G370" s="66" t="b">
        <f>ISNUMBER(MATCH(C370,'Pareto Analysis'!$A$48:$A$114,0))</f>
        <v>1</v>
      </c>
      <c r="H370" s="67" t="str">
        <f t="shared" si="5"/>
        <v>👍</v>
      </c>
      <c r="I370" s="69"/>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row>
    <row r="371" ht="13.5" customHeight="1" spans="1:55">
      <c r="A371" s="20"/>
      <c r="B371" s="62">
        <v>38280</v>
      </c>
      <c r="C371" s="63" t="s">
        <v>1206</v>
      </c>
      <c r="D371" s="63" t="s">
        <v>1156</v>
      </c>
      <c r="E371" s="64">
        <v>265</v>
      </c>
      <c r="F371" s="65"/>
      <c r="G371" s="66" t="b">
        <f>ISNUMBER(MATCH(C371,'Pareto Analysis'!$A$48:$A$114,0))</f>
        <v>1</v>
      </c>
      <c r="H371" s="67" t="str">
        <f t="shared" si="5"/>
        <v>👍</v>
      </c>
      <c r="I371" s="69"/>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row>
    <row r="372" ht="13.5" customHeight="1" spans="1:55">
      <c r="A372" s="20"/>
      <c r="B372" s="62">
        <v>38280</v>
      </c>
      <c r="C372" s="63" t="s">
        <v>1246</v>
      </c>
      <c r="D372" s="63" t="s">
        <v>1151</v>
      </c>
      <c r="E372" s="64">
        <v>273</v>
      </c>
      <c r="F372" s="65"/>
      <c r="G372" s="66" t="b">
        <f>ISNUMBER(MATCH(C372,'Pareto Analysis'!$A$48:$A$114,0))</f>
        <v>1</v>
      </c>
      <c r="H372" s="67" t="str">
        <f t="shared" si="5"/>
        <v>👍</v>
      </c>
      <c r="I372" s="69"/>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row>
    <row r="373" ht="13.5" customHeight="1" spans="1:55">
      <c r="A373" s="20"/>
      <c r="B373" s="62">
        <v>38273</v>
      </c>
      <c r="C373" s="63" t="s">
        <v>1223</v>
      </c>
      <c r="D373" s="63" t="s">
        <v>1148</v>
      </c>
      <c r="E373" s="64">
        <v>276.8</v>
      </c>
      <c r="F373" s="65"/>
      <c r="G373" s="66" t="b">
        <f>ISNUMBER(MATCH(C373,'Pareto Analysis'!$A$48:$A$114,0))</f>
        <v>1</v>
      </c>
      <c r="H373" s="67" t="str">
        <f t="shared" si="5"/>
        <v>👍</v>
      </c>
      <c r="I373" s="69"/>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row>
    <row r="374" ht="13.5" customHeight="1" spans="1:55">
      <c r="A374" s="20"/>
      <c r="B374" s="62">
        <v>38272</v>
      </c>
      <c r="C374" s="63" t="s">
        <v>1220</v>
      </c>
      <c r="D374" s="63" t="s">
        <v>1153</v>
      </c>
      <c r="E374" s="64">
        <v>278</v>
      </c>
      <c r="F374" s="65"/>
      <c r="G374" s="66" t="b">
        <f>ISNUMBER(MATCH(C374,'Pareto Analysis'!$A$48:$A$114,0))</f>
        <v>1</v>
      </c>
      <c r="H374" s="67" t="str">
        <f t="shared" si="5"/>
        <v>👍</v>
      </c>
      <c r="I374" s="69"/>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row>
    <row r="375" ht="13.5" customHeight="1" spans="1:55">
      <c r="A375" s="20"/>
      <c r="B375" s="62">
        <v>38271</v>
      </c>
      <c r="C375" s="63" t="s">
        <v>1247</v>
      </c>
      <c r="D375" s="63" t="s">
        <v>1153</v>
      </c>
      <c r="E375" s="64">
        <v>287</v>
      </c>
      <c r="F375" s="65"/>
      <c r="G375" s="66" t="b">
        <f>ISNUMBER(MATCH(C375,'Pareto Analysis'!$A$48:$A$114,0))</f>
        <v>1</v>
      </c>
      <c r="H375" s="67" t="str">
        <f t="shared" si="5"/>
        <v>👍</v>
      </c>
      <c r="I375" s="69"/>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row>
    <row r="376" ht="13.5" customHeight="1" spans="1:55">
      <c r="A376" s="20"/>
      <c r="B376" s="62">
        <v>38270</v>
      </c>
      <c r="C376" s="63" t="s">
        <v>1247</v>
      </c>
      <c r="D376" s="63" t="s">
        <v>1153</v>
      </c>
      <c r="E376" s="64">
        <v>290</v>
      </c>
      <c r="F376" s="65"/>
      <c r="G376" s="66" t="b">
        <f>ISNUMBER(MATCH(C376,'Pareto Analysis'!$A$48:$A$114,0))</f>
        <v>1</v>
      </c>
      <c r="H376" s="67" t="str">
        <f t="shared" si="5"/>
        <v>👍</v>
      </c>
      <c r="I376" s="69"/>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row>
    <row r="377" ht="13.5" customHeight="1" spans="1:55">
      <c r="A377" s="20"/>
      <c r="B377" s="62">
        <v>38284</v>
      </c>
      <c r="C377" s="63" t="s">
        <v>1222</v>
      </c>
      <c r="D377" s="63" t="s">
        <v>1153</v>
      </c>
      <c r="E377" s="64">
        <v>296</v>
      </c>
      <c r="F377" s="65"/>
      <c r="G377" s="66" t="b">
        <f>ISNUMBER(MATCH(C377,'Pareto Analysis'!$A$48:$A$114,0))</f>
        <v>1</v>
      </c>
      <c r="H377" s="67" t="str">
        <f t="shared" si="5"/>
        <v>👍</v>
      </c>
      <c r="I377" s="69"/>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row>
    <row r="378" ht="13.5" customHeight="1" spans="1:55">
      <c r="A378" s="20"/>
      <c r="B378" s="62">
        <v>38273</v>
      </c>
      <c r="C378" s="63" t="s">
        <v>1248</v>
      </c>
      <c r="D378" s="63" t="s">
        <v>1153</v>
      </c>
      <c r="E378" s="64">
        <v>303</v>
      </c>
      <c r="F378" s="65"/>
      <c r="G378" s="66" t="b">
        <f>ISNUMBER(MATCH(C378,'Pareto Analysis'!$A$48:$A$114,0))</f>
        <v>1</v>
      </c>
      <c r="H378" s="67" t="str">
        <f t="shared" si="5"/>
        <v>👍</v>
      </c>
      <c r="I378" s="69"/>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row>
    <row r="379" ht="13.5" customHeight="1" spans="1:55">
      <c r="A379" s="20"/>
      <c r="B379" s="62">
        <v>38274</v>
      </c>
      <c r="C379" s="63" t="s">
        <v>1220</v>
      </c>
      <c r="D379" s="63" t="s">
        <v>1153</v>
      </c>
      <c r="E379" s="64">
        <v>310</v>
      </c>
      <c r="F379" s="65"/>
      <c r="G379" s="66" t="b">
        <f>ISNUMBER(MATCH(C379,'Pareto Analysis'!$A$48:$A$114,0))</f>
        <v>1</v>
      </c>
      <c r="H379" s="67" t="str">
        <f t="shared" si="5"/>
        <v>👍</v>
      </c>
      <c r="I379" s="69"/>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row>
    <row r="380" ht="13.5" customHeight="1" spans="1:55">
      <c r="A380" s="20"/>
      <c r="B380" s="62">
        <v>38274</v>
      </c>
      <c r="C380" s="63" t="s">
        <v>1223</v>
      </c>
      <c r="D380" s="63" t="s">
        <v>1148</v>
      </c>
      <c r="E380" s="64">
        <v>320</v>
      </c>
      <c r="F380" s="65"/>
      <c r="G380" s="66" t="b">
        <f>ISNUMBER(MATCH(C380,'Pareto Analysis'!$A$48:$A$114,0))</f>
        <v>1</v>
      </c>
      <c r="H380" s="67" t="str">
        <f t="shared" si="5"/>
        <v>👍</v>
      </c>
      <c r="I380" s="69"/>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row>
    <row r="381" ht="13.5" customHeight="1" spans="1:55">
      <c r="A381" s="20"/>
      <c r="B381" s="62">
        <v>38284</v>
      </c>
      <c r="C381" s="63" t="s">
        <v>1230</v>
      </c>
      <c r="D381" s="63" t="s">
        <v>1153</v>
      </c>
      <c r="E381" s="64">
        <v>323</v>
      </c>
      <c r="F381" s="65"/>
      <c r="G381" s="66" t="b">
        <f>ISNUMBER(MATCH(C381,'Pareto Analysis'!$A$48:$A$114,0))</f>
        <v>1</v>
      </c>
      <c r="H381" s="67" t="str">
        <f t="shared" si="5"/>
        <v>👍</v>
      </c>
      <c r="I381" s="69"/>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row>
    <row r="382" ht="13.5" customHeight="1" spans="1:55">
      <c r="A382" s="20"/>
      <c r="B382" s="62">
        <v>38277</v>
      </c>
      <c r="C382" s="63" t="s">
        <v>1240</v>
      </c>
      <c r="D382" s="63" t="s">
        <v>1156</v>
      </c>
      <c r="E382" s="64">
        <v>336</v>
      </c>
      <c r="F382" s="65"/>
      <c r="G382" s="66" t="b">
        <f>ISNUMBER(MATCH(C382,'Pareto Analysis'!$A$48:$A$114,0))</f>
        <v>1</v>
      </c>
      <c r="H382" s="67" t="str">
        <f t="shared" si="5"/>
        <v>👍</v>
      </c>
      <c r="I382" s="69"/>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row>
    <row r="383" ht="13.5" customHeight="1" spans="1:55">
      <c r="A383" s="20"/>
      <c r="B383" s="62">
        <v>38274</v>
      </c>
      <c r="C383" s="63" t="s">
        <v>1249</v>
      </c>
      <c r="D383" s="63" t="s">
        <v>1153</v>
      </c>
      <c r="E383" s="64">
        <v>337</v>
      </c>
      <c r="F383" s="65"/>
      <c r="G383" s="66" t="b">
        <f>ISNUMBER(MATCH(C383,'Pareto Analysis'!$A$48:$A$114,0))</f>
        <v>1</v>
      </c>
      <c r="H383" s="67" t="str">
        <f t="shared" si="5"/>
        <v>👍</v>
      </c>
      <c r="I383" s="69"/>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row>
    <row r="384" ht="13.5" customHeight="1" spans="1:55">
      <c r="A384" s="20"/>
      <c r="B384" s="62">
        <v>38273</v>
      </c>
      <c r="C384" s="63" t="s">
        <v>1230</v>
      </c>
      <c r="D384" s="63" t="s">
        <v>1153</v>
      </c>
      <c r="E384" s="64">
        <v>340</v>
      </c>
      <c r="F384" s="65"/>
      <c r="G384" s="66" t="b">
        <f>ISNUMBER(MATCH(C384,'Pareto Analysis'!$A$48:$A$114,0))</f>
        <v>1</v>
      </c>
      <c r="H384" s="67" t="str">
        <f t="shared" si="5"/>
        <v>👍</v>
      </c>
      <c r="I384" s="69"/>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row>
    <row r="385" ht="13.5" customHeight="1" spans="1:55">
      <c r="A385" s="20"/>
      <c r="B385" s="62">
        <v>38270</v>
      </c>
      <c r="C385" s="63" t="s">
        <v>1241</v>
      </c>
      <c r="D385" s="63" t="s">
        <v>1153</v>
      </c>
      <c r="E385" s="64">
        <v>366</v>
      </c>
      <c r="F385" s="65"/>
      <c r="G385" s="66" t="b">
        <f>ISNUMBER(MATCH(C385,'Pareto Analysis'!$A$48:$A$114,0))</f>
        <v>1</v>
      </c>
      <c r="H385" s="67" t="str">
        <f t="shared" si="5"/>
        <v>👍</v>
      </c>
      <c r="I385" s="69"/>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row>
    <row r="386" ht="13.5" customHeight="1" spans="1:55">
      <c r="A386" s="20"/>
      <c r="B386" s="62">
        <v>38280</v>
      </c>
      <c r="C386" s="63" t="s">
        <v>1245</v>
      </c>
      <c r="D386" s="63" t="s">
        <v>1151</v>
      </c>
      <c r="E386" s="64">
        <v>384</v>
      </c>
      <c r="F386" s="65"/>
      <c r="G386" s="66" t="b">
        <f>ISNUMBER(MATCH(C386,'Pareto Analysis'!$A$48:$A$114,0))</f>
        <v>1</v>
      </c>
      <c r="H386" s="67" t="str">
        <f t="shared" si="5"/>
        <v>👍</v>
      </c>
      <c r="I386" s="69"/>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row>
    <row r="387" ht="13.5" customHeight="1" spans="1:55">
      <c r="A387" s="20"/>
      <c r="B387" s="62">
        <v>38277</v>
      </c>
      <c r="C387" s="63" t="s">
        <v>1223</v>
      </c>
      <c r="D387" s="63" t="s">
        <v>1148</v>
      </c>
      <c r="E387" s="64">
        <v>392</v>
      </c>
      <c r="F387" s="65"/>
      <c r="G387" s="66" t="b">
        <f>ISNUMBER(MATCH(C387,'Pareto Analysis'!$A$48:$A$114,0))</f>
        <v>1</v>
      </c>
      <c r="H387" s="67" t="str">
        <f t="shared" si="5"/>
        <v>👍</v>
      </c>
      <c r="I387" s="69"/>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row>
    <row r="388" ht="13.5" customHeight="1" spans="1:55">
      <c r="A388" s="20"/>
      <c r="B388" s="62">
        <v>38272</v>
      </c>
      <c r="C388" s="63" t="s">
        <v>1194</v>
      </c>
      <c r="D388" s="63" t="s">
        <v>1153</v>
      </c>
      <c r="E388" s="64">
        <v>401</v>
      </c>
      <c r="F388" s="65"/>
      <c r="G388" s="66" t="b">
        <f>ISNUMBER(MATCH(C388,'Pareto Analysis'!$A$48:$A$114,0))</f>
        <v>1</v>
      </c>
      <c r="H388" s="67" t="str">
        <f t="shared" si="5"/>
        <v>👍</v>
      </c>
      <c r="I388" s="69"/>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row>
    <row r="389" ht="13.5" customHeight="1" spans="1:55">
      <c r="A389" s="20"/>
      <c r="B389" s="62">
        <v>38273</v>
      </c>
      <c r="C389" s="63" t="s">
        <v>1194</v>
      </c>
      <c r="D389" s="63" t="s">
        <v>1153</v>
      </c>
      <c r="E389" s="64">
        <v>401</v>
      </c>
      <c r="F389" s="65"/>
      <c r="G389" s="66" t="b">
        <f>ISNUMBER(MATCH(C389,'Pareto Analysis'!$A$48:$A$114,0))</f>
        <v>1</v>
      </c>
      <c r="H389" s="67" t="str">
        <f t="shared" si="5"/>
        <v>👍</v>
      </c>
      <c r="I389" s="69"/>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row>
    <row r="390" ht="13.5" customHeight="1" spans="1:55">
      <c r="A390" s="20"/>
      <c r="B390" s="62">
        <v>38274</v>
      </c>
      <c r="C390" s="63" t="s">
        <v>1194</v>
      </c>
      <c r="D390" s="63" t="s">
        <v>1153</v>
      </c>
      <c r="E390" s="64">
        <v>401</v>
      </c>
      <c r="F390" s="65"/>
      <c r="G390" s="66" t="b">
        <f>ISNUMBER(MATCH(C390,'Pareto Analysis'!$A$48:$A$114,0))</f>
        <v>1</v>
      </c>
      <c r="H390" s="67" t="str">
        <f t="shared" si="5"/>
        <v>👍</v>
      </c>
      <c r="I390" s="69"/>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row>
    <row r="391" ht="13.5" customHeight="1" spans="1:55">
      <c r="A391" s="20"/>
      <c r="B391" s="62">
        <v>38277</v>
      </c>
      <c r="C391" s="63" t="s">
        <v>1194</v>
      </c>
      <c r="D391" s="63" t="s">
        <v>1153</v>
      </c>
      <c r="E391" s="64">
        <v>401</v>
      </c>
      <c r="F391" s="65"/>
      <c r="G391" s="66" t="b">
        <f>ISNUMBER(MATCH(C391,'Pareto Analysis'!$A$48:$A$114,0))</f>
        <v>1</v>
      </c>
      <c r="H391" s="67" t="str">
        <f t="shared" ref="H391:H454" si="6">IF(G391=TRUE,"👍",IF(G391=FALSE,"👎",""))</f>
        <v>👍</v>
      </c>
      <c r="I391" s="69"/>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row>
    <row r="392" ht="13.5" customHeight="1" spans="1:55">
      <c r="A392" s="20"/>
      <c r="B392" s="62">
        <v>38274</v>
      </c>
      <c r="C392" s="63" t="s">
        <v>1248</v>
      </c>
      <c r="D392" s="63" t="s">
        <v>1153</v>
      </c>
      <c r="E392" s="64">
        <v>417</v>
      </c>
      <c r="F392" s="65"/>
      <c r="G392" s="66" t="b">
        <f>ISNUMBER(MATCH(C392,'Pareto Analysis'!$A$48:$A$114,0))</f>
        <v>1</v>
      </c>
      <c r="H392" s="67" t="str">
        <f t="shared" si="6"/>
        <v>👍</v>
      </c>
      <c r="I392" s="69"/>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row>
    <row r="393" ht="13.5" customHeight="1" spans="1:55">
      <c r="A393" s="20"/>
      <c r="B393" s="62">
        <v>38284</v>
      </c>
      <c r="C393" s="63" t="s">
        <v>1250</v>
      </c>
      <c r="D393" s="63" t="s">
        <v>1153</v>
      </c>
      <c r="E393" s="64">
        <v>420</v>
      </c>
      <c r="F393" s="65"/>
      <c r="G393" s="66" t="b">
        <f>ISNUMBER(MATCH(C393,'Pareto Analysis'!$A$48:$A$114,0))</f>
        <v>1</v>
      </c>
      <c r="H393" s="67" t="str">
        <f t="shared" si="6"/>
        <v>👍</v>
      </c>
      <c r="I393" s="69"/>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row>
    <row r="394" ht="13.5" customHeight="1" spans="1:55">
      <c r="A394" s="20"/>
      <c r="B394" s="62">
        <v>38285</v>
      </c>
      <c r="C394" s="63" t="s">
        <v>1194</v>
      </c>
      <c r="D394" s="63" t="s">
        <v>1153</v>
      </c>
      <c r="E394" s="64">
        <v>432</v>
      </c>
      <c r="F394" s="65"/>
      <c r="G394" s="66" t="b">
        <f>ISNUMBER(MATCH(C394,'Pareto Analysis'!$A$48:$A$114,0))</f>
        <v>1</v>
      </c>
      <c r="H394" s="67" t="str">
        <f t="shared" si="6"/>
        <v>👍</v>
      </c>
      <c r="I394" s="69"/>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row>
    <row r="395" ht="13.5" customHeight="1" spans="1:55">
      <c r="A395" s="20"/>
      <c r="B395" s="62">
        <v>38286</v>
      </c>
      <c r="C395" s="63" t="s">
        <v>1194</v>
      </c>
      <c r="D395" s="63" t="s">
        <v>1153</v>
      </c>
      <c r="E395" s="64">
        <v>432</v>
      </c>
      <c r="F395" s="65"/>
      <c r="G395" s="66" t="b">
        <f>ISNUMBER(MATCH(C395,'Pareto Analysis'!$A$48:$A$114,0))</f>
        <v>1</v>
      </c>
      <c r="H395" s="67" t="str">
        <f t="shared" si="6"/>
        <v>👍</v>
      </c>
      <c r="I395" s="69"/>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row>
    <row r="396" ht="13.5" customHeight="1" spans="1:55">
      <c r="A396" s="20"/>
      <c r="B396" s="62">
        <v>38271</v>
      </c>
      <c r="C396" s="63" t="s">
        <v>1241</v>
      </c>
      <c r="D396" s="63" t="s">
        <v>1153</v>
      </c>
      <c r="E396" s="64">
        <v>434</v>
      </c>
      <c r="F396" s="65"/>
      <c r="G396" s="66" t="b">
        <f>ISNUMBER(MATCH(C396,'Pareto Analysis'!$A$48:$A$114,0))</f>
        <v>1</v>
      </c>
      <c r="H396" s="67" t="str">
        <f t="shared" si="6"/>
        <v>👍</v>
      </c>
      <c r="I396" s="69"/>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row>
    <row r="397" ht="13.5" customHeight="1" spans="1:55">
      <c r="A397" s="20"/>
      <c r="B397" s="62">
        <v>38274</v>
      </c>
      <c r="C397" s="63" t="s">
        <v>1241</v>
      </c>
      <c r="D397" s="63" t="s">
        <v>1153</v>
      </c>
      <c r="E397" s="64">
        <v>441</v>
      </c>
      <c r="F397" s="65"/>
      <c r="G397" s="66" t="b">
        <f>ISNUMBER(MATCH(C397,'Pareto Analysis'!$A$48:$A$114,0))</f>
        <v>1</v>
      </c>
      <c r="H397" s="67" t="str">
        <f t="shared" si="6"/>
        <v>👍</v>
      </c>
      <c r="I397" s="69"/>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row>
    <row r="398" ht="13.5" customHeight="1" spans="1:55">
      <c r="A398" s="20"/>
      <c r="B398" s="62">
        <v>38272</v>
      </c>
      <c r="C398" s="63" t="s">
        <v>1241</v>
      </c>
      <c r="D398" s="63" t="s">
        <v>1153</v>
      </c>
      <c r="E398" s="64">
        <v>445</v>
      </c>
      <c r="F398" s="65"/>
      <c r="G398" s="66" t="b">
        <f>ISNUMBER(MATCH(C398,'Pareto Analysis'!$A$48:$A$114,0))</f>
        <v>1</v>
      </c>
      <c r="H398" s="67" t="str">
        <f t="shared" si="6"/>
        <v>👍</v>
      </c>
      <c r="I398" s="69"/>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row>
    <row r="399" ht="13.5" customHeight="1" spans="1:55">
      <c r="A399" s="20"/>
      <c r="B399" s="62">
        <v>38273</v>
      </c>
      <c r="C399" s="63" t="s">
        <v>1241</v>
      </c>
      <c r="D399" s="63" t="s">
        <v>1153</v>
      </c>
      <c r="E399" s="64">
        <v>447</v>
      </c>
      <c r="F399" s="65"/>
      <c r="G399" s="66" t="b">
        <f>ISNUMBER(MATCH(C399,'Pareto Analysis'!$A$48:$A$114,0))</f>
        <v>1</v>
      </c>
      <c r="H399" s="67" t="str">
        <f t="shared" si="6"/>
        <v>👍</v>
      </c>
      <c r="I399" s="69"/>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row>
    <row r="400" ht="13.5" customHeight="1" spans="1:55">
      <c r="A400" s="20"/>
      <c r="B400" s="62">
        <v>38270</v>
      </c>
      <c r="C400" s="63" t="s">
        <v>1251</v>
      </c>
      <c r="D400" s="63" t="s">
        <v>1153</v>
      </c>
      <c r="E400" s="64">
        <v>484</v>
      </c>
      <c r="F400" s="65"/>
      <c r="G400" s="66" t="b">
        <f>ISNUMBER(MATCH(C400,'Pareto Analysis'!$A$48:$A$114,0))</f>
        <v>1</v>
      </c>
      <c r="H400" s="67" t="str">
        <f t="shared" si="6"/>
        <v>👍</v>
      </c>
      <c r="I400" s="69"/>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row>
    <row r="401" ht="13.5" customHeight="1" spans="1:55">
      <c r="A401" s="20"/>
      <c r="B401" s="62">
        <v>38272</v>
      </c>
      <c r="C401" s="63" t="s">
        <v>1252</v>
      </c>
      <c r="D401" s="63" t="s">
        <v>1148</v>
      </c>
      <c r="E401" s="64">
        <v>508</v>
      </c>
      <c r="F401" s="65"/>
      <c r="G401" s="66" t="b">
        <f>ISNUMBER(MATCH(C401,'Pareto Analysis'!$A$48:$A$114,0))</f>
        <v>1</v>
      </c>
      <c r="H401" s="67" t="str">
        <f t="shared" si="6"/>
        <v>👍</v>
      </c>
      <c r="I401" s="69"/>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row>
    <row r="402" ht="13.5" customHeight="1" spans="1:55">
      <c r="A402" s="20"/>
      <c r="B402" s="62">
        <v>38281</v>
      </c>
      <c r="C402" s="63" t="s">
        <v>1245</v>
      </c>
      <c r="D402" s="63" t="s">
        <v>1151</v>
      </c>
      <c r="E402" s="64">
        <v>514</v>
      </c>
      <c r="F402" s="65"/>
      <c r="G402" s="66" t="b">
        <f>ISNUMBER(MATCH(C402,'Pareto Analysis'!$A$48:$A$114,0))</f>
        <v>1</v>
      </c>
      <c r="H402" s="67" t="str">
        <f t="shared" si="6"/>
        <v>👍</v>
      </c>
      <c r="I402" s="69"/>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row>
    <row r="403" ht="13.5" customHeight="1" spans="1:55">
      <c r="A403" s="20"/>
      <c r="B403" s="62">
        <v>38286</v>
      </c>
      <c r="C403" s="63" t="s">
        <v>1251</v>
      </c>
      <c r="D403" s="63" t="s">
        <v>1153</v>
      </c>
      <c r="E403" s="64">
        <v>515</v>
      </c>
      <c r="F403" s="65"/>
      <c r="G403" s="66" t="b">
        <f>ISNUMBER(MATCH(C403,'Pareto Analysis'!$A$48:$A$114,0))</f>
        <v>1</v>
      </c>
      <c r="H403" s="67" t="str">
        <f t="shared" si="6"/>
        <v>👍</v>
      </c>
      <c r="I403" s="69"/>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row>
    <row r="404" ht="13.5" customHeight="1" spans="1:55">
      <c r="A404" s="20"/>
      <c r="B404" s="62">
        <v>38285</v>
      </c>
      <c r="C404" s="63" t="s">
        <v>1251</v>
      </c>
      <c r="D404" s="63" t="s">
        <v>1153</v>
      </c>
      <c r="E404" s="64">
        <v>518</v>
      </c>
      <c r="F404" s="65"/>
      <c r="G404" s="66" t="b">
        <f>ISNUMBER(MATCH(C404,'Pareto Analysis'!$A$48:$A$114,0))</f>
        <v>1</v>
      </c>
      <c r="H404" s="67" t="str">
        <f t="shared" si="6"/>
        <v>👍</v>
      </c>
      <c r="I404" s="69"/>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row>
    <row r="405" ht="13.5" customHeight="1" spans="1:55">
      <c r="A405" s="20"/>
      <c r="B405" s="62">
        <v>38271</v>
      </c>
      <c r="C405" s="63" t="s">
        <v>1251</v>
      </c>
      <c r="D405" s="63" t="s">
        <v>1153</v>
      </c>
      <c r="E405" s="64">
        <v>563</v>
      </c>
      <c r="F405" s="65"/>
      <c r="G405" s="66" t="b">
        <f>ISNUMBER(MATCH(C405,'Pareto Analysis'!$A$48:$A$114,0))</f>
        <v>1</v>
      </c>
      <c r="H405" s="67" t="str">
        <f t="shared" si="6"/>
        <v>👍</v>
      </c>
      <c r="I405" s="69"/>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row>
    <row r="406" ht="13.5" customHeight="1" spans="1:55">
      <c r="A406" s="20"/>
      <c r="B406" s="62">
        <v>38272</v>
      </c>
      <c r="C406" s="63" t="s">
        <v>1251</v>
      </c>
      <c r="D406" s="63" t="s">
        <v>1153</v>
      </c>
      <c r="E406" s="64">
        <v>628</v>
      </c>
      <c r="F406" s="65"/>
      <c r="G406" s="66" t="b">
        <f>ISNUMBER(MATCH(C406,'Pareto Analysis'!$A$48:$A$114,0))</f>
        <v>1</v>
      </c>
      <c r="H406" s="67" t="str">
        <f t="shared" si="6"/>
        <v>👍</v>
      </c>
      <c r="I406" s="69"/>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row>
    <row r="407" ht="13.5" customHeight="1" spans="1:55">
      <c r="A407" s="20"/>
      <c r="B407" s="62">
        <v>38274</v>
      </c>
      <c r="C407" s="63" t="s">
        <v>1253</v>
      </c>
      <c r="D407" s="63" t="s">
        <v>1166</v>
      </c>
      <c r="E407" s="64">
        <v>633</v>
      </c>
      <c r="F407" s="65"/>
      <c r="G407" s="66" t="b">
        <f>ISNUMBER(MATCH(C407,'Pareto Analysis'!$A$48:$A$114,0))</f>
        <v>1</v>
      </c>
      <c r="H407" s="67" t="str">
        <f t="shared" si="6"/>
        <v>👍</v>
      </c>
      <c r="I407" s="69"/>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row>
    <row r="408" ht="13.5" customHeight="1" spans="1:55">
      <c r="A408" s="20"/>
      <c r="B408" s="62">
        <v>38285</v>
      </c>
      <c r="C408" s="63" t="s">
        <v>1245</v>
      </c>
      <c r="D408" s="63" t="s">
        <v>1151</v>
      </c>
      <c r="E408" s="64">
        <v>647</v>
      </c>
      <c r="F408" s="65"/>
      <c r="G408" s="66" t="b">
        <f>ISNUMBER(MATCH(C408,'Pareto Analysis'!$A$48:$A$114,0))</f>
        <v>1</v>
      </c>
      <c r="H408" s="67" t="str">
        <f t="shared" si="6"/>
        <v>👍</v>
      </c>
      <c r="I408" s="69"/>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row>
    <row r="409" ht="13.5" customHeight="1" spans="1:55">
      <c r="A409" s="20"/>
      <c r="B409" s="62">
        <v>38285</v>
      </c>
      <c r="C409" s="63" t="s">
        <v>1230</v>
      </c>
      <c r="D409" s="63" t="s">
        <v>1153</v>
      </c>
      <c r="E409" s="64">
        <v>654</v>
      </c>
      <c r="F409" s="65"/>
      <c r="G409" s="66" t="b">
        <f>ISNUMBER(MATCH(C409,'Pareto Analysis'!$A$48:$A$114,0))</f>
        <v>1</v>
      </c>
      <c r="H409" s="67" t="str">
        <f t="shared" si="6"/>
        <v>👍</v>
      </c>
      <c r="I409" s="69"/>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row>
    <row r="410" ht="13.5" customHeight="1" spans="1:55">
      <c r="A410" s="20"/>
      <c r="B410" s="62">
        <v>38272</v>
      </c>
      <c r="C410" s="63" t="s">
        <v>1248</v>
      </c>
      <c r="D410" s="63" t="s">
        <v>1153</v>
      </c>
      <c r="E410" s="64">
        <v>663</v>
      </c>
      <c r="F410" s="65"/>
      <c r="G410" s="66" t="b">
        <f>ISNUMBER(MATCH(C410,'Pareto Analysis'!$A$48:$A$114,0))</f>
        <v>1</v>
      </c>
      <c r="H410" s="67" t="str">
        <f t="shared" si="6"/>
        <v>👍</v>
      </c>
      <c r="I410" s="69"/>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row>
    <row r="411" ht="13.5" customHeight="1" spans="1:55">
      <c r="A411" s="20"/>
      <c r="B411" s="62">
        <v>38280</v>
      </c>
      <c r="C411" s="63" t="s">
        <v>1174</v>
      </c>
      <c r="D411" s="63" t="s">
        <v>1156</v>
      </c>
      <c r="E411" s="64">
        <v>690</v>
      </c>
      <c r="F411" s="65"/>
      <c r="G411" s="66" t="b">
        <f>ISNUMBER(MATCH(C411,'Pareto Analysis'!$A$48:$A$114,0))</f>
        <v>1</v>
      </c>
      <c r="H411" s="67" t="str">
        <f t="shared" si="6"/>
        <v>👍</v>
      </c>
      <c r="I411" s="69"/>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row>
    <row r="412" ht="13.5" customHeight="1" spans="1:55">
      <c r="A412" s="20"/>
      <c r="B412" s="62">
        <v>38272</v>
      </c>
      <c r="C412" s="63" t="s">
        <v>1254</v>
      </c>
      <c r="D412" s="63" t="s">
        <v>1151</v>
      </c>
      <c r="E412" s="64">
        <v>709</v>
      </c>
      <c r="F412" s="65"/>
      <c r="G412" s="66" t="b">
        <f>ISNUMBER(MATCH(C412,'Pareto Analysis'!$A$48:$A$114,0))</f>
        <v>1</v>
      </c>
      <c r="H412" s="67" t="str">
        <f t="shared" si="6"/>
        <v>👍</v>
      </c>
      <c r="I412" s="69"/>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20"/>
      <c r="AU412" s="20"/>
      <c r="AV412" s="20"/>
      <c r="AW412" s="20"/>
      <c r="AX412" s="20"/>
      <c r="AY412" s="20"/>
      <c r="AZ412" s="20"/>
      <c r="BA412" s="20"/>
      <c r="BB412" s="20"/>
      <c r="BC412" s="20"/>
    </row>
    <row r="413" ht="13.5" customHeight="1" spans="1:55">
      <c r="A413" s="20"/>
      <c r="B413" s="62">
        <v>38270</v>
      </c>
      <c r="C413" s="63" t="s">
        <v>1255</v>
      </c>
      <c r="D413" s="63" t="s">
        <v>1153</v>
      </c>
      <c r="E413" s="64">
        <v>713</v>
      </c>
      <c r="F413" s="65"/>
      <c r="G413" s="66" t="b">
        <f>ISNUMBER(MATCH(C413,'Pareto Analysis'!$A$48:$A$114,0))</f>
        <v>1</v>
      </c>
      <c r="H413" s="67" t="str">
        <f t="shared" si="6"/>
        <v>👍</v>
      </c>
      <c r="I413" s="69"/>
      <c r="J413" s="20"/>
      <c r="K413" s="20"/>
      <c r="L413" s="20"/>
      <c r="M413" s="20"/>
      <c r="N413" s="20"/>
      <c r="O413" s="20"/>
      <c r="P413" s="20"/>
      <c r="Q413" s="20"/>
      <c r="R413" s="20"/>
      <c r="S413" s="20"/>
      <c r="T413" s="20"/>
      <c r="U413" s="20"/>
      <c r="V413" s="20"/>
      <c r="W413" s="20"/>
      <c r="X413" s="20"/>
      <c r="Y413" s="20"/>
      <c r="Z413" s="20"/>
      <c r="AA413" s="20"/>
      <c r="AB413" s="20"/>
      <c r="AC413" s="20"/>
      <c r="AD413" s="20"/>
      <c r="AE413" s="20"/>
      <c r="AF413" s="20"/>
      <c r="AG413" s="20"/>
      <c r="AH413" s="20"/>
      <c r="AI413" s="20"/>
      <c r="AJ413" s="20"/>
      <c r="AK413" s="20"/>
      <c r="AL413" s="20"/>
      <c r="AM413" s="20"/>
      <c r="AN413" s="20"/>
      <c r="AO413" s="20"/>
      <c r="AP413" s="20"/>
      <c r="AQ413" s="20"/>
      <c r="AR413" s="20"/>
      <c r="AS413" s="20"/>
      <c r="AT413" s="20"/>
      <c r="AU413" s="20"/>
      <c r="AV413" s="20"/>
      <c r="AW413" s="20"/>
      <c r="AX413" s="20"/>
      <c r="AY413" s="20"/>
      <c r="AZ413" s="20"/>
      <c r="BA413" s="20"/>
      <c r="BB413" s="20"/>
      <c r="BC413" s="20"/>
    </row>
    <row r="414" ht="13.5" customHeight="1" spans="1:55">
      <c r="A414" s="20"/>
      <c r="B414" s="62">
        <v>38271</v>
      </c>
      <c r="C414" s="63" t="s">
        <v>1255</v>
      </c>
      <c r="D414" s="63" t="s">
        <v>1153</v>
      </c>
      <c r="E414" s="64">
        <v>714</v>
      </c>
      <c r="F414" s="65"/>
      <c r="G414" s="66" t="b">
        <f>ISNUMBER(MATCH(C414,'Pareto Analysis'!$A$48:$A$114,0))</f>
        <v>1</v>
      </c>
      <c r="H414" s="67" t="str">
        <f t="shared" si="6"/>
        <v>👍</v>
      </c>
      <c r="I414" s="69"/>
      <c r="J414" s="20"/>
      <c r="K414" s="20"/>
      <c r="L414" s="20"/>
      <c r="M414" s="20"/>
      <c r="N414" s="20"/>
      <c r="O414" s="20"/>
      <c r="P414" s="20"/>
      <c r="Q414" s="20"/>
      <c r="R414" s="20"/>
      <c r="S414" s="20"/>
      <c r="T414" s="20"/>
      <c r="U414" s="20"/>
      <c r="V414" s="20"/>
      <c r="W414" s="20"/>
      <c r="X414" s="20"/>
      <c r="Y414" s="20"/>
      <c r="Z414" s="20"/>
      <c r="AA414" s="20"/>
      <c r="AB414" s="20"/>
      <c r="AC414" s="20"/>
      <c r="AD414" s="20"/>
      <c r="AE414" s="20"/>
      <c r="AF414" s="20"/>
      <c r="AG414" s="20"/>
      <c r="AH414" s="20"/>
      <c r="AI414" s="20"/>
      <c r="AJ414" s="20"/>
      <c r="AK414" s="20"/>
      <c r="AL414" s="20"/>
      <c r="AM414" s="20"/>
      <c r="AN414" s="20"/>
      <c r="AO414" s="20"/>
      <c r="AP414" s="20"/>
      <c r="AQ414" s="20"/>
      <c r="AR414" s="20"/>
      <c r="AS414" s="20"/>
      <c r="AT414" s="20"/>
      <c r="AU414" s="20"/>
      <c r="AV414" s="20"/>
      <c r="AW414" s="20"/>
      <c r="AX414" s="20"/>
      <c r="AY414" s="20"/>
      <c r="AZ414" s="20"/>
      <c r="BA414" s="20"/>
      <c r="BB414" s="20"/>
      <c r="BC414" s="20"/>
    </row>
    <row r="415" ht="13.5" customHeight="1" spans="1:55">
      <c r="A415" s="20"/>
      <c r="B415" s="62">
        <v>38272</v>
      </c>
      <c r="C415" s="63" t="s">
        <v>1255</v>
      </c>
      <c r="D415" s="63" t="s">
        <v>1153</v>
      </c>
      <c r="E415" s="64">
        <v>714</v>
      </c>
      <c r="F415" s="65"/>
      <c r="G415" s="66" t="b">
        <f>ISNUMBER(MATCH(C415,'Pareto Analysis'!$A$48:$A$114,0))</f>
        <v>1</v>
      </c>
      <c r="H415" s="67" t="str">
        <f t="shared" si="6"/>
        <v>👍</v>
      </c>
      <c r="I415" s="69"/>
      <c r="J415" s="20"/>
      <c r="K415" s="20"/>
      <c r="L415" s="20"/>
      <c r="M415" s="20"/>
      <c r="N415" s="20"/>
      <c r="O415" s="20"/>
      <c r="P415" s="20"/>
      <c r="Q415" s="20"/>
      <c r="R415" s="20"/>
      <c r="S415" s="20"/>
      <c r="T415" s="20"/>
      <c r="U415" s="20"/>
      <c r="V415" s="20"/>
      <c r="W415" s="20"/>
      <c r="X415" s="20"/>
      <c r="Y415" s="20"/>
      <c r="Z415" s="20"/>
      <c r="AA415" s="20"/>
      <c r="AB415" s="20"/>
      <c r="AC415" s="20"/>
      <c r="AD415" s="20"/>
      <c r="AE415" s="20"/>
      <c r="AF415" s="20"/>
      <c r="AG415" s="20"/>
      <c r="AH415" s="20"/>
      <c r="AI415" s="20"/>
      <c r="AJ415" s="20"/>
      <c r="AK415" s="20"/>
      <c r="AL415" s="20"/>
      <c r="AM415" s="20"/>
      <c r="AN415" s="20"/>
      <c r="AO415" s="20"/>
      <c r="AP415" s="20"/>
      <c r="AQ415" s="20"/>
      <c r="AR415" s="20"/>
      <c r="AS415" s="20"/>
      <c r="AT415" s="20"/>
      <c r="AU415" s="20"/>
      <c r="AV415" s="20"/>
      <c r="AW415" s="20"/>
      <c r="AX415" s="20"/>
      <c r="AY415" s="20"/>
      <c r="AZ415" s="20"/>
      <c r="BA415" s="20"/>
      <c r="BB415" s="20"/>
      <c r="BC415" s="20"/>
    </row>
    <row r="416" ht="13.5" customHeight="1" spans="1:55">
      <c r="A416" s="20"/>
      <c r="B416" s="62">
        <v>38273</v>
      </c>
      <c r="C416" s="63" t="s">
        <v>1255</v>
      </c>
      <c r="D416" s="63" t="s">
        <v>1153</v>
      </c>
      <c r="E416" s="64">
        <v>717</v>
      </c>
      <c r="F416" s="65"/>
      <c r="G416" s="66" t="b">
        <f>ISNUMBER(MATCH(C416,'Pareto Analysis'!$A$48:$A$114,0))</f>
        <v>1</v>
      </c>
      <c r="H416" s="67" t="str">
        <f t="shared" si="6"/>
        <v>👍</v>
      </c>
      <c r="I416" s="71"/>
      <c r="J416" s="20"/>
      <c r="K416" s="20"/>
      <c r="L416" s="20"/>
      <c r="M416" s="20"/>
      <c r="N416" s="20"/>
      <c r="O416" s="20"/>
      <c r="P416" s="20"/>
      <c r="Q416" s="20"/>
      <c r="R416" s="20"/>
      <c r="S416" s="20"/>
      <c r="T416" s="20"/>
      <c r="U416" s="20"/>
      <c r="V416" s="20"/>
      <c r="W416" s="20"/>
      <c r="X416" s="20"/>
      <c r="Y416" s="20"/>
      <c r="Z416" s="20"/>
      <c r="AA416" s="20"/>
      <c r="AB416" s="20"/>
      <c r="AC416" s="20"/>
      <c r="AD416" s="20"/>
      <c r="AE416" s="20"/>
      <c r="AF416" s="20"/>
      <c r="AG416" s="20"/>
      <c r="AH416" s="20"/>
      <c r="AI416" s="20"/>
      <c r="AJ416" s="20"/>
      <c r="AK416" s="20"/>
      <c r="AL416" s="20"/>
      <c r="AM416" s="20"/>
      <c r="AN416" s="20"/>
      <c r="AO416" s="20"/>
      <c r="AP416" s="20"/>
      <c r="AQ416" s="20"/>
      <c r="AR416" s="20"/>
      <c r="AS416" s="20"/>
      <c r="AT416" s="20"/>
      <c r="AU416" s="20"/>
      <c r="AV416" s="20"/>
      <c r="AW416" s="20"/>
      <c r="AX416" s="20"/>
      <c r="AY416" s="20"/>
      <c r="AZ416" s="20"/>
      <c r="BA416" s="20"/>
      <c r="BB416" s="20"/>
      <c r="BC416" s="20"/>
    </row>
    <row r="417" ht="13.5" customHeight="1" spans="1:55">
      <c r="A417" s="20"/>
      <c r="B417" s="62">
        <v>38280</v>
      </c>
      <c r="C417" s="63" t="s">
        <v>1214</v>
      </c>
      <c r="D417" s="63" t="s">
        <v>1156</v>
      </c>
      <c r="E417" s="64">
        <v>729</v>
      </c>
      <c r="F417" s="65"/>
      <c r="G417" s="66" t="b">
        <f>ISNUMBER(MATCH(C417,'Pareto Analysis'!$A$48:$A$114,0))</f>
        <v>1</v>
      </c>
      <c r="H417" s="67" t="str">
        <f t="shared" si="6"/>
        <v>👍</v>
      </c>
      <c r="I417" s="71"/>
      <c r="J417" s="20"/>
      <c r="K417" s="20"/>
      <c r="L417" s="20"/>
      <c r="M417" s="20"/>
      <c r="N417" s="20"/>
      <c r="O417" s="20"/>
      <c r="P417" s="20"/>
      <c r="Q417" s="20"/>
      <c r="R417" s="20"/>
      <c r="S417" s="20"/>
      <c r="T417" s="20"/>
      <c r="U417" s="20"/>
      <c r="V417" s="20"/>
      <c r="W417" s="20"/>
      <c r="X417" s="20"/>
      <c r="Y417" s="20"/>
      <c r="Z417" s="20"/>
      <c r="AA417" s="20"/>
      <c r="AB417" s="20"/>
      <c r="AC417" s="20"/>
      <c r="AD417" s="20"/>
      <c r="AE417" s="20"/>
      <c r="AF417" s="20"/>
      <c r="AG417" s="20"/>
      <c r="AH417" s="20"/>
      <c r="AI417" s="20"/>
      <c r="AJ417" s="20"/>
      <c r="AK417" s="20"/>
      <c r="AL417" s="20"/>
      <c r="AM417" s="20"/>
      <c r="AN417" s="20"/>
      <c r="AO417" s="20"/>
      <c r="AP417" s="20"/>
      <c r="AQ417" s="20"/>
      <c r="AR417" s="20"/>
      <c r="AS417" s="20"/>
      <c r="AT417" s="20"/>
      <c r="AU417" s="20"/>
      <c r="AV417" s="20"/>
      <c r="AW417" s="20"/>
      <c r="AX417" s="20"/>
      <c r="AY417" s="20"/>
      <c r="AZ417" s="20"/>
      <c r="BA417" s="20"/>
      <c r="BB417" s="20"/>
      <c r="BC417" s="20"/>
    </row>
    <row r="418" ht="13.5" customHeight="1" spans="1:55">
      <c r="A418" s="20"/>
      <c r="B418" s="62">
        <v>38286</v>
      </c>
      <c r="C418" s="63" t="s">
        <v>1230</v>
      </c>
      <c r="D418" s="63" t="s">
        <v>1153</v>
      </c>
      <c r="E418" s="64">
        <v>753</v>
      </c>
      <c r="F418" s="65"/>
      <c r="G418" s="66" t="b">
        <f>ISNUMBER(MATCH(C418,'Pareto Analysis'!$A$48:$A$114,0))</f>
        <v>1</v>
      </c>
      <c r="H418" s="67" t="str">
        <f t="shared" si="6"/>
        <v>👍</v>
      </c>
      <c r="I418" s="71"/>
      <c r="J418" s="20"/>
      <c r="K418" s="20"/>
      <c r="L418" s="20"/>
      <c r="M418" s="20"/>
      <c r="N418" s="20"/>
      <c r="O418" s="20"/>
      <c r="P418" s="20"/>
      <c r="Q418" s="20"/>
      <c r="R418" s="20"/>
      <c r="S418" s="20"/>
      <c r="T418" s="20"/>
      <c r="U418" s="20"/>
      <c r="V418" s="20"/>
      <c r="W418" s="20"/>
      <c r="X418" s="20"/>
      <c r="Y418" s="20"/>
      <c r="Z418" s="20"/>
      <c r="AA418" s="20"/>
      <c r="AB418" s="20"/>
      <c r="AC418" s="20"/>
      <c r="AD418" s="20"/>
      <c r="AE418" s="20"/>
      <c r="AF418" s="20"/>
      <c r="AG418" s="20"/>
      <c r="AH418" s="20"/>
      <c r="AI418" s="20"/>
      <c r="AJ418" s="20"/>
      <c r="AK418" s="20"/>
      <c r="AL418" s="20"/>
      <c r="AM418" s="20"/>
      <c r="AN418" s="20"/>
      <c r="AO418" s="20"/>
      <c r="AP418" s="20"/>
      <c r="AQ418" s="20"/>
      <c r="AR418" s="20"/>
      <c r="AS418" s="20"/>
      <c r="AT418" s="20"/>
      <c r="AU418" s="20"/>
      <c r="AV418" s="20"/>
      <c r="AW418" s="20"/>
      <c r="AX418" s="20"/>
      <c r="AY418" s="20"/>
      <c r="AZ418" s="20"/>
      <c r="BA418" s="20"/>
      <c r="BB418" s="20"/>
      <c r="BC418" s="20"/>
    </row>
    <row r="419" ht="13.5" customHeight="1" spans="1:55">
      <c r="A419" s="20"/>
      <c r="B419" s="62">
        <v>38273</v>
      </c>
      <c r="C419" s="63" t="s">
        <v>1251</v>
      </c>
      <c r="D419" s="63" t="s">
        <v>1153</v>
      </c>
      <c r="E419" s="64">
        <v>775</v>
      </c>
      <c r="F419" s="65"/>
      <c r="G419" s="66" t="b">
        <f>ISNUMBER(MATCH(C419,'Pareto Analysis'!$A$48:$A$114,0))</f>
        <v>1</v>
      </c>
      <c r="H419" s="67" t="str">
        <f t="shared" si="6"/>
        <v>👍</v>
      </c>
      <c r="I419" s="71"/>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row>
    <row r="420" ht="13.5" customHeight="1" spans="1:55">
      <c r="A420" s="20"/>
      <c r="B420" s="62">
        <v>38270</v>
      </c>
      <c r="C420" s="63" t="s">
        <v>1256</v>
      </c>
      <c r="D420" s="63" t="s">
        <v>1153</v>
      </c>
      <c r="E420" s="64">
        <v>794</v>
      </c>
      <c r="F420" s="65"/>
      <c r="G420" s="66" t="b">
        <f>ISNUMBER(MATCH(C420,'Pareto Analysis'!$A$48:$A$114,0))</f>
        <v>1</v>
      </c>
      <c r="H420" s="67" t="str">
        <f t="shared" si="6"/>
        <v>👍</v>
      </c>
      <c r="I420" s="71"/>
      <c r="J420" s="20"/>
      <c r="K420" s="20"/>
      <c r="L420" s="20"/>
      <c r="M420" s="20"/>
      <c r="N420" s="20"/>
      <c r="O420" s="20"/>
      <c r="P420" s="20"/>
      <c r="Q420" s="20"/>
      <c r="R420" s="20"/>
      <c r="S420" s="20"/>
      <c r="T420" s="20"/>
      <c r="U420" s="20"/>
      <c r="V420" s="20"/>
      <c r="W420" s="20"/>
      <c r="X420" s="20"/>
      <c r="Y420" s="20"/>
      <c r="Z420" s="20"/>
      <c r="AA420" s="20"/>
      <c r="AB420" s="20"/>
      <c r="AC420" s="20"/>
      <c r="AD420" s="20"/>
      <c r="AE420" s="20"/>
      <c r="AF420" s="20"/>
      <c r="AG420" s="20"/>
      <c r="AH420" s="20"/>
      <c r="AI420" s="20"/>
      <c r="AJ420" s="20"/>
      <c r="AK420" s="20"/>
      <c r="AL420" s="20"/>
      <c r="AM420" s="20"/>
      <c r="AN420" s="20"/>
      <c r="AO420" s="20"/>
      <c r="AP420" s="20"/>
      <c r="AQ420" s="20"/>
      <c r="AR420" s="20"/>
      <c r="AS420" s="20"/>
      <c r="AT420" s="20"/>
      <c r="AU420" s="20"/>
      <c r="AV420" s="20"/>
      <c r="AW420" s="20"/>
      <c r="AX420" s="20"/>
      <c r="AY420" s="20"/>
      <c r="AZ420" s="20"/>
      <c r="BA420" s="20"/>
      <c r="BB420" s="20"/>
      <c r="BC420" s="20"/>
    </row>
    <row r="421" ht="13.5" customHeight="1" spans="1:55">
      <c r="A421" s="20"/>
      <c r="B421" s="62">
        <v>38277</v>
      </c>
      <c r="C421" s="63" t="s">
        <v>1257</v>
      </c>
      <c r="D421" s="63" t="s">
        <v>1153</v>
      </c>
      <c r="E421" s="64">
        <v>931</v>
      </c>
      <c r="F421" s="65"/>
      <c r="G421" s="66" t="b">
        <f>ISNUMBER(MATCH(C421,'Pareto Analysis'!$A$48:$A$114,0))</f>
        <v>1</v>
      </c>
      <c r="H421" s="67" t="str">
        <f t="shared" si="6"/>
        <v>👍</v>
      </c>
      <c r="I421" s="71"/>
      <c r="J421" s="20"/>
      <c r="K421" s="20"/>
      <c r="L421" s="20"/>
      <c r="M421" s="20"/>
      <c r="N421" s="20"/>
      <c r="O421" s="20"/>
      <c r="P421" s="20"/>
      <c r="Q421" s="20"/>
      <c r="R421" s="20"/>
      <c r="S421" s="20"/>
      <c r="T421" s="20"/>
      <c r="U421" s="20"/>
      <c r="V421" s="20"/>
      <c r="W421" s="20"/>
      <c r="X421" s="20"/>
      <c r="Y421" s="20"/>
      <c r="Z421" s="20"/>
      <c r="AA421" s="20"/>
      <c r="AB421" s="20"/>
      <c r="AC421" s="20"/>
      <c r="AD421" s="20"/>
      <c r="AE421" s="20"/>
      <c r="AF421" s="20"/>
      <c r="AG421" s="20"/>
      <c r="AH421" s="20"/>
      <c r="AI421" s="20"/>
      <c r="AJ421" s="20"/>
      <c r="AK421" s="20"/>
      <c r="AL421" s="20"/>
      <c r="AM421" s="20"/>
      <c r="AN421" s="20"/>
      <c r="AO421" s="20"/>
      <c r="AP421" s="20"/>
      <c r="AQ421" s="20"/>
      <c r="AR421" s="20"/>
      <c r="AS421" s="20"/>
      <c r="AT421" s="20"/>
      <c r="AU421" s="20"/>
      <c r="AV421" s="20"/>
      <c r="AW421" s="20"/>
      <c r="AX421" s="20"/>
      <c r="AY421" s="20"/>
      <c r="AZ421" s="20"/>
      <c r="BA421" s="20"/>
      <c r="BB421" s="20"/>
      <c r="BC421" s="20"/>
    </row>
    <row r="422" ht="13.5" customHeight="1" spans="1:55">
      <c r="A422" s="20"/>
      <c r="B422" s="62">
        <v>38271</v>
      </c>
      <c r="C422" s="63" t="s">
        <v>1258</v>
      </c>
      <c r="D422" s="63" t="s">
        <v>1153</v>
      </c>
      <c r="E422" s="64">
        <v>960</v>
      </c>
      <c r="F422" s="65"/>
      <c r="G422" s="66" t="b">
        <f>ISNUMBER(MATCH(C422,'Pareto Analysis'!$A$48:$A$114,0))</f>
        <v>1</v>
      </c>
      <c r="H422" s="67" t="str">
        <f t="shared" si="6"/>
        <v>👍</v>
      </c>
      <c r="I422" s="71"/>
      <c r="J422" s="20"/>
      <c r="K422" s="20"/>
      <c r="L422" s="20"/>
      <c r="M422" s="20"/>
      <c r="N422" s="20"/>
      <c r="O422" s="20"/>
      <c r="P422" s="20"/>
      <c r="Q422" s="20"/>
      <c r="R422" s="20"/>
      <c r="S422" s="20"/>
      <c r="T422" s="20"/>
      <c r="U422" s="20"/>
      <c r="V422" s="20"/>
      <c r="W422" s="20"/>
      <c r="X422" s="20"/>
      <c r="Y422" s="20"/>
      <c r="Z422" s="20"/>
      <c r="AA422" s="20"/>
      <c r="AB422" s="20"/>
      <c r="AC422" s="20"/>
      <c r="AD422" s="20"/>
      <c r="AE422" s="20"/>
      <c r="AF422" s="20"/>
      <c r="AG422" s="20"/>
      <c r="AH422" s="20"/>
      <c r="AI422" s="20"/>
      <c r="AJ422" s="20"/>
      <c r="AK422" s="20"/>
      <c r="AL422" s="20"/>
      <c r="AM422" s="20"/>
      <c r="AN422" s="20"/>
      <c r="AO422" s="20"/>
      <c r="AP422" s="20"/>
      <c r="AQ422" s="20"/>
      <c r="AR422" s="20"/>
      <c r="AS422" s="20"/>
      <c r="AT422" s="20"/>
      <c r="AU422" s="20"/>
      <c r="AV422" s="20"/>
      <c r="AW422" s="20"/>
      <c r="AX422" s="20"/>
      <c r="AY422" s="20"/>
      <c r="AZ422" s="20"/>
      <c r="BA422" s="20"/>
      <c r="BB422" s="20"/>
      <c r="BC422" s="20"/>
    </row>
    <row r="423" ht="13.5" customHeight="1" spans="1:55">
      <c r="A423" s="20"/>
      <c r="B423" s="62">
        <v>38274</v>
      </c>
      <c r="C423" s="63" t="s">
        <v>1251</v>
      </c>
      <c r="D423" s="63" t="s">
        <v>1153</v>
      </c>
      <c r="E423" s="64">
        <v>963</v>
      </c>
      <c r="F423" s="65"/>
      <c r="G423" s="66" t="b">
        <f>ISNUMBER(MATCH(C423,'Pareto Analysis'!$A$48:$A$114,0))</f>
        <v>1</v>
      </c>
      <c r="H423" s="67" t="str">
        <f t="shared" si="6"/>
        <v>👍</v>
      </c>
      <c r="I423" s="71"/>
      <c r="J423" s="20"/>
      <c r="K423" s="20"/>
      <c r="L423" s="20"/>
      <c r="M423" s="20"/>
      <c r="N423" s="20"/>
      <c r="O423" s="20"/>
      <c r="P423" s="20"/>
      <c r="Q423" s="20"/>
      <c r="R423" s="20"/>
      <c r="S423" s="20"/>
      <c r="T423" s="20"/>
      <c r="U423" s="20"/>
      <c r="V423" s="20"/>
      <c r="W423" s="20"/>
      <c r="X423" s="20"/>
      <c r="Y423" s="20"/>
      <c r="Z423" s="20"/>
      <c r="AA423" s="20"/>
      <c r="AB423" s="20"/>
      <c r="AC423" s="20"/>
      <c r="AD423" s="20"/>
      <c r="AE423" s="20"/>
      <c r="AF423" s="20"/>
      <c r="AG423" s="20"/>
      <c r="AH423" s="20"/>
      <c r="AI423" s="20"/>
      <c r="AJ423" s="20"/>
      <c r="AK423" s="20"/>
      <c r="AL423" s="20"/>
      <c r="AM423" s="20"/>
      <c r="AN423" s="20"/>
      <c r="AO423" s="20"/>
      <c r="AP423" s="20"/>
      <c r="AQ423" s="20"/>
      <c r="AR423" s="20"/>
      <c r="AS423" s="20"/>
      <c r="AT423" s="20"/>
      <c r="AU423" s="20"/>
      <c r="AV423" s="20"/>
      <c r="AW423" s="20"/>
      <c r="AX423" s="20"/>
      <c r="AY423" s="20"/>
      <c r="AZ423" s="20"/>
      <c r="BA423" s="20"/>
      <c r="BB423" s="20"/>
      <c r="BC423" s="20"/>
    </row>
    <row r="424" ht="13.5" customHeight="1" spans="1:55">
      <c r="A424" s="20"/>
      <c r="B424" s="62">
        <v>38280</v>
      </c>
      <c r="C424" s="63" t="s">
        <v>1259</v>
      </c>
      <c r="D424" s="63" t="s">
        <v>1153</v>
      </c>
      <c r="E424" s="64">
        <v>1066</v>
      </c>
      <c r="F424" s="65"/>
      <c r="G424" s="66" t="b">
        <f>ISNUMBER(MATCH(C424,'Pareto Analysis'!$A$48:$A$114,0))</f>
        <v>1</v>
      </c>
      <c r="H424" s="67" t="str">
        <f t="shared" si="6"/>
        <v>👍</v>
      </c>
      <c r="I424" s="71"/>
      <c r="J424" s="20"/>
      <c r="K424" s="20"/>
      <c r="L424" s="20"/>
      <c r="M424" s="20"/>
      <c r="N424" s="20"/>
      <c r="O424" s="20"/>
      <c r="P424" s="20"/>
      <c r="Q424" s="20"/>
      <c r="R424" s="20"/>
      <c r="S424" s="20"/>
      <c r="T424" s="20"/>
      <c r="U424" s="20"/>
      <c r="V424" s="20"/>
      <c r="W424" s="20"/>
      <c r="X424" s="20"/>
      <c r="Y424" s="20"/>
      <c r="Z424" s="20"/>
      <c r="AA424" s="20"/>
      <c r="AB424" s="20"/>
      <c r="AC424" s="20"/>
      <c r="AD424" s="20"/>
      <c r="AE424" s="20"/>
      <c r="AF424" s="20"/>
      <c r="AG424" s="20"/>
      <c r="AH424" s="20"/>
      <c r="AI424" s="20"/>
      <c r="AJ424" s="20"/>
      <c r="AK424" s="20"/>
      <c r="AL424" s="20"/>
      <c r="AM424" s="20"/>
      <c r="AN424" s="20"/>
      <c r="AO424" s="20"/>
      <c r="AP424" s="20"/>
      <c r="AQ424" s="20"/>
      <c r="AR424" s="20"/>
      <c r="AS424" s="20"/>
      <c r="AT424" s="20"/>
      <c r="AU424" s="20"/>
      <c r="AV424" s="20"/>
      <c r="AW424" s="20"/>
      <c r="AX424" s="20"/>
      <c r="AY424" s="20"/>
      <c r="AZ424" s="20"/>
      <c r="BA424" s="20"/>
      <c r="BB424" s="20"/>
      <c r="BC424" s="20"/>
    </row>
    <row r="425" ht="13.5" customHeight="1" spans="1:55">
      <c r="A425" s="20"/>
      <c r="B425" s="62">
        <v>38273</v>
      </c>
      <c r="C425" s="63" t="s">
        <v>1257</v>
      </c>
      <c r="D425" s="63" t="s">
        <v>1153</v>
      </c>
      <c r="E425" s="64">
        <v>1080</v>
      </c>
      <c r="F425" s="65"/>
      <c r="G425" s="66" t="b">
        <f>ISNUMBER(MATCH(C425,'Pareto Analysis'!$A$48:$A$114,0))</f>
        <v>1</v>
      </c>
      <c r="H425" s="67" t="str">
        <f t="shared" si="6"/>
        <v>👍</v>
      </c>
      <c r="I425" s="71"/>
      <c r="J425" s="20"/>
      <c r="K425" s="20"/>
      <c r="L425" s="20"/>
      <c r="M425" s="20"/>
      <c r="N425" s="20"/>
      <c r="O425" s="20"/>
      <c r="P425" s="20"/>
      <c r="Q425" s="20"/>
      <c r="R425" s="20"/>
      <c r="S425" s="20"/>
      <c r="T425" s="20"/>
      <c r="U425" s="20"/>
      <c r="V425" s="20"/>
      <c r="W425" s="20"/>
      <c r="X425" s="20"/>
      <c r="Y425" s="20"/>
      <c r="Z425" s="20"/>
      <c r="AA425" s="20"/>
      <c r="AB425" s="20"/>
      <c r="AC425" s="20"/>
      <c r="AD425" s="20"/>
      <c r="AE425" s="20"/>
      <c r="AF425" s="20"/>
      <c r="AG425" s="20"/>
      <c r="AH425" s="20"/>
      <c r="AI425" s="20"/>
      <c r="AJ425" s="20"/>
      <c r="AK425" s="20"/>
      <c r="AL425" s="20"/>
      <c r="AM425" s="20"/>
      <c r="AN425" s="20"/>
      <c r="AO425" s="20"/>
      <c r="AP425" s="20"/>
      <c r="AQ425" s="20"/>
      <c r="AR425" s="20"/>
      <c r="AS425" s="20"/>
      <c r="AT425" s="20"/>
      <c r="AU425" s="20"/>
      <c r="AV425" s="20"/>
      <c r="AW425" s="20"/>
      <c r="AX425" s="20"/>
      <c r="AY425" s="20"/>
      <c r="AZ425" s="20"/>
      <c r="BA425" s="20"/>
      <c r="BB425" s="20"/>
      <c r="BC425" s="20"/>
    </row>
    <row r="426" ht="13.5" customHeight="1" spans="1:55">
      <c r="A426" s="20"/>
      <c r="B426" s="62">
        <v>38270</v>
      </c>
      <c r="C426" s="63" t="s">
        <v>1257</v>
      </c>
      <c r="D426" s="63" t="s">
        <v>1153</v>
      </c>
      <c r="E426" s="64">
        <v>1091</v>
      </c>
      <c r="F426" s="65"/>
      <c r="G426" s="66" t="b">
        <f>ISNUMBER(MATCH(C426,'Pareto Analysis'!$A$48:$A$114,0))</f>
        <v>1</v>
      </c>
      <c r="H426" s="67" t="str">
        <f t="shared" si="6"/>
        <v>👍</v>
      </c>
      <c r="I426" s="71"/>
      <c r="J426" s="20"/>
      <c r="K426" s="20"/>
      <c r="L426" s="20"/>
      <c r="M426" s="20"/>
      <c r="N426" s="20"/>
      <c r="O426" s="20"/>
      <c r="P426" s="20"/>
      <c r="Q426" s="20"/>
      <c r="R426" s="20"/>
      <c r="S426" s="20"/>
      <c r="T426" s="20"/>
      <c r="U426" s="20"/>
      <c r="V426" s="20"/>
      <c r="W426" s="20"/>
      <c r="X426" s="20"/>
      <c r="Y426" s="20"/>
      <c r="Z426" s="20"/>
      <c r="AA426" s="20"/>
      <c r="AB426" s="20"/>
      <c r="AC426" s="20"/>
      <c r="AD426" s="20"/>
      <c r="AE426" s="20"/>
      <c r="AF426" s="20"/>
      <c r="AG426" s="20"/>
      <c r="AH426" s="20"/>
      <c r="AI426" s="20"/>
      <c r="AJ426" s="20"/>
      <c r="AK426" s="20"/>
      <c r="AL426" s="20"/>
      <c r="AM426" s="20"/>
      <c r="AN426" s="20"/>
      <c r="AO426" s="20"/>
      <c r="AP426" s="20"/>
      <c r="AQ426" s="20"/>
      <c r="AR426" s="20"/>
      <c r="AS426" s="20"/>
      <c r="AT426" s="20"/>
      <c r="AU426" s="20"/>
      <c r="AV426" s="20"/>
      <c r="AW426" s="20"/>
      <c r="AX426" s="20"/>
      <c r="AY426" s="20"/>
      <c r="AZ426" s="20"/>
      <c r="BA426" s="20"/>
      <c r="BB426" s="20"/>
      <c r="BC426" s="20"/>
    </row>
    <row r="427" ht="13.5" customHeight="1" spans="1:55">
      <c r="A427" s="20"/>
      <c r="B427" s="62">
        <v>38274</v>
      </c>
      <c r="C427" s="63" t="s">
        <v>1257</v>
      </c>
      <c r="D427" s="63" t="s">
        <v>1153</v>
      </c>
      <c r="E427" s="64">
        <v>1101</v>
      </c>
      <c r="F427" s="65"/>
      <c r="G427" s="66" t="b">
        <f>ISNUMBER(MATCH(C427,'Pareto Analysis'!$A$48:$A$114,0))</f>
        <v>1</v>
      </c>
      <c r="H427" s="67" t="str">
        <f t="shared" si="6"/>
        <v>👍</v>
      </c>
      <c r="I427" s="71"/>
      <c r="J427" s="20"/>
      <c r="K427" s="20"/>
      <c r="L427" s="20"/>
      <c r="M427" s="20"/>
      <c r="N427" s="20"/>
      <c r="O427" s="20"/>
      <c r="P427" s="20"/>
      <c r="Q427" s="20"/>
      <c r="R427" s="20"/>
      <c r="S427" s="20"/>
      <c r="T427" s="20"/>
      <c r="U427" s="20"/>
      <c r="V427" s="20"/>
      <c r="W427" s="20"/>
      <c r="X427" s="20"/>
      <c r="Y427" s="20"/>
      <c r="Z427" s="20"/>
      <c r="AA427" s="20"/>
      <c r="AB427" s="20"/>
      <c r="AC427" s="20"/>
      <c r="AD427" s="20"/>
      <c r="AE427" s="20"/>
      <c r="AF427" s="20"/>
      <c r="AG427" s="20"/>
      <c r="AH427" s="20"/>
      <c r="AI427" s="20"/>
      <c r="AJ427" s="20"/>
      <c r="AK427" s="20"/>
      <c r="AL427" s="20"/>
      <c r="AM427" s="20"/>
      <c r="AN427" s="20"/>
      <c r="AO427" s="20"/>
      <c r="AP427" s="20"/>
      <c r="AQ427" s="20"/>
      <c r="AR427" s="20"/>
      <c r="AS427" s="20"/>
      <c r="AT427" s="20"/>
      <c r="AU427" s="20"/>
      <c r="AV427" s="20"/>
      <c r="AW427" s="20"/>
      <c r="AX427" s="20"/>
      <c r="AY427" s="20"/>
      <c r="AZ427" s="20"/>
      <c r="BA427" s="20"/>
      <c r="BB427" s="20"/>
      <c r="BC427" s="20"/>
    </row>
    <row r="428" ht="13.5" customHeight="1" spans="1:55">
      <c r="A428" s="20"/>
      <c r="B428" s="62">
        <v>38272</v>
      </c>
      <c r="C428" s="63" t="s">
        <v>1257</v>
      </c>
      <c r="D428" s="63" t="s">
        <v>1153</v>
      </c>
      <c r="E428" s="64">
        <v>1130</v>
      </c>
      <c r="F428" s="65"/>
      <c r="G428" s="66" t="b">
        <f>ISNUMBER(MATCH(C428,'Pareto Analysis'!$A$48:$A$114,0))</f>
        <v>1</v>
      </c>
      <c r="H428" s="67" t="str">
        <f t="shared" si="6"/>
        <v>👍</v>
      </c>
      <c r="I428" s="71"/>
      <c r="J428" s="20"/>
      <c r="K428" s="20"/>
      <c r="L428" s="20"/>
      <c r="M428" s="20"/>
      <c r="N428" s="20"/>
      <c r="O428" s="20"/>
      <c r="P428" s="20"/>
      <c r="Q428" s="20"/>
      <c r="R428" s="20"/>
      <c r="S428" s="20"/>
      <c r="T428" s="20"/>
      <c r="U428" s="20"/>
      <c r="V428" s="20"/>
      <c r="W428" s="20"/>
      <c r="X428" s="20"/>
      <c r="Y428" s="20"/>
      <c r="Z428" s="20"/>
      <c r="AA428" s="20"/>
      <c r="AB428" s="20"/>
      <c r="AC428" s="20"/>
      <c r="AD428" s="20"/>
      <c r="AE428" s="20"/>
      <c r="AF428" s="20"/>
      <c r="AG428" s="20"/>
      <c r="AH428" s="20"/>
      <c r="AI428" s="20"/>
      <c r="AJ428" s="20"/>
      <c r="AK428" s="20"/>
      <c r="AL428" s="20"/>
      <c r="AM428" s="20"/>
      <c r="AN428" s="20"/>
      <c r="AO428" s="20"/>
      <c r="AP428" s="20"/>
      <c r="AQ428" s="20"/>
      <c r="AR428" s="20"/>
      <c r="AS428" s="20"/>
      <c r="AT428" s="20"/>
      <c r="AU428" s="20"/>
      <c r="AV428" s="20"/>
      <c r="AW428" s="20"/>
      <c r="AX428" s="20"/>
      <c r="AY428" s="20"/>
      <c r="AZ428" s="20"/>
      <c r="BA428" s="20"/>
      <c r="BB428" s="20"/>
      <c r="BC428" s="20"/>
    </row>
    <row r="429" ht="13.5" customHeight="1" spans="1:55">
      <c r="A429" s="20"/>
      <c r="B429" s="62">
        <v>38280</v>
      </c>
      <c r="C429" s="63" t="s">
        <v>1251</v>
      </c>
      <c r="D429" s="63" t="s">
        <v>1153</v>
      </c>
      <c r="E429" s="64">
        <v>1147</v>
      </c>
      <c r="F429" s="65"/>
      <c r="G429" s="66" t="b">
        <f>ISNUMBER(MATCH(C429,'Pareto Analysis'!$A$48:$A$114,0))</f>
        <v>1</v>
      </c>
      <c r="H429" s="67" t="str">
        <f t="shared" si="6"/>
        <v>👍</v>
      </c>
      <c r="I429" s="71"/>
      <c r="J429" s="20"/>
      <c r="K429" s="20"/>
      <c r="L429" s="20"/>
      <c r="M429" s="20"/>
      <c r="N429" s="20"/>
      <c r="O429" s="20"/>
      <c r="P429" s="20"/>
      <c r="Q429" s="20"/>
      <c r="R429" s="20"/>
      <c r="S429" s="20"/>
      <c r="T429" s="20"/>
      <c r="U429" s="20"/>
      <c r="V429" s="20"/>
      <c r="W429" s="20"/>
      <c r="X429" s="20"/>
      <c r="Y429" s="20"/>
      <c r="Z429" s="20"/>
      <c r="AA429" s="20"/>
      <c r="AB429" s="20"/>
      <c r="AC429" s="20"/>
      <c r="AD429" s="20"/>
      <c r="AE429" s="20"/>
      <c r="AF429" s="20"/>
      <c r="AG429" s="20"/>
      <c r="AH429" s="20"/>
      <c r="AI429" s="20"/>
      <c r="AJ429" s="20"/>
      <c r="AK429" s="20"/>
      <c r="AL429" s="20"/>
      <c r="AM429" s="20"/>
      <c r="AN429" s="20"/>
      <c r="AO429" s="20"/>
      <c r="AP429" s="20"/>
      <c r="AQ429" s="20"/>
      <c r="AR429" s="20"/>
      <c r="AS429" s="20"/>
      <c r="AT429" s="20"/>
      <c r="AU429" s="20"/>
      <c r="AV429" s="20"/>
      <c r="AW429" s="20"/>
      <c r="AX429" s="20"/>
      <c r="AY429" s="20"/>
      <c r="AZ429" s="20"/>
      <c r="BA429" s="20"/>
      <c r="BB429" s="20"/>
      <c r="BC429" s="20"/>
    </row>
    <row r="430" ht="13.5" customHeight="1" spans="1:55">
      <c r="A430" s="20"/>
      <c r="B430" s="62">
        <v>38286</v>
      </c>
      <c r="C430" s="63" t="s">
        <v>1259</v>
      </c>
      <c r="D430" s="63" t="s">
        <v>1153</v>
      </c>
      <c r="E430" s="64">
        <v>1173</v>
      </c>
      <c r="F430" s="65"/>
      <c r="G430" s="66" t="b">
        <f>ISNUMBER(MATCH(C430,'Pareto Analysis'!$A$48:$A$114,0))</f>
        <v>1</v>
      </c>
      <c r="H430" s="67" t="str">
        <f t="shared" si="6"/>
        <v>👍</v>
      </c>
      <c r="I430" s="71"/>
      <c r="J430" s="20"/>
      <c r="K430" s="20"/>
      <c r="L430" s="20"/>
      <c r="M430" s="20"/>
      <c r="N430" s="20"/>
      <c r="O430" s="20"/>
      <c r="P430" s="20"/>
      <c r="Q430" s="20"/>
      <c r="R430" s="20"/>
      <c r="S430" s="20"/>
      <c r="T430" s="20"/>
      <c r="U430" s="20"/>
      <c r="V430" s="20"/>
      <c r="W430" s="20"/>
      <c r="X430" s="20"/>
      <c r="Y430" s="20"/>
      <c r="Z430" s="20"/>
      <c r="AA430" s="20"/>
      <c r="AB430" s="20"/>
      <c r="AC430" s="20"/>
      <c r="AD430" s="20"/>
      <c r="AE430" s="20"/>
      <c r="AF430" s="20"/>
      <c r="AG430" s="20"/>
      <c r="AH430" s="20"/>
      <c r="AI430" s="20"/>
      <c r="AJ430" s="20"/>
      <c r="AK430" s="20"/>
      <c r="AL430" s="20"/>
      <c r="AM430" s="20"/>
      <c r="AN430" s="20"/>
      <c r="AO430" s="20"/>
      <c r="AP430" s="20"/>
      <c r="AQ430" s="20"/>
      <c r="AR430" s="20"/>
      <c r="AS430" s="20"/>
      <c r="AT430" s="20"/>
      <c r="AU430" s="20"/>
      <c r="AV430" s="20"/>
      <c r="AW430" s="20"/>
      <c r="AX430" s="20"/>
      <c r="AY430" s="20"/>
      <c r="AZ430" s="20"/>
      <c r="BA430" s="20"/>
      <c r="BB430" s="20"/>
      <c r="BC430" s="20"/>
    </row>
    <row r="431" ht="13.5" customHeight="1" spans="1:55">
      <c r="A431" s="20"/>
      <c r="B431" s="62">
        <v>38271</v>
      </c>
      <c r="C431" s="63" t="s">
        <v>1259</v>
      </c>
      <c r="D431" s="63" t="s">
        <v>1153</v>
      </c>
      <c r="E431" s="64">
        <v>1175</v>
      </c>
      <c r="F431" s="65"/>
      <c r="G431" s="66" t="b">
        <f>ISNUMBER(MATCH(C431,'Pareto Analysis'!$A$48:$A$114,0))</f>
        <v>1</v>
      </c>
      <c r="H431" s="67" t="str">
        <f t="shared" si="6"/>
        <v>👍</v>
      </c>
      <c r="I431" s="71"/>
      <c r="J431" s="20"/>
      <c r="K431" s="20"/>
      <c r="L431" s="20"/>
      <c r="M431" s="20"/>
      <c r="N431" s="20"/>
      <c r="O431" s="20"/>
      <c r="P431" s="20"/>
      <c r="Q431" s="20"/>
      <c r="R431" s="20"/>
      <c r="S431" s="20"/>
      <c r="T431" s="20"/>
      <c r="U431" s="20"/>
      <c r="V431" s="20"/>
      <c r="W431" s="20"/>
      <c r="X431" s="20"/>
      <c r="Y431" s="20"/>
      <c r="Z431" s="20"/>
      <c r="AA431" s="20"/>
      <c r="AB431" s="20"/>
      <c r="AC431" s="20"/>
      <c r="AD431" s="20"/>
      <c r="AE431" s="20"/>
      <c r="AF431" s="20"/>
      <c r="AG431" s="20"/>
      <c r="AH431" s="20"/>
      <c r="AI431" s="20"/>
      <c r="AJ431" s="20"/>
      <c r="AK431" s="20"/>
      <c r="AL431" s="20"/>
      <c r="AM431" s="20"/>
      <c r="AN431" s="20"/>
      <c r="AO431" s="20"/>
      <c r="AP431" s="20"/>
      <c r="AQ431" s="20"/>
      <c r="AR431" s="20"/>
      <c r="AS431" s="20"/>
      <c r="AT431" s="20"/>
      <c r="AU431" s="20"/>
      <c r="AV431" s="20"/>
      <c r="AW431" s="20"/>
      <c r="AX431" s="20"/>
      <c r="AY431" s="20"/>
      <c r="AZ431" s="20"/>
      <c r="BA431" s="20"/>
      <c r="BB431" s="20"/>
      <c r="BC431" s="20"/>
    </row>
    <row r="432" ht="13.5" customHeight="1" spans="1:55">
      <c r="A432" s="20"/>
      <c r="B432" s="62">
        <v>38272</v>
      </c>
      <c r="C432" s="63" t="s">
        <v>1259</v>
      </c>
      <c r="D432" s="63" t="s">
        <v>1153</v>
      </c>
      <c r="E432" s="64">
        <v>1175</v>
      </c>
      <c r="F432" s="65"/>
      <c r="G432" s="66" t="b">
        <f>ISNUMBER(MATCH(C432,'Pareto Analysis'!$A$48:$A$114,0))</f>
        <v>1</v>
      </c>
      <c r="H432" s="67" t="str">
        <f t="shared" si="6"/>
        <v>👍</v>
      </c>
      <c r="I432" s="71"/>
      <c r="J432" s="20"/>
      <c r="K432" s="20"/>
      <c r="L432" s="20"/>
      <c r="M432" s="20"/>
      <c r="N432" s="20"/>
      <c r="O432" s="20"/>
      <c r="P432" s="20"/>
      <c r="Q432" s="20"/>
      <c r="R432" s="20"/>
      <c r="S432" s="20"/>
      <c r="T432" s="20"/>
      <c r="U432" s="20"/>
      <c r="V432" s="20"/>
      <c r="W432" s="20"/>
      <c r="X432" s="20"/>
      <c r="Y432" s="20"/>
      <c r="Z432" s="20"/>
      <c r="AA432" s="20"/>
      <c r="AB432" s="20"/>
      <c r="AC432" s="20"/>
      <c r="AD432" s="20"/>
      <c r="AE432" s="20"/>
      <c r="AF432" s="20"/>
      <c r="AG432" s="20"/>
      <c r="AH432" s="20"/>
      <c r="AI432" s="20"/>
      <c r="AJ432" s="20"/>
      <c r="AK432" s="20"/>
      <c r="AL432" s="20"/>
      <c r="AM432" s="20"/>
      <c r="AN432" s="20"/>
      <c r="AO432" s="20"/>
      <c r="AP432" s="20"/>
      <c r="AQ432" s="20"/>
      <c r="AR432" s="20"/>
      <c r="AS432" s="20"/>
      <c r="AT432" s="20"/>
      <c r="AU432" s="20"/>
      <c r="AV432" s="20"/>
      <c r="AW432" s="20"/>
      <c r="AX432" s="20"/>
      <c r="AY432" s="20"/>
      <c r="AZ432" s="20"/>
      <c r="BA432" s="20"/>
      <c r="BB432" s="20"/>
      <c r="BC432" s="20"/>
    </row>
    <row r="433" ht="13.5" customHeight="1" spans="1:55">
      <c r="A433" s="20"/>
      <c r="B433" s="62">
        <v>38281</v>
      </c>
      <c r="C433" s="63" t="s">
        <v>1259</v>
      </c>
      <c r="D433" s="63" t="s">
        <v>1153</v>
      </c>
      <c r="E433" s="64">
        <v>1179</v>
      </c>
      <c r="F433" s="65"/>
      <c r="G433" s="66" t="b">
        <f>ISNUMBER(MATCH(C433,'Pareto Analysis'!$A$48:$A$114,0))</f>
        <v>1</v>
      </c>
      <c r="H433" s="67" t="str">
        <f t="shared" si="6"/>
        <v>👍</v>
      </c>
      <c r="I433" s="71"/>
      <c r="J433" s="20"/>
      <c r="K433" s="20"/>
      <c r="L433" s="20"/>
      <c r="M433" s="20"/>
      <c r="N433" s="20"/>
      <c r="O433" s="20"/>
      <c r="P433" s="20"/>
      <c r="Q433" s="20"/>
      <c r="R433" s="20"/>
      <c r="S433" s="20"/>
      <c r="T433" s="20"/>
      <c r="U433" s="20"/>
      <c r="V433" s="20"/>
      <c r="W433" s="20"/>
      <c r="X433" s="20"/>
      <c r="Y433" s="20"/>
      <c r="Z433" s="20"/>
      <c r="AA433" s="20"/>
      <c r="AB433" s="20"/>
      <c r="AC433" s="20"/>
      <c r="AD433" s="20"/>
      <c r="AE433" s="20"/>
      <c r="AF433" s="20"/>
      <c r="AG433" s="20"/>
      <c r="AH433" s="20"/>
      <c r="AI433" s="20"/>
      <c r="AJ433" s="20"/>
      <c r="AK433" s="20"/>
      <c r="AL433" s="20"/>
      <c r="AM433" s="20"/>
      <c r="AN433" s="20"/>
      <c r="AO433" s="20"/>
      <c r="AP433" s="20"/>
      <c r="AQ433" s="20"/>
      <c r="AR433" s="20"/>
      <c r="AS433" s="20"/>
      <c r="AT433" s="20"/>
      <c r="AU433" s="20"/>
      <c r="AV433" s="20"/>
      <c r="AW433" s="20"/>
      <c r="AX433" s="20"/>
      <c r="AY433" s="20"/>
      <c r="AZ433" s="20"/>
      <c r="BA433" s="20"/>
      <c r="BB433" s="20"/>
      <c r="BC433" s="20"/>
    </row>
    <row r="434" ht="13.5" customHeight="1" spans="1:55">
      <c r="A434" s="20"/>
      <c r="B434" s="62">
        <v>38284</v>
      </c>
      <c r="C434" s="63" t="s">
        <v>1259</v>
      </c>
      <c r="D434" s="63" t="s">
        <v>1153</v>
      </c>
      <c r="E434" s="64">
        <v>1179</v>
      </c>
      <c r="F434" s="65"/>
      <c r="G434" s="66" t="b">
        <f>ISNUMBER(MATCH(C434,'Pareto Analysis'!$A$48:$A$114,0))</f>
        <v>1</v>
      </c>
      <c r="H434" s="67" t="str">
        <f t="shared" si="6"/>
        <v>👍</v>
      </c>
      <c r="I434" s="71"/>
      <c r="J434" s="20"/>
      <c r="K434" s="20"/>
      <c r="L434" s="20"/>
      <c r="M434" s="20"/>
      <c r="N434" s="20"/>
      <c r="O434" s="20"/>
      <c r="P434" s="20"/>
      <c r="Q434" s="20"/>
      <c r="R434" s="20"/>
      <c r="S434" s="20"/>
      <c r="T434" s="20"/>
      <c r="U434" s="20"/>
      <c r="V434" s="20"/>
      <c r="W434" s="20"/>
      <c r="X434" s="20"/>
      <c r="Y434" s="20"/>
      <c r="Z434" s="20"/>
      <c r="AA434" s="20"/>
      <c r="AB434" s="20"/>
      <c r="AC434" s="20"/>
      <c r="AD434" s="20"/>
      <c r="AE434" s="20"/>
      <c r="AF434" s="20"/>
      <c r="AG434" s="20"/>
      <c r="AH434" s="20"/>
      <c r="AI434" s="20"/>
      <c r="AJ434" s="20"/>
      <c r="AK434" s="20"/>
      <c r="AL434" s="20"/>
      <c r="AM434" s="20"/>
      <c r="AN434" s="20"/>
      <c r="AO434" s="20"/>
      <c r="AP434" s="20"/>
      <c r="AQ434" s="20"/>
      <c r="AR434" s="20"/>
      <c r="AS434" s="20"/>
      <c r="AT434" s="20"/>
      <c r="AU434" s="20"/>
      <c r="AV434" s="20"/>
      <c r="AW434" s="20"/>
      <c r="AX434" s="20"/>
      <c r="AY434" s="20"/>
      <c r="AZ434" s="20"/>
      <c r="BA434" s="20"/>
      <c r="BB434" s="20"/>
      <c r="BC434" s="20"/>
    </row>
    <row r="435" ht="13.5" customHeight="1" spans="1:55">
      <c r="A435" s="20"/>
      <c r="B435" s="62">
        <v>38285</v>
      </c>
      <c r="C435" s="63" t="s">
        <v>1259</v>
      </c>
      <c r="D435" s="63" t="s">
        <v>1153</v>
      </c>
      <c r="E435" s="64">
        <v>1179</v>
      </c>
      <c r="F435" s="65"/>
      <c r="G435" s="66" t="b">
        <f>ISNUMBER(MATCH(C435,'Pareto Analysis'!$A$48:$A$114,0))</f>
        <v>1</v>
      </c>
      <c r="H435" s="67" t="str">
        <f t="shared" si="6"/>
        <v>👍</v>
      </c>
      <c r="I435" s="71"/>
      <c r="J435" s="20"/>
      <c r="K435" s="20"/>
      <c r="L435" s="20"/>
      <c r="M435" s="20"/>
      <c r="N435" s="20"/>
      <c r="O435" s="20"/>
      <c r="P435" s="20"/>
      <c r="Q435" s="20"/>
      <c r="R435" s="20"/>
      <c r="S435" s="20"/>
      <c r="T435" s="20"/>
      <c r="U435" s="20"/>
      <c r="V435" s="20"/>
      <c r="W435" s="20"/>
      <c r="X435" s="20"/>
      <c r="Y435" s="20"/>
      <c r="Z435" s="20"/>
      <c r="AA435" s="20"/>
      <c r="AB435" s="20"/>
      <c r="AC435" s="20"/>
      <c r="AD435" s="20"/>
      <c r="AE435" s="20"/>
      <c r="AF435" s="20"/>
      <c r="AG435" s="20"/>
      <c r="AH435" s="20"/>
      <c r="AI435" s="20"/>
      <c r="AJ435" s="20"/>
      <c r="AK435" s="20"/>
      <c r="AL435" s="20"/>
      <c r="AM435" s="20"/>
      <c r="AN435" s="20"/>
      <c r="AO435" s="20"/>
      <c r="AP435" s="20"/>
      <c r="AQ435" s="20"/>
      <c r="AR435" s="20"/>
      <c r="AS435" s="20"/>
      <c r="AT435" s="20"/>
      <c r="AU435" s="20"/>
      <c r="AV435" s="20"/>
      <c r="AW435" s="20"/>
      <c r="AX435" s="20"/>
      <c r="AY435" s="20"/>
      <c r="AZ435" s="20"/>
      <c r="BA435" s="20"/>
      <c r="BB435" s="20"/>
      <c r="BC435" s="20"/>
    </row>
    <row r="436" ht="13.5" customHeight="1" spans="1:55">
      <c r="A436" s="20"/>
      <c r="B436" s="62">
        <v>38273</v>
      </c>
      <c r="C436" s="63" t="s">
        <v>1259</v>
      </c>
      <c r="D436" s="63" t="s">
        <v>1153</v>
      </c>
      <c r="E436" s="64">
        <v>1180</v>
      </c>
      <c r="F436" s="65"/>
      <c r="G436" s="66" t="b">
        <f>ISNUMBER(MATCH(C436,'Pareto Analysis'!$A$48:$A$114,0))</f>
        <v>1</v>
      </c>
      <c r="H436" s="67" t="str">
        <f t="shared" si="6"/>
        <v>👍</v>
      </c>
      <c r="I436" s="71"/>
      <c r="J436" s="20"/>
      <c r="K436" s="20"/>
      <c r="L436" s="20"/>
      <c r="M436" s="20"/>
      <c r="N436" s="20"/>
      <c r="O436" s="20"/>
      <c r="P436" s="20"/>
      <c r="Q436" s="20"/>
      <c r="R436" s="20"/>
      <c r="S436" s="20"/>
      <c r="T436" s="20"/>
      <c r="U436" s="20"/>
      <c r="V436" s="20"/>
      <c r="W436" s="20"/>
      <c r="X436" s="20"/>
      <c r="Y436" s="20"/>
      <c r="Z436" s="20"/>
      <c r="AA436" s="20"/>
      <c r="AB436" s="20"/>
      <c r="AC436" s="20"/>
      <c r="AD436" s="20"/>
      <c r="AE436" s="20"/>
      <c r="AF436" s="20"/>
      <c r="AG436" s="20"/>
      <c r="AH436" s="20"/>
      <c r="AI436" s="20"/>
      <c r="AJ436" s="20"/>
      <c r="AK436" s="20"/>
      <c r="AL436" s="20"/>
      <c r="AM436" s="20"/>
      <c r="AN436" s="20"/>
      <c r="AO436" s="20"/>
      <c r="AP436" s="20"/>
      <c r="AQ436" s="20"/>
      <c r="AR436" s="20"/>
      <c r="AS436" s="20"/>
      <c r="AT436" s="20"/>
      <c r="AU436" s="20"/>
      <c r="AV436" s="20"/>
      <c r="AW436" s="20"/>
      <c r="AX436" s="20"/>
      <c r="AY436" s="20"/>
      <c r="AZ436" s="20"/>
      <c r="BA436" s="20"/>
      <c r="BB436" s="20"/>
      <c r="BC436" s="20"/>
    </row>
    <row r="437" ht="13.5" customHeight="1" spans="1:55">
      <c r="A437" s="20"/>
      <c r="B437" s="62">
        <v>38284</v>
      </c>
      <c r="C437" s="63" t="s">
        <v>1251</v>
      </c>
      <c r="D437" s="63" t="s">
        <v>1153</v>
      </c>
      <c r="E437" s="64">
        <v>1189</v>
      </c>
      <c r="F437" s="65"/>
      <c r="G437" s="66" t="b">
        <f>ISNUMBER(MATCH(C437,'Pareto Analysis'!$A$48:$A$114,0))</f>
        <v>1</v>
      </c>
      <c r="H437" s="67" t="str">
        <f t="shared" si="6"/>
        <v>👍</v>
      </c>
      <c r="I437" s="71"/>
      <c r="J437" s="20"/>
      <c r="K437" s="20"/>
      <c r="L437" s="20"/>
      <c r="M437" s="20"/>
      <c r="N437" s="20"/>
      <c r="O437" s="20"/>
      <c r="P437" s="20"/>
      <c r="Q437" s="20"/>
      <c r="R437" s="20"/>
      <c r="S437" s="20"/>
      <c r="T437" s="20"/>
      <c r="U437" s="20"/>
      <c r="V437" s="20"/>
      <c r="W437" s="20"/>
      <c r="X437" s="20"/>
      <c r="Y437" s="20"/>
      <c r="Z437" s="20"/>
      <c r="AA437" s="20"/>
      <c r="AB437" s="20"/>
      <c r="AC437" s="20"/>
      <c r="AD437" s="20"/>
      <c r="AE437" s="20"/>
      <c r="AF437" s="20"/>
      <c r="AG437" s="20"/>
      <c r="AH437" s="20"/>
      <c r="AI437" s="20"/>
      <c r="AJ437" s="20"/>
      <c r="AK437" s="20"/>
      <c r="AL437" s="20"/>
      <c r="AM437" s="20"/>
      <c r="AN437" s="20"/>
      <c r="AO437" s="20"/>
      <c r="AP437" s="20"/>
      <c r="AQ437" s="20"/>
      <c r="AR437" s="20"/>
      <c r="AS437" s="20"/>
      <c r="AT437" s="20"/>
      <c r="AU437" s="20"/>
      <c r="AV437" s="20"/>
      <c r="AW437" s="20"/>
      <c r="AX437" s="20"/>
      <c r="AY437" s="20"/>
      <c r="AZ437" s="20"/>
      <c r="BA437" s="20"/>
      <c r="BB437" s="20"/>
      <c r="BC437" s="20"/>
    </row>
    <row r="438" ht="13.5" customHeight="1" spans="1:55">
      <c r="A438" s="20"/>
      <c r="B438" s="62">
        <v>38277</v>
      </c>
      <c r="C438" s="63" t="s">
        <v>1251</v>
      </c>
      <c r="D438" s="63" t="s">
        <v>1153</v>
      </c>
      <c r="E438" s="64">
        <v>1190</v>
      </c>
      <c r="F438" s="65"/>
      <c r="G438" s="66" t="b">
        <f>ISNUMBER(MATCH(C438,'Pareto Analysis'!$A$48:$A$114,0))</f>
        <v>1</v>
      </c>
      <c r="H438" s="67" t="str">
        <f t="shared" si="6"/>
        <v>👍</v>
      </c>
      <c r="I438" s="71"/>
      <c r="J438" s="20"/>
      <c r="K438" s="20"/>
      <c r="L438" s="20"/>
      <c r="M438" s="20"/>
      <c r="N438" s="20"/>
      <c r="O438" s="20"/>
      <c r="P438" s="20"/>
      <c r="Q438" s="20"/>
      <c r="R438" s="20"/>
      <c r="S438" s="20"/>
      <c r="T438" s="20"/>
      <c r="U438" s="20"/>
      <c r="V438" s="20"/>
      <c r="W438" s="20"/>
      <c r="X438" s="20"/>
      <c r="Y438" s="20"/>
      <c r="Z438" s="20"/>
      <c r="AA438" s="20"/>
      <c r="AB438" s="20"/>
      <c r="AC438" s="20"/>
      <c r="AD438" s="20"/>
      <c r="AE438" s="20"/>
      <c r="AF438" s="20"/>
      <c r="AG438" s="20"/>
      <c r="AH438" s="20"/>
      <c r="AI438" s="20"/>
      <c r="AJ438" s="20"/>
      <c r="AK438" s="20"/>
      <c r="AL438" s="20"/>
      <c r="AM438" s="20"/>
      <c r="AN438" s="20"/>
      <c r="AO438" s="20"/>
      <c r="AP438" s="20"/>
      <c r="AQ438" s="20"/>
      <c r="AR438" s="20"/>
      <c r="AS438" s="20"/>
      <c r="AT438" s="20"/>
      <c r="AU438" s="20"/>
      <c r="AV438" s="20"/>
      <c r="AW438" s="20"/>
      <c r="AX438" s="20"/>
      <c r="AY438" s="20"/>
      <c r="AZ438" s="20"/>
      <c r="BA438" s="20"/>
      <c r="BB438" s="20"/>
      <c r="BC438" s="20"/>
    </row>
    <row r="439" ht="13.5" customHeight="1" spans="1:55">
      <c r="A439" s="20"/>
      <c r="B439" s="62">
        <v>38281</v>
      </c>
      <c r="C439" s="63" t="s">
        <v>1251</v>
      </c>
      <c r="D439" s="63" t="s">
        <v>1153</v>
      </c>
      <c r="E439" s="64">
        <v>1193</v>
      </c>
      <c r="F439" s="65"/>
      <c r="G439" s="66" t="b">
        <f>ISNUMBER(MATCH(C439,'Pareto Analysis'!$A$48:$A$114,0))</f>
        <v>1</v>
      </c>
      <c r="H439" s="67" t="str">
        <f t="shared" si="6"/>
        <v>👍</v>
      </c>
      <c r="I439" s="71"/>
      <c r="J439" s="20"/>
      <c r="K439" s="20"/>
      <c r="L439" s="20"/>
      <c r="M439" s="20"/>
      <c r="N439" s="20"/>
      <c r="O439" s="20"/>
      <c r="P439" s="20"/>
      <c r="Q439" s="20"/>
      <c r="R439" s="20"/>
      <c r="S439" s="20"/>
      <c r="T439" s="20"/>
      <c r="U439" s="20"/>
      <c r="V439" s="20"/>
      <c r="W439" s="20"/>
      <c r="X439" s="20"/>
      <c r="Y439" s="20"/>
      <c r="Z439" s="20"/>
      <c r="AA439" s="20"/>
      <c r="AB439" s="20"/>
      <c r="AC439" s="20"/>
      <c r="AD439" s="20"/>
      <c r="AE439" s="20"/>
      <c r="AF439" s="20"/>
      <c r="AG439" s="20"/>
      <c r="AH439" s="20"/>
      <c r="AI439" s="20"/>
      <c r="AJ439" s="20"/>
      <c r="AK439" s="20"/>
      <c r="AL439" s="20"/>
      <c r="AM439" s="20"/>
      <c r="AN439" s="20"/>
      <c r="AO439" s="20"/>
      <c r="AP439" s="20"/>
      <c r="AQ439" s="20"/>
      <c r="AR439" s="20"/>
      <c r="AS439" s="20"/>
      <c r="AT439" s="20"/>
      <c r="AU439" s="20"/>
      <c r="AV439" s="20"/>
      <c r="AW439" s="20"/>
      <c r="AX439" s="20"/>
      <c r="AY439" s="20"/>
      <c r="AZ439" s="20"/>
      <c r="BA439" s="20"/>
      <c r="BB439" s="20"/>
      <c r="BC439" s="20"/>
    </row>
    <row r="440" ht="13.5" customHeight="1" spans="1:55">
      <c r="A440" s="20"/>
      <c r="B440" s="62">
        <v>38271</v>
      </c>
      <c r="C440" s="63" t="s">
        <v>1257</v>
      </c>
      <c r="D440" s="63" t="s">
        <v>1153</v>
      </c>
      <c r="E440" s="64">
        <v>1217</v>
      </c>
      <c r="F440" s="65"/>
      <c r="G440" s="66" t="b">
        <f>ISNUMBER(MATCH(C440,'Pareto Analysis'!$A$48:$A$114,0))</f>
        <v>1</v>
      </c>
      <c r="H440" s="67" t="str">
        <f t="shared" si="6"/>
        <v>👍</v>
      </c>
      <c r="I440" s="71"/>
      <c r="J440" s="20"/>
      <c r="K440" s="20"/>
      <c r="L440" s="20"/>
      <c r="M440" s="20"/>
      <c r="N440" s="20"/>
      <c r="O440" s="20"/>
      <c r="P440" s="20"/>
      <c r="Q440" s="20"/>
      <c r="R440" s="20"/>
      <c r="S440" s="20"/>
      <c r="T440" s="20"/>
      <c r="U440" s="20"/>
      <c r="V440" s="20"/>
      <c r="W440" s="20"/>
      <c r="X440" s="20"/>
      <c r="Y440" s="20"/>
      <c r="Z440" s="20"/>
      <c r="AA440" s="20"/>
      <c r="AB440" s="20"/>
      <c r="AC440" s="20"/>
      <c r="AD440" s="20"/>
      <c r="AE440" s="20"/>
      <c r="AF440" s="20"/>
      <c r="AG440" s="20"/>
      <c r="AH440" s="20"/>
      <c r="AI440" s="20"/>
      <c r="AJ440" s="20"/>
      <c r="AK440" s="20"/>
      <c r="AL440" s="20"/>
      <c r="AM440" s="20"/>
      <c r="AN440" s="20"/>
      <c r="AO440" s="20"/>
      <c r="AP440" s="20"/>
      <c r="AQ440" s="20"/>
      <c r="AR440" s="20"/>
      <c r="AS440" s="20"/>
      <c r="AT440" s="20"/>
      <c r="AU440" s="20"/>
      <c r="AV440" s="20"/>
      <c r="AW440" s="20"/>
      <c r="AX440" s="20"/>
      <c r="AY440" s="20"/>
      <c r="AZ440" s="20"/>
      <c r="BA440" s="20"/>
      <c r="BB440" s="20"/>
      <c r="BC440" s="20"/>
    </row>
    <row r="441" ht="13.5" customHeight="1" spans="1:55">
      <c r="A441" s="20"/>
      <c r="B441" s="62">
        <v>38285</v>
      </c>
      <c r="C441" s="63" t="s">
        <v>1260</v>
      </c>
      <c r="D441" s="63" t="s">
        <v>1151</v>
      </c>
      <c r="E441" s="64">
        <v>1400</v>
      </c>
      <c r="F441" s="65"/>
      <c r="G441" s="66" t="b">
        <f>ISNUMBER(MATCH(C441,'Pareto Analysis'!$A$48:$A$114,0))</f>
        <v>1</v>
      </c>
      <c r="H441" s="67" t="str">
        <f t="shared" si="6"/>
        <v>👍</v>
      </c>
      <c r="I441" s="71"/>
      <c r="J441" s="20"/>
      <c r="K441" s="20"/>
      <c r="L441" s="20"/>
      <c r="M441" s="20"/>
      <c r="N441" s="20"/>
      <c r="O441" s="20"/>
      <c r="P441" s="20"/>
      <c r="Q441" s="20"/>
      <c r="R441" s="20"/>
      <c r="S441" s="20"/>
      <c r="T441" s="20"/>
      <c r="U441" s="20"/>
      <c r="V441" s="20"/>
      <c r="W441" s="20"/>
      <c r="X441" s="20"/>
      <c r="Y441" s="20"/>
      <c r="Z441" s="20"/>
      <c r="AA441" s="20"/>
      <c r="AB441" s="20"/>
      <c r="AC441" s="20"/>
      <c r="AD441" s="20"/>
      <c r="AE441" s="20"/>
      <c r="AF441" s="20"/>
      <c r="AG441" s="20"/>
      <c r="AH441" s="20"/>
      <c r="AI441" s="20"/>
      <c r="AJ441" s="20"/>
      <c r="AK441" s="20"/>
      <c r="AL441" s="20"/>
      <c r="AM441" s="20"/>
      <c r="AN441" s="20"/>
      <c r="AO441" s="20"/>
      <c r="AP441" s="20"/>
      <c r="AQ441" s="20"/>
      <c r="AR441" s="20"/>
      <c r="AS441" s="20"/>
      <c r="AT441" s="20"/>
      <c r="AU441" s="20"/>
      <c r="AV441" s="20"/>
      <c r="AW441" s="20"/>
      <c r="AX441" s="20"/>
      <c r="AY441" s="20"/>
      <c r="AZ441" s="20"/>
      <c r="BA441" s="20"/>
      <c r="BB441" s="20"/>
      <c r="BC441" s="20"/>
    </row>
    <row r="442" ht="13.5" customHeight="1" spans="1:55">
      <c r="A442" s="20"/>
      <c r="B442" s="62">
        <v>38277</v>
      </c>
      <c r="C442" s="63" t="s">
        <v>1250</v>
      </c>
      <c r="D442" s="63" t="s">
        <v>1153</v>
      </c>
      <c r="E442" s="64">
        <v>1497</v>
      </c>
      <c r="F442" s="65"/>
      <c r="G442" s="66" t="b">
        <f>ISNUMBER(MATCH(C442,'Pareto Analysis'!$A$48:$A$114,0))</f>
        <v>1</v>
      </c>
      <c r="H442" s="67" t="str">
        <f t="shared" si="6"/>
        <v>👍</v>
      </c>
      <c r="I442" s="71"/>
      <c r="J442" s="20"/>
      <c r="K442" s="20"/>
      <c r="L442" s="20"/>
      <c r="M442" s="20"/>
      <c r="N442" s="20"/>
      <c r="O442" s="20"/>
      <c r="P442" s="20"/>
      <c r="Q442" s="20"/>
      <c r="R442" s="20"/>
      <c r="S442" s="20"/>
      <c r="T442" s="20"/>
      <c r="U442" s="20"/>
      <c r="V442" s="20"/>
      <c r="W442" s="20"/>
      <c r="X442" s="20"/>
      <c r="Y442" s="20"/>
      <c r="Z442" s="20"/>
      <c r="AA442" s="20"/>
      <c r="AB442" s="20"/>
      <c r="AC442" s="20"/>
      <c r="AD442" s="20"/>
      <c r="AE442" s="20"/>
      <c r="AF442" s="20"/>
      <c r="AG442" s="20"/>
      <c r="AH442" s="20"/>
      <c r="AI442" s="20"/>
      <c r="AJ442" s="20"/>
      <c r="AK442" s="20"/>
      <c r="AL442" s="20"/>
      <c r="AM442" s="20"/>
      <c r="AN442" s="20"/>
      <c r="AO442" s="20"/>
      <c r="AP442" s="20"/>
      <c r="AQ442" s="20"/>
      <c r="AR442" s="20"/>
      <c r="AS442" s="20"/>
      <c r="AT442" s="20"/>
      <c r="AU442" s="20"/>
      <c r="AV442" s="20"/>
      <c r="AW442" s="20"/>
      <c r="AX442" s="20"/>
      <c r="AY442" s="20"/>
      <c r="AZ442" s="20"/>
      <c r="BA442" s="20"/>
      <c r="BB442" s="20"/>
      <c r="BC442" s="20"/>
    </row>
    <row r="443" ht="13.5" customHeight="1" spans="1:55">
      <c r="A443" s="20"/>
      <c r="B443" s="62">
        <v>38280</v>
      </c>
      <c r="C443" s="63" t="s">
        <v>1261</v>
      </c>
      <c r="D443" s="63" t="s">
        <v>1151</v>
      </c>
      <c r="E443" s="64">
        <v>1539</v>
      </c>
      <c r="F443" s="65"/>
      <c r="G443" s="66" t="b">
        <f>ISNUMBER(MATCH(C443,'Pareto Analysis'!$A$48:$A$114,0))</f>
        <v>1</v>
      </c>
      <c r="H443" s="67" t="str">
        <f t="shared" si="6"/>
        <v>👍</v>
      </c>
      <c r="I443" s="71"/>
      <c r="J443" s="20"/>
      <c r="K443" s="20"/>
      <c r="L443" s="20"/>
      <c r="M443" s="20"/>
      <c r="N443" s="20"/>
      <c r="O443" s="20"/>
      <c r="P443" s="20"/>
      <c r="Q443" s="20"/>
      <c r="R443" s="20"/>
      <c r="S443" s="20"/>
      <c r="T443" s="20"/>
      <c r="U443" s="20"/>
      <c r="V443" s="20"/>
      <c r="W443" s="20"/>
      <c r="X443" s="20"/>
      <c r="Y443" s="20"/>
      <c r="Z443" s="20"/>
      <c r="AA443" s="20"/>
      <c r="AB443" s="20"/>
      <c r="AC443" s="20"/>
      <c r="AD443" s="20"/>
      <c r="AE443" s="20"/>
      <c r="AF443" s="20"/>
      <c r="AG443" s="20"/>
      <c r="AH443" s="20"/>
      <c r="AI443" s="20"/>
      <c r="AJ443" s="20"/>
      <c r="AK443" s="20"/>
      <c r="AL443" s="20"/>
      <c r="AM443" s="20"/>
      <c r="AN443" s="20"/>
      <c r="AO443" s="20"/>
      <c r="AP443" s="20"/>
      <c r="AQ443" s="20"/>
      <c r="AR443" s="20"/>
      <c r="AS443" s="20"/>
      <c r="AT443" s="20"/>
      <c r="AU443" s="20"/>
      <c r="AV443" s="20"/>
      <c r="AW443" s="20"/>
      <c r="AX443" s="20"/>
      <c r="AY443" s="20"/>
      <c r="AZ443" s="20"/>
      <c r="BA443" s="20"/>
      <c r="BB443" s="20"/>
      <c r="BC443" s="20"/>
    </row>
    <row r="444" ht="13.5" customHeight="1" spans="1:55">
      <c r="A444" s="20"/>
      <c r="B444" s="62">
        <v>38274</v>
      </c>
      <c r="C444" s="63" t="s">
        <v>1262</v>
      </c>
      <c r="D444" s="63" t="s">
        <v>1156</v>
      </c>
      <c r="E444" s="64">
        <v>1556</v>
      </c>
      <c r="F444" s="65"/>
      <c r="G444" s="66" t="b">
        <f>ISNUMBER(MATCH(C444,'Pareto Analysis'!$A$48:$A$114,0))</f>
        <v>1</v>
      </c>
      <c r="H444" s="67" t="str">
        <f t="shared" si="6"/>
        <v>👍</v>
      </c>
      <c r="I444" s="71"/>
      <c r="J444" s="20"/>
      <c r="K444" s="20"/>
      <c r="L444" s="20"/>
      <c r="M444" s="20"/>
      <c r="N444" s="20"/>
      <c r="O444" s="20"/>
      <c r="P444" s="20"/>
      <c r="Q444" s="20"/>
      <c r="R444" s="20"/>
      <c r="S444" s="20"/>
      <c r="T444" s="20"/>
      <c r="U444" s="20"/>
      <c r="V444" s="20"/>
      <c r="W444" s="20"/>
      <c r="X444" s="20"/>
      <c r="Y444" s="20"/>
      <c r="Z444" s="20"/>
      <c r="AA444" s="20"/>
      <c r="AB444" s="20"/>
      <c r="AC444" s="20"/>
      <c r="AD444" s="20"/>
      <c r="AE444" s="20"/>
      <c r="AF444" s="20"/>
      <c r="AG444" s="20"/>
      <c r="AH444" s="20"/>
      <c r="AI444" s="20"/>
      <c r="AJ444" s="20"/>
      <c r="AK444" s="20"/>
      <c r="AL444" s="20"/>
      <c r="AM444" s="20"/>
      <c r="AN444" s="20"/>
      <c r="AO444" s="20"/>
      <c r="AP444" s="20"/>
      <c r="AQ444" s="20"/>
      <c r="AR444" s="20"/>
      <c r="AS444" s="20"/>
      <c r="AT444" s="20"/>
      <c r="AU444" s="20"/>
      <c r="AV444" s="20"/>
      <c r="AW444" s="20"/>
      <c r="AX444" s="20"/>
      <c r="AY444" s="20"/>
      <c r="AZ444" s="20"/>
      <c r="BA444" s="20"/>
      <c r="BB444" s="20"/>
      <c r="BC444" s="20"/>
    </row>
    <row r="445" ht="13.5" customHeight="1" spans="1:55">
      <c r="A445" s="20"/>
      <c r="B445" s="62">
        <v>38285</v>
      </c>
      <c r="C445" s="63" t="s">
        <v>1249</v>
      </c>
      <c r="D445" s="63" t="s">
        <v>1153</v>
      </c>
      <c r="E445" s="64">
        <v>1870</v>
      </c>
      <c r="F445" s="65"/>
      <c r="G445" s="66" t="b">
        <f>ISNUMBER(MATCH(C445,'Pareto Analysis'!$A$48:$A$114,0))</f>
        <v>1</v>
      </c>
      <c r="H445" s="67" t="str">
        <f t="shared" si="6"/>
        <v>👍</v>
      </c>
      <c r="I445" s="71"/>
      <c r="J445" s="20"/>
      <c r="K445" s="20"/>
      <c r="L445" s="20"/>
      <c r="M445" s="20"/>
      <c r="N445" s="20"/>
      <c r="O445" s="20"/>
      <c r="P445" s="20"/>
      <c r="Q445" s="20"/>
      <c r="R445" s="20"/>
      <c r="S445" s="20"/>
      <c r="T445" s="20"/>
      <c r="U445" s="20"/>
      <c r="V445" s="20"/>
      <c r="W445" s="20"/>
      <c r="X445" s="20"/>
      <c r="Y445" s="20"/>
      <c r="Z445" s="20"/>
      <c r="AA445" s="20"/>
      <c r="AB445" s="20"/>
      <c r="AC445" s="20"/>
      <c r="AD445" s="20"/>
      <c r="AE445" s="20"/>
      <c r="AF445" s="20"/>
      <c r="AG445" s="20"/>
      <c r="AH445" s="20"/>
      <c r="AI445" s="20"/>
      <c r="AJ445" s="20"/>
      <c r="AK445" s="20"/>
      <c r="AL445" s="20"/>
      <c r="AM445" s="20"/>
      <c r="AN445" s="20"/>
      <c r="AO445" s="20"/>
      <c r="AP445" s="20"/>
      <c r="AQ445" s="20"/>
      <c r="AR445" s="20"/>
      <c r="AS445" s="20"/>
      <c r="AT445" s="20"/>
      <c r="AU445" s="20"/>
      <c r="AV445" s="20"/>
      <c r="AW445" s="20"/>
      <c r="AX445" s="20"/>
      <c r="AY445" s="20"/>
      <c r="AZ445" s="20"/>
      <c r="BA445" s="20"/>
      <c r="BB445" s="20"/>
      <c r="BC445" s="20"/>
    </row>
    <row r="446" ht="13.5" customHeight="1" spans="1:55">
      <c r="A446" s="20"/>
      <c r="B446" s="62">
        <v>38286</v>
      </c>
      <c r="C446" s="63" t="s">
        <v>1254</v>
      </c>
      <c r="D446" s="63" t="s">
        <v>1151</v>
      </c>
      <c r="E446" s="64">
        <v>1905</v>
      </c>
      <c r="F446" s="65"/>
      <c r="G446" s="66" t="b">
        <f>ISNUMBER(MATCH(C446,'Pareto Analysis'!$A$48:$A$114,0))</f>
        <v>1</v>
      </c>
      <c r="H446" s="67" t="str">
        <f t="shared" si="6"/>
        <v>👍</v>
      </c>
      <c r="I446" s="71"/>
      <c r="J446" s="20"/>
      <c r="K446" s="20"/>
      <c r="L446" s="20"/>
      <c r="M446" s="20"/>
      <c r="N446" s="20"/>
      <c r="O446" s="20"/>
      <c r="P446" s="20"/>
      <c r="Q446" s="20"/>
      <c r="R446" s="20"/>
      <c r="S446" s="20"/>
      <c r="T446" s="20"/>
      <c r="U446" s="20"/>
      <c r="V446" s="20"/>
      <c r="W446" s="20"/>
      <c r="X446" s="20"/>
      <c r="Y446" s="20"/>
      <c r="Z446" s="20"/>
      <c r="AA446" s="20"/>
      <c r="AB446" s="20"/>
      <c r="AC446" s="20"/>
      <c r="AD446" s="20"/>
      <c r="AE446" s="20"/>
      <c r="AF446" s="20"/>
      <c r="AG446" s="20"/>
      <c r="AH446" s="20"/>
      <c r="AI446" s="20"/>
      <c r="AJ446" s="20"/>
      <c r="AK446" s="20"/>
      <c r="AL446" s="20"/>
      <c r="AM446" s="20"/>
      <c r="AN446" s="20"/>
      <c r="AO446" s="20"/>
      <c r="AP446" s="20"/>
      <c r="AQ446" s="20"/>
      <c r="AR446" s="20"/>
      <c r="AS446" s="20"/>
      <c r="AT446" s="20"/>
      <c r="AU446" s="20"/>
      <c r="AV446" s="20"/>
      <c r="AW446" s="20"/>
      <c r="AX446" s="20"/>
      <c r="AY446" s="20"/>
      <c r="AZ446" s="20"/>
      <c r="BA446" s="20"/>
      <c r="BB446" s="20"/>
      <c r="BC446" s="20"/>
    </row>
    <row r="447" ht="13.5" customHeight="1" spans="1:55">
      <c r="A447" s="20"/>
      <c r="B447" s="62">
        <v>38285</v>
      </c>
      <c r="C447" s="63" t="s">
        <v>1254</v>
      </c>
      <c r="D447" s="63" t="s">
        <v>1151</v>
      </c>
      <c r="E447" s="64">
        <v>1931</v>
      </c>
      <c r="F447" s="65"/>
      <c r="G447" s="66" t="b">
        <f>ISNUMBER(MATCH(C447,'Pareto Analysis'!$A$48:$A$114,0))</f>
        <v>1</v>
      </c>
      <c r="H447" s="67" t="str">
        <f t="shared" si="6"/>
        <v>👍</v>
      </c>
      <c r="I447" s="71"/>
      <c r="J447" s="20"/>
      <c r="K447" s="20"/>
      <c r="L447" s="20"/>
      <c r="M447" s="20"/>
      <c r="N447" s="20"/>
      <c r="O447" s="20"/>
      <c r="P447" s="20"/>
      <c r="Q447" s="20"/>
      <c r="R447" s="20"/>
      <c r="S447" s="20"/>
      <c r="T447" s="20"/>
      <c r="U447" s="20"/>
      <c r="V447" s="20"/>
      <c r="W447" s="20"/>
      <c r="X447" s="20"/>
      <c r="Y447" s="20"/>
      <c r="Z447" s="20"/>
      <c r="AA447" s="20"/>
      <c r="AB447" s="20"/>
      <c r="AC447" s="20"/>
      <c r="AD447" s="20"/>
      <c r="AE447" s="20"/>
      <c r="AF447" s="20"/>
      <c r="AG447" s="20"/>
      <c r="AH447" s="20"/>
      <c r="AI447" s="20"/>
      <c r="AJ447" s="20"/>
      <c r="AK447" s="20"/>
      <c r="AL447" s="20"/>
      <c r="AM447" s="20"/>
      <c r="AN447" s="20"/>
      <c r="AO447" s="20"/>
      <c r="AP447" s="20"/>
      <c r="AQ447" s="20"/>
      <c r="AR447" s="20"/>
      <c r="AS447" s="20"/>
      <c r="AT447" s="20"/>
      <c r="AU447" s="20"/>
      <c r="AV447" s="20"/>
      <c r="AW447" s="20"/>
      <c r="AX447" s="20"/>
      <c r="AY447" s="20"/>
      <c r="AZ447" s="20"/>
      <c r="BA447" s="20"/>
      <c r="BB447" s="20"/>
      <c r="BC447" s="20"/>
    </row>
    <row r="448" ht="13.5" customHeight="1" spans="1:55">
      <c r="A448" s="20"/>
      <c r="B448" s="62">
        <v>38281</v>
      </c>
      <c r="C448" s="63" t="s">
        <v>1263</v>
      </c>
      <c r="D448" s="63" t="s">
        <v>1151</v>
      </c>
      <c r="E448" s="64">
        <v>2265</v>
      </c>
      <c r="F448" s="65"/>
      <c r="G448" s="66" t="b">
        <f>ISNUMBER(MATCH(C448,'Pareto Analysis'!$A$48:$A$114,0))</f>
        <v>1</v>
      </c>
      <c r="H448" s="67" t="str">
        <f t="shared" si="6"/>
        <v>👍</v>
      </c>
      <c r="I448" s="71"/>
      <c r="J448" s="20"/>
      <c r="K448" s="20"/>
      <c r="L448" s="20"/>
      <c r="M448" s="20"/>
      <c r="N448" s="20"/>
      <c r="O448" s="20"/>
      <c r="P448" s="20"/>
      <c r="Q448" s="20"/>
      <c r="R448" s="20"/>
      <c r="S448" s="20"/>
      <c r="T448" s="20"/>
      <c r="U448" s="20"/>
      <c r="V448" s="20"/>
      <c r="W448" s="20"/>
      <c r="X448" s="20"/>
      <c r="Y448" s="20"/>
      <c r="Z448" s="20"/>
      <c r="AA448" s="20"/>
      <c r="AB448" s="20"/>
      <c r="AC448" s="20"/>
      <c r="AD448" s="20"/>
      <c r="AE448" s="20"/>
      <c r="AF448" s="20"/>
      <c r="AG448" s="20"/>
      <c r="AH448" s="20"/>
      <c r="AI448" s="20"/>
      <c r="AJ448" s="20"/>
      <c r="AK448" s="20"/>
      <c r="AL448" s="20"/>
      <c r="AM448" s="20"/>
      <c r="AN448" s="20"/>
      <c r="AO448" s="20"/>
      <c r="AP448" s="20"/>
      <c r="AQ448" s="20"/>
      <c r="AR448" s="20"/>
      <c r="AS448" s="20"/>
      <c r="AT448" s="20"/>
      <c r="AU448" s="20"/>
      <c r="AV448" s="20"/>
      <c r="AW448" s="20"/>
      <c r="AX448" s="20"/>
      <c r="AY448" s="20"/>
      <c r="AZ448" s="20"/>
      <c r="BA448" s="20"/>
      <c r="BB448" s="20"/>
      <c r="BC448" s="20"/>
    </row>
    <row r="449" ht="13.5" customHeight="1" spans="1:55">
      <c r="A449" s="20"/>
      <c r="B449" s="62">
        <v>38280</v>
      </c>
      <c r="C449" s="63" t="s">
        <v>1254</v>
      </c>
      <c r="D449" s="63" t="s">
        <v>1151</v>
      </c>
      <c r="E449" s="64">
        <v>2774</v>
      </c>
      <c r="F449" s="65"/>
      <c r="G449" s="66" t="b">
        <f>ISNUMBER(MATCH(C449,'Pareto Analysis'!$A$48:$A$114,0))</f>
        <v>1</v>
      </c>
      <c r="H449" s="67" t="str">
        <f t="shared" si="6"/>
        <v>👍</v>
      </c>
      <c r="I449" s="71"/>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row>
    <row r="450" ht="13.5" customHeight="1" spans="1:55">
      <c r="A450" s="20"/>
      <c r="B450" s="62">
        <v>38280</v>
      </c>
      <c r="C450" s="63" t="s">
        <v>1244</v>
      </c>
      <c r="D450" s="63" t="s">
        <v>1156</v>
      </c>
      <c r="E450" s="64">
        <v>2930</v>
      </c>
      <c r="F450" s="65"/>
      <c r="G450" s="66" t="b">
        <f>ISNUMBER(MATCH(C450,'Pareto Analysis'!$A$48:$A$114,0))</f>
        <v>1</v>
      </c>
      <c r="H450" s="67" t="str">
        <f t="shared" si="6"/>
        <v>👍</v>
      </c>
      <c r="I450" s="71"/>
      <c r="J450" s="20"/>
      <c r="K450" s="20"/>
      <c r="L450" s="20"/>
      <c r="M450" s="20"/>
      <c r="N450" s="20"/>
      <c r="O450" s="20"/>
      <c r="P450" s="20"/>
      <c r="Q450" s="20"/>
      <c r="R450" s="20"/>
      <c r="S450" s="20"/>
      <c r="T450" s="20"/>
      <c r="U450" s="20"/>
      <c r="V450" s="20"/>
      <c r="W450" s="20"/>
      <c r="X450" s="20"/>
      <c r="Y450" s="20"/>
      <c r="Z450" s="20"/>
      <c r="AA450" s="20"/>
      <c r="AB450" s="20"/>
      <c r="AC450" s="20"/>
      <c r="AD450" s="20"/>
      <c r="AE450" s="20"/>
      <c r="AF450" s="20"/>
      <c r="AG450" s="20"/>
      <c r="AH450" s="20"/>
      <c r="AI450" s="20"/>
      <c r="AJ450" s="20"/>
      <c r="AK450" s="20"/>
      <c r="AL450" s="20"/>
      <c r="AM450" s="20"/>
      <c r="AN450" s="20"/>
      <c r="AO450" s="20"/>
      <c r="AP450" s="20"/>
      <c r="AQ450" s="20"/>
      <c r="AR450" s="20"/>
      <c r="AS450" s="20"/>
      <c r="AT450" s="20"/>
      <c r="AU450" s="20"/>
      <c r="AV450" s="20"/>
      <c r="AW450" s="20"/>
      <c r="AX450" s="20"/>
      <c r="AY450" s="20"/>
      <c r="AZ450" s="20"/>
      <c r="BA450" s="20"/>
      <c r="BB450" s="20"/>
      <c r="BC450" s="20"/>
    </row>
    <row r="451" ht="13.5" customHeight="1" spans="1:55">
      <c r="A451" s="20"/>
      <c r="B451" s="62">
        <v>38281</v>
      </c>
      <c r="C451" s="63" t="s">
        <v>1244</v>
      </c>
      <c r="D451" s="63" t="s">
        <v>1156</v>
      </c>
      <c r="E451" s="64">
        <v>3361</v>
      </c>
      <c r="F451" s="65"/>
      <c r="G451" s="66" t="b">
        <f>ISNUMBER(MATCH(C451,'Pareto Analysis'!$A$48:$A$114,0))</f>
        <v>1</v>
      </c>
      <c r="H451" s="67" t="str">
        <f t="shared" si="6"/>
        <v>👍</v>
      </c>
      <c r="I451" s="71"/>
      <c r="J451" s="20"/>
      <c r="K451" s="20"/>
      <c r="L451" s="20"/>
      <c r="M451" s="20"/>
      <c r="N451" s="20"/>
      <c r="O451" s="20"/>
      <c r="P451" s="20"/>
      <c r="Q451" s="20"/>
      <c r="R451" s="20"/>
      <c r="S451" s="20"/>
      <c r="T451" s="20"/>
      <c r="U451" s="20"/>
      <c r="V451" s="20"/>
      <c r="W451" s="20"/>
      <c r="X451" s="20"/>
      <c r="Y451" s="20"/>
      <c r="Z451" s="20"/>
      <c r="AA451" s="20"/>
      <c r="AB451" s="20"/>
      <c r="AC451" s="20"/>
      <c r="AD451" s="20"/>
      <c r="AE451" s="20"/>
      <c r="AF451" s="20"/>
      <c r="AG451" s="20"/>
      <c r="AH451" s="20"/>
      <c r="AI451" s="20"/>
      <c r="AJ451" s="20"/>
      <c r="AK451" s="20"/>
      <c r="AL451" s="20"/>
      <c r="AM451" s="20"/>
      <c r="AN451" s="20"/>
      <c r="AO451" s="20"/>
      <c r="AP451" s="20"/>
      <c r="AQ451" s="20"/>
      <c r="AR451" s="20"/>
      <c r="AS451" s="20"/>
      <c r="AT451" s="20"/>
      <c r="AU451" s="20"/>
      <c r="AV451" s="20"/>
      <c r="AW451" s="20"/>
      <c r="AX451" s="20"/>
      <c r="AY451" s="20"/>
      <c r="AZ451" s="20"/>
      <c r="BA451" s="20"/>
      <c r="BB451" s="20"/>
      <c r="BC451" s="20"/>
    </row>
    <row r="452" ht="13.5" customHeight="1" spans="1:55">
      <c r="A452" s="20"/>
      <c r="B452" s="62">
        <v>38284</v>
      </c>
      <c r="C452" s="63" t="s">
        <v>1258</v>
      </c>
      <c r="D452" s="63" t="s">
        <v>1153</v>
      </c>
      <c r="E452" s="64">
        <v>3664</v>
      </c>
      <c r="F452" s="65"/>
      <c r="G452" s="66" t="b">
        <f>ISNUMBER(MATCH(C452,'Pareto Analysis'!$A$48:$A$114,0))</f>
        <v>1</v>
      </c>
      <c r="H452" s="67" t="str">
        <f t="shared" si="6"/>
        <v>👍</v>
      </c>
      <c r="I452" s="71"/>
      <c r="J452" s="20"/>
      <c r="K452" s="20"/>
      <c r="L452" s="20"/>
      <c r="M452" s="20"/>
      <c r="N452" s="20"/>
      <c r="O452" s="20"/>
      <c r="P452" s="20"/>
      <c r="Q452" s="20"/>
      <c r="R452" s="20"/>
      <c r="S452" s="20"/>
      <c r="T452" s="20"/>
      <c r="U452" s="20"/>
      <c r="V452" s="20"/>
      <c r="W452" s="20"/>
      <c r="X452" s="20"/>
      <c r="Y452" s="20"/>
      <c r="Z452" s="20"/>
      <c r="AA452" s="20"/>
      <c r="AB452" s="20"/>
      <c r="AC452" s="20"/>
      <c r="AD452" s="20"/>
      <c r="AE452" s="20"/>
      <c r="AF452" s="20"/>
      <c r="AG452" s="20"/>
      <c r="AH452" s="20"/>
      <c r="AI452" s="20"/>
      <c r="AJ452" s="20"/>
      <c r="AK452" s="20"/>
      <c r="AL452" s="20"/>
      <c r="AM452" s="20"/>
      <c r="AN452" s="20"/>
      <c r="AO452" s="20"/>
      <c r="AP452" s="20"/>
      <c r="AQ452" s="20"/>
      <c r="AR452" s="20"/>
      <c r="AS452" s="20"/>
      <c r="AT452" s="20"/>
      <c r="AU452" s="20"/>
      <c r="AV452" s="20"/>
      <c r="AW452" s="20"/>
      <c r="AX452" s="20"/>
      <c r="AY452" s="20"/>
      <c r="AZ452" s="20"/>
      <c r="BA452" s="20"/>
      <c r="BB452" s="20"/>
      <c r="BC452" s="20"/>
    </row>
    <row r="453" ht="13.5" customHeight="1" spans="1:55">
      <c r="A453" s="20"/>
      <c r="B453" s="62">
        <v>38272</v>
      </c>
      <c r="C453" s="63" t="s">
        <v>1258</v>
      </c>
      <c r="D453" s="63" t="s">
        <v>1153</v>
      </c>
      <c r="E453" s="64">
        <v>4790</v>
      </c>
      <c r="F453" s="65"/>
      <c r="G453" s="66" t="b">
        <f>ISNUMBER(MATCH(C453,'Pareto Analysis'!$A$48:$A$114,0))</f>
        <v>1</v>
      </c>
      <c r="H453" s="67" t="str">
        <f t="shared" si="6"/>
        <v>👍</v>
      </c>
      <c r="I453" s="71"/>
      <c r="J453" s="20"/>
      <c r="K453" s="20"/>
      <c r="L453" s="20"/>
      <c r="M453" s="20"/>
      <c r="N453" s="20"/>
      <c r="O453" s="20"/>
      <c r="P453" s="20"/>
      <c r="Q453" s="20"/>
      <c r="R453" s="20"/>
      <c r="S453" s="20"/>
      <c r="T453" s="20"/>
      <c r="U453" s="20"/>
      <c r="V453" s="20"/>
      <c r="W453" s="20"/>
      <c r="X453" s="20"/>
      <c r="Y453" s="20"/>
      <c r="Z453" s="20"/>
      <c r="AA453" s="20"/>
      <c r="AB453" s="20"/>
      <c r="AC453" s="20"/>
      <c r="AD453" s="20"/>
      <c r="AE453" s="20"/>
      <c r="AF453" s="20"/>
      <c r="AG453" s="20"/>
      <c r="AH453" s="20"/>
      <c r="AI453" s="20"/>
      <c r="AJ453" s="20"/>
      <c r="AK453" s="20"/>
      <c r="AL453" s="20"/>
      <c r="AM453" s="20"/>
      <c r="AN453" s="20"/>
      <c r="AO453" s="20"/>
      <c r="AP453" s="20"/>
      <c r="AQ453" s="20"/>
      <c r="AR453" s="20"/>
      <c r="AS453" s="20"/>
      <c r="AT453" s="20"/>
      <c r="AU453" s="20"/>
      <c r="AV453" s="20"/>
      <c r="AW453" s="20"/>
      <c r="AX453" s="20"/>
      <c r="AY453" s="20"/>
      <c r="AZ453" s="20"/>
      <c r="BA453" s="20"/>
      <c r="BB453" s="20"/>
      <c r="BC453" s="20"/>
    </row>
    <row r="454" ht="13.5" customHeight="1" spans="1:55">
      <c r="A454" s="20"/>
      <c r="B454" s="62">
        <v>38285</v>
      </c>
      <c r="C454" s="63" t="s">
        <v>1258</v>
      </c>
      <c r="D454" s="63" t="s">
        <v>1153</v>
      </c>
      <c r="E454" s="64">
        <v>7425</v>
      </c>
      <c r="F454" s="65"/>
      <c r="G454" s="66" t="b">
        <f>ISNUMBER(MATCH(C454,'Pareto Analysis'!$A$48:$A$114,0))</f>
        <v>1</v>
      </c>
      <c r="H454" s="67" t="str">
        <f t="shared" si="6"/>
        <v>👍</v>
      </c>
      <c r="I454" s="71"/>
      <c r="J454" s="20"/>
      <c r="K454" s="20"/>
      <c r="L454" s="20"/>
      <c r="M454" s="20"/>
      <c r="N454" s="20"/>
      <c r="O454" s="20"/>
      <c r="P454" s="20"/>
      <c r="Q454" s="20"/>
      <c r="R454" s="20"/>
      <c r="S454" s="20"/>
      <c r="T454" s="20"/>
      <c r="U454" s="20"/>
      <c r="V454" s="20"/>
      <c r="W454" s="20"/>
      <c r="X454" s="20"/>
      <c r="Y454" s="20"/>
      <c r="Z454" s="20"/>
      <c r="AA454" s="20"/>
      <c r="AB454" s="20"/>
      <c r="AC454" s="20"/>
      <c r="AD454" s="20"/>
      <c r="AE454" s="20"/>
      <c r="AF454" s="20"/>
      <c r="AG454" s="20"/>
      <c r="AH454" s="20"/>
      <c r="AI454" s="20"/>
      <c r="AJ454" s="20"/>
      <c r="AK454" s="20"/>
      <c r="AL454" s="20"/>
      <c r="AM454" s="20"/>
      <c r="AN454" s="20"/>
      <c r="AO454" s="20"/>
      <c r="AP454" s="20"/>
      <c r="AQ454" s="20"/>
      <c r="AR454" s="20"/>
      <c r="AS454" s="20"/>
      <c r="AT454" s="20"/>
      <c r="AU454" s="20"/>
      <c r="AV454" s="20"/>
      <c r="AW454" s="20"/>
      <c r="AX454" s="20"/>
      <c r="AY454" s="20"/>
      <c r="AZ454" s="20"/>
      <c r="BA454" s="20"/>
      <c r="BB454" s="20"/>
      <c r="BC454" s="20"/>
    </row>
    <row r="455" ht="13.5" customHeight="1" spans="1:55">
      <c r="A455" s="20"/>
      <c r="B455" s="62">
        <v>38280</v>
      </c>
      <c r="C455" s="63" t="s">
        <v>1209</v>
      </c>
      <c r="D455" s="63" t="s">
        <v>1151</v>
      </c>
      <c r="E455" s="64">
        <v>8701</v>
      </c>
      <c r="F455" s="65"/>
      <c r="G455" s="66" t="b">
        <f>ISNUMBER(MATCH(C455,'Pareto Analysis'!$A$48:$A$114,0))</f>
        <v>1</v>
      </c>
      <c r="H455" s="67" t="str">
        <f>IF(G455=TRUE,"👍",IF(G455=FALSE,"👎",""))</f>
        <v>👍</v>
      </c>
      <c r="I455" s="71"/>
      <c r="J455" s="20"/>
      <c r="K455" s="20"/>
      <c r="L455" s="20"/>
      <c r="M455" s="20"/>
      <c r="N455" s="20"/>
      <c r="O455" s="20"/>
      <c r="P455" s="20"/>
      <c r="Q455" s="20"/>
      <c r="R455" s="20"/>
      <c r="S455" s="20"/>
      <c r="T455" s="20"/>
      <c r="U455" s="20"/>
      <c r="V455" s="20"/>
      <c r="W455" s="20"/>
      <c r="X455" s="20"/>
      <c r="Y455" s="20"/>
      <c r="Z455" s="20"/>
      <c r="AA455" s="20"/>
      <c r="AB455" s="20"/>
      <c r="AC455" s="20"/>
      <c r="AD455" s="20"/>
      <c r="AE455" s="20"/>
      <c r="AF455" s="20"/>
      <c r="AG455" s="20"/>
      <c r="AH455" s="20"/>
      <c r="AI455" s="20"/>
      <c r="AJ455" s="20"/>
      <c r="AK455" s="20"/>
      <c r="AL455" s="20"/>
      <c r="AM455" s="20"/>
      <c r="AN455" s="20"/>
      <c r="AO455" s="20"/>
      <c r="AP455" s="20"/>
      <c r="AQ455" s="20"/>
      <c r="AR455" s="20"/>
      <c r="AS455" s="20"/>
      <c r="AT455" s="20"/>
      <c r="AU455" s="20"/>
      <c r="AV455" s="20"/>
      <c r="AW455" s="20"/>
      <c r="AX455" s="20"/>
      <c r="AY455" s="20"/>
      <c r="AZ455" s="20"/>
      <c r="BA455" s="20"/>
      <c r="BB455" s="20"/>
      <c r="BC455" s="20"/>
    </row>
    <row r="456" ht="13.5" customHeight="1" spans="1:55">
      <c r="A456" s="20"/>
      <c r="B456" s="62">
        <v>38285</v>
      </c>
      <c r="C456" s="63" t="s">
        <v>1264</v>
      </c>
      <c r="D456" s="63" t="s">
        <v>1148</v>
      </c>
      <c r="E456" s="64">
        <v>25032.8</v>
      </c>
      <c r="F456" s="65"/>
      <c r="G456" s="66" t="b">
        <f>ISNUMBER(MATCH(C456,'Pareto Analysis'!$A$48:$A$114,0))</f>
        <v>1</v>
      </c>
      <c r="H456" s="67" t="str">
        <f>IF(G456=TRUE,"👍",IF(G456=FALSE,"👎",""))</f>
        <v>👍</v>
      </c>
      <c r="I456" s="71"/>
      <c r="J456" s="20"/>
      <c r="K456" s="20"/>
      <c r="L456" s="20"/>
      <c r="M456" s="20"/>
      <c r="N456" s="20"/>
      <c r="O456" s="20"/>
      <c r="P456" s="20"/>
      <c r="Q456" s="20"/>
      <c r="R456" s="20"/>
      <c r="S456" s="20"/>
      <c r="T456" s="20"/>
      <c r="U456" s="20"/>
      <c r="V456" s="20"/>
      <c r="W456" s="20"/>
      <c r="X456" s="20"/>
      <c r="Y456" s="20"/>
      <c r="Z456" s="20"/>
      <c r="AA456" s="20"/>
      <c r="AB456" s="20"/>
      <c r="AC456" s="20"/>
      <c r="AD456" s="20"/>
      <c r="AE456" s="20"/>
      <c r="AF456" s="20"/>
      <c r="AG456" s="20"/>
      <c r="AH456" s="20"/>
      <c r="AI456" s="20"/>
      <c r="AJ456" s="20"/>
      <c r="AK456" s="20"/>
      <c r="AL456" s="20"/>
      <c r="AM456" s="20"/>
      <c r="AN456" s="20"/>
      <c r="AO456" s="20"/>
      <c r="AP456" s="20"/>
      <c r="AQ456" s="20"/>
      <c r="AR456" s="20"/>
      <c r="AS456" s="20"/>
      <c r="AT456" s="20"/>
      <c r="AU456" s="20"/>
      <c r="AV456" s="20"/>
      <c r="AW456" s="20"/>
      <c r="AX456" s="20"/>
      <c r="AY456" s="20"/>
      <c r="AZ456" s="20"/>
      <c r="BA456" s="20"/>
      <c r="BB456" s="20"/>
      <c r="BC456" s="20"/>
    </row>
    <row r="457" ht="13.5" customHeight="1" spans="1:55">
      <c r="A457" s="20"/>
      <c r="B457" s="62">
        <v>38284</v>
      </c>
      <c r="C457" s="63" t="s">
        <v>1264</v>
      </c>
      <c r="D457" s="63" t="s">
        <v>1148</v>
      </c>
      <c r="E457" s="64">
        <v>51780.8</v>
      </c>
      <c r="F457" s="65"/>
      <c r="G457" s="66" t="b">
        <f>ISNUMBER(MATCH(C457,'Pareto Analysis'!$A$48:$A$114,0))</f>
        <v>1</v>
      </c>
      <c r="H457" s="67" t="str">
        <f>IF(G457=TRUE,"👍",IF(G457=FALSE,"👎",""))</f>
        <v>👍</v>
      </c>
      <c r="I457" s="71"/>
      <c r="J457" s="20"/>
      <c r="K457" s="20"/>
      <c r="L457" s="20"/>
      <c r="M457" s="20"/>
      <c r="N457" s="20"/>
      <c r="O457" s="20"/>
      <c r="P457" s="20"/>
      <c r="Q457" s="20"/>
      <c r="R457" s="20"/>
      <c r="S457" s="20"/>
      <c r="T457" s="20"/>
      <c r="U457" s="20"/>
      <c r="V457" s="20"/>
      <c r="W457" s="20"/>
      <c r="X457" s="20"/>
      <c r="Y457" s="20"/>
      <c r="Z457" s="20"/>
      <c r="AA457" s="20"/>
      <c r="AB457" s="20"/>
      <c r="AC457" s="20"/>
      <c r="AD457" s="20"/>
      <c r="AE457" s="20"/>
      <c r="AF457" s="20"/>
      <c r="AG457" s="20"/>
      <c r="AH457" s="20"/>
      <c r="AI457" s="20"/>
      <c r="AJ457" s="20"/>
      <c r="AK457" s="20"/>
      <c r="AL457" s="20"/>
      <c r="AM457" s="20"/>
      <c r="AN457" s="20"/>
      <c r="AO457" s="20"/>
      <c r="AP457" s="20"/>
      <c r="AQ457" s="20"/>
      <c r="AR457" s="20"/>
      <c r="AS457" s="20"/>
      <c r="AT457" s="20"/>
      <c r="AU457" s="20"/>
      <c r="AV457" s="20"/>
      <c r="AW457" s="20"/>
      <c r="AX457" s="20"/>
      <c r="AY457" s="20"/>
      <c r="AZ457" s="20"/>
      <c r="BA457" s="20"/>
      <c r="BB457" s="20"/>
      <c r="BC457" s="20"/>
    </row>
    <row r="458" ht="13.5" customHeight="1" spans="1:55">
      <c r="A458" s="20"/>
      <c r="B458" s="20"/>
      <c r="C458" s="20"/>
      <c r="D458" s="20" t="s">
        <v>1107</v>
      </c>
      <c r="E458" s="72">
        <f>SUM(E6:E457)</f>
        <v>188056.2</v>
      </c>
      <c r="F458" s="73"/>
      <c r="G458" s="52"/>
      <c r="H458" s="20"/>
      <c r="I458" s="20"/>
      <c r="J458" s="20"/>
      <c r="K458" s="20"/>
      <c r="L458" s="20"/>
      <c r="M458" s="20"/>
      <c r="N458" s="20"/>
      <c r="O458" s="20"/>
      <c r="P458" s="20"/>
      <c r="Q458" s="20"/>
      <c r="R458" s="20"/>
      <c r="S458" s="20"/>
      <c r="T458" s="20"/>
      <c r="U458" s="20"/>
      <c r="V458" s="20"/>
      <c r="W458" s="20"/>
      <c r="X458" s="20"/>
      <c r="Y458" s="20"/>
      <c r="Z458" s="20"/>
      <c r="AA458" s="20"/>
      <c r="AB458" s="20"/>
      <c r="AC458" s="20"/>
      <c r="AD458" s="20"/>
      <c r="AE458" s="20"/>
      <c r="AF458" s="20"/>
      <c r="AG458" s="20"/>
      <c r="AH458" s="20"/>
      <c r="AI458" s="20"/>
      <c r="AJ458" s="20"/>
      <c r="AK458" s="20"/>
      <c r="AL458" s="20"/>
      <c r="AM458" s="20"/>
      <c r="AN458" s="20"/>
      <c r="AO458" s="20"/>
      <c r="AP458" s="20"/>
      <c r="AQ458" s="20"/>
      <c r="AR458" s="20"/>
      <c r="AS458" s="20"/>
      <c r="AT458" s="20"/>
      <c r="AU458" s="20"/>
      <c r="AV458" s="20"/>
      <c r="AW458" s="20"/>
      <c r="AX458" s="20"/>
      <c r="AY458" s="20"/>
      <c r="AZ458" s="20"/>
      <c r="BA458" s="20"/>
      <c r="BB458" s="20"/>
      <c r="BC458" s="20"/>
    </row>
    <row r="459" ht="13.5" customHeight="1" spans="1:55">
      <c r="A459" s="20"/>
      <c r="B459" s="20"/>
      <c r="C459" s="20"/>
      <c r="D459" s="20"/>
      <c r="E459" s="20"/>
      <c r="F459" s="73"/>
      <c r="G459" s="52"/>
      <c r="H459" s="20"/>
      <c r="I459" s="20"/>
      <c r="J459" s="20"/>
      <c r="K459" s="20"/>
      <c r="L459" s="20"/>
      <c r="M459" s="20"/>
      <c r="N459" s="20"/>
      <c r="O459" s="20"/>
      <c r="P459" s="20"/>
      <c r="Q459" s="20"/>
      <c r="R459" s="20"/>
      <c r="S459" s="20"/>
      <c r="T459" s="20"/>
      <c r="U459" s="20"/>
      <c r="V459" s="20"/>
      <c r="W459" s="20"/>
      <c r="X459" s="20"/>
      <c r="Y459" s="20"/>
      <c r="Z459" s="20"/>
      <c r="AA459" s="20"/>
      <c r="AB459" s="20"/>
      <c r="AC459" s="20"/>
      <c r="AD459" s="20"/>
      <c r="AE459" s="20"/>
      <c r="AF459" s="20"/>
      <c r="AG459" s="20"/>
      <c r="AH459" s="20"/>
      <c r="AI459" s="20"/>
      <c r="AJ459" s="20"/>
      <c r="AK459" s="20"/>
      <c r="AL459" s="20"/>
      <c r="AM459" s="20"/>
      <c r="AN459" s="20"/>
      <c r="AO459" s="20"/>
      <c r="AP459" s="20"/>
      <c r="AQ459" s="20"/>
      <c r="AR459" s="20"/>
      <c r="AS459" s="20"/>
      <c r="AT459" s="20"/>
      <c r="AU459" s="20"/>
      <c r="AV459" s="20"/>
      <c r="AW459" s="20"/>
      <c r="AX459" s="20"/>
      <c r="AY459" s="20"/>
      <c r="AZ459" s="20"/>
      <c r="BA459" s="20"/>
      <c r="BB459" s="20"/>
      <c r="BC459" s="20"/>
    </row>
    <row r="460" ht="13.5" customHeight="1" spans="1:55">
      <c r="A460" s="20"/>
      <c r="B460" s="20"/>
      <c r="C460" s="20"/>
      <c r="D460" s="20"/>
      <c r="E460" s="20"/>
      <c r="F460" s="73"/>
      <c r="G460" s="52"/>
      <c r="H460" s="20"/>
      <c r="I460" s="20"/>
      <c r="J460" s="20"/>
      <c r="K460" s="20"/>
      <c r="L460" s="20"/>
      <c r="M460" s="20"/>
      <c r="N460" s="20"/>
      <c r="O460" s="20"/>
      <c r="P460" s="20"/>
      <c r="Q460" s="20"/>
      <c r="R460" s="20"/>
      <c r="S460" s="20"/>
      <c r="T460" s="20"/>
      <c r="U460" s="20"/>
      <c r="V460" s="20"/>
      <c r="W460" s="20"/>
      <c r="X460" s="20"/>
      <c r="Y460" s="20"/>
      <c r="Z460" s="20"/>
      <c r="AA460" s="20"/>
      <c r="AB460" s="20"/>
      <c r="AC460" s="20"/>
      <c r="AD460" s="20"/>
      <c r="AE460" s="20"/>
      <c r="AF460" s="20"/>
      <c r="AG460" s="20"/>
      <c r="AH460" s="20"/>
      <c r="AI460" s="20"/>
      <c r="AJ460" s="20"/>
      <c r="AK460" s="20"/>
      <c r="AL460" s="20"/>
      <c r="AM460" s="20"/>
      <c r="AN460" s="20"/>
      <c r="AO460" s="20"/>
      <c r="AP460" s="20"/>
      <c r="AQ460" s="20"/>
      <c r="AR460" s="20"/>
      <c r="AS460" s="20"/>
      <c r="AT460" s="20"/>
      <c r="AU460" s="20"/>
      <c r="AV460" s="20"/>
      <c r="AW460" s="20"/>
      <c r="AX460" s="20"/>
      <c r="AY460" s="20"/>
      <c r="AZ460" s="20"/>
      <c r="BA460" s="20"/>
      <c r="BB460" s="20"/>
      <c r="BC460" s="20"/>
    </row>
    <row r="461" ht="13.5" customHeight="1" spans="1:55">
      <c r="A461" s="20"/>
      <c r="B461" s="20"/>
      <c r="C461" s="20"/>
      <c r="D461" s="20"/>
      <c r="E461" s="20"/>
      <c r="F461" s="73"/>
      <c r="G461" s="52"/>
      <c r="H461" s="20"/>
      <c r="I461" s="20"/>
      <c r="J461" s="20"/>
      <c r="K461" s="20"/>
      <c r="L461" s="20"/>
      <c r="M461" s="20"/>
      <c r="N461" s="20"/>
      <c r="O461" s="20"/>
      <c r="P461" s="20"/>
      <c r="Q461" s="20"/>
      <c r="R461" s="20"/>
      <c r="S461" s="20"/>
      <c r="T461" s="20"/>
      <c r="U461" s="20"/>
      <c r="V461" s="20"/>
      <c r="W461" s="20"/>
      <c r="X461" s="20"/>
      <c r="Y461" s="20"/>
      <c r="Z461" s="20"/>
      <c r="AA461" s="20"/>
      <c r="AB461" s="20"/>
      <c r="AC461" s="20"/>
      <c r="AD461" s="20"/>
      <c r="AE461" s="20"/>
      <c r="AF461" s="20"/>
      <c r="AG461" s="20"/>
      <c r="AH461" s="20"/>
      <c r="AI461" s="20"/>
      <c r="AJ461" s="20"/>
      <c r="AK461" s="20"/>
      <c r="AL461" s="20"/>
      <c r="AM461" s="20"/>
      <c r="AN461" s="20"/>
      <c r="AO461" s="20"/>
      <c r="AP461" s="20"/>
      <c r="AQ461" s="20"/>
      <c r="AR461" s="20"/>
      <c r="AS461" s="20"/>
      <c r="AT461" s="20"/>
      <c r="AU461" s="20"/>
      <c r="AV461" s="20"/>
      <c r="AW461" s="20"/>
      <c r="AX461" s="20"/>
      <c r="AY461" s="20"/>
      <c r="AZ461" s="20"/>
      <c r="BA461" s="20"/>
      <c r="BB461" s="20"/>
      <c r="BC461" s="20"/>
    </row>
    <row r="462" ht="13.5" customHeight="1" spans="1:588">
      <c r="A462" s="74"/>
      <c r="B462" s="74"/>
      <c r="C462" s="75" t="s">
        <v>1265</v>
      </c>
      <c r="D462" s="76" t="str">
        <f t="array" ref="D462:VP462">TRANSPOSE(C416:C4570)</f>
        <v>W889F</v>
      </c>
      <c r="E462" s="76" t="str">
        <v>Y80P7</v>
      </c>
      <c r="F462" s="77" t="str">
        <v>K093P</v>
      </c>
      <c r="G462" s="78" t="str">
        <v>K983K</v>
      </c>
      <c r="H462" s="76" t="str">
        <v>J4C3V</v>
      </c>
      <c r="I462" s="76" t="str">
        <v>MYC14</v>
      </c>
      <c r="J462" s="76" t="str">
        <v>PNF3X</v>
      </c>
      <c r="K462" s="76" t="str">
        <v>K983K</v>
      </c>
      <c r="L462" s="76" t="str">
        <v>F804K</v>
      </c>
      <c r="M462" s="76" t="str">
        <v>MYC14</v>
      </c>
      <c r="N462" s="76" t="str">
        <v>MYC14</v>
      </c>
      <c r="O462" s="76" t="str">
        <v>MYC14</v>
      </c>
      <c r="P462" s="76" t="str">
        <v>MYC14</v>
      </c>
      <c r="Q462" s="76" t="str">
        <v>K983K</v>
      </c>
      <c r="R462" s="76" t="str">
        <v>F804K</v>
      </c>
      <c r="S462" s="76" t="str">
        <v>F804K</v>
      </c>
      <c r="T462" s="76" t="str">
        <v>F804K</v>
      </c>
      <c r="U462" s="76" t="str">
        <v>F804K</v>
      </c>
      <c r="V462" s="76" t="str">
        <v>F804K</v>
      </c>
      <c r="W462" s="76" t="str">
        <v>F804K</v>
      </c>
      <c r="X462" s="76" t="str">
        <v>F804K</v>
      </c>
      <c r="Y462" s="76" t="str">
        <v>K983K</v>
      </c>
      <c r="Z462" s="76" t="str">
        <v>K983K</v>
      </c>
      <c r="AA462" s="76" t="str">
        <v>K983K</v>
      </c>
      <c r="AB462" s="76" t="str">
        <v>MYC14</v>
      </c>
      <c r="AC462" s="76" t="str">
        <v>F862T</v>
      </c>
      <c r="AD462" s="76" t="str">
        <v>X696G</v>
      </c>
      <c r="AE462" s="76" t="str">
        <v>RN225</v>
      </c>
      <c r="AF462" s="76" t="str">
        <v>D181R</v>
      </c>
      <c r="AG462" s="76" t="str">
        <v>3VCPF</v>
      </c>
      <c r="AH462" s="76" t="str">
        <v>G622T</v>
      </c>
      <c r="AI462" s="76" t="str">
        <v>G622T</v>
      </c>
      <c r="AJ462" s="76" t="str">
        <v>01RKN</v>
      </c>
      <c r="AK462" s="76" t="str">
        <v>G622T</v>
      </c>
      <c r="AL462" s="76" t="str">
        <v>D7D66</v>
      </c>
      <c r="AM462" s="76" t="str">
        <v>D7D66</v>
      </c>
      <c r="AN462" s="76" t="str">
        <v>PNF3X</v>
      </c>
      <c r="AO462" s="76" t="str">
        <v>PNF3X</v>
      </c>
      <c r="AP462" s="76" t="str">
        <v>PNF3X</v>
      </c>
      <c r="AQ462" s="76" t="str">
        <v>H298M</v>
      </c>
      <c r="AR462" s="76" t="str">
        <v>Y996D</v>
      </c>
      <c r="AS462" s="76" t="str">
        <v>Y996D</v>
      </c>
      <c r="AT462" s="74">
        <v>0</v>
      </c>
      <c r="AU462" s="74">
        <v>0</v>
      </c>
      <c r="AV462" s="74">
        <v>0</v>
      </c>
      <c r="AW462" s="74">
        <v>0</v>
      </c>
      <c r="AX462" s="74" t="str">
        <v>Set of part numbers for 80% production shortages</v>
      </c>
      <c r="AY462" s="74">
        <v>0</v>
      </c>
      <c r="AZ462" s="74">
        <v>0</v>
      </c>
      <c r="BA462" s="74">
        <v>0</v>
      </c>
      <c r="BB462" s="74">
        <v>0</v>
      </c>
      <c r="BC462" s="74">
        <v>0</v>
      </c>
      <c r="BD462" s="7">
        <v>0</v>
      </c>
      <c r="BE462" s="7">
        <v>0</v>
      </c>
      <c r="BF462" s="7">
        <v>0</v>
      </c>
      <c r="BG462" s="7">
        <v>0</v>
      </c>
      <c r="BH462" s="7">
        <v>0</v>
      </c>
      <c r="BI462" s="7">
        <v>0</v>
      </c>
      <c r="BJ462" s="7">
        <v>0</v>
      </c>
      <c r="BK462" s="7">
        <v>0</v>
      </c>
      <c r="BL462" s="7">
        <v>0</v>
      </c>
      <c r="BM462" s="7">
        <v>0</v>
      </c>
      <c r="BN462" s="7">
        <v>0</v>
      </c>
      <c r="BO462" s="7">
        <v>0</v>
      </c>
      <c r="BP462" s="7">
        <v>0</v>
      </c>
      <c r="BQ462" s="7">
        <v>0</v>
      </c>
      <c r="BR462" s="7">
        <v>0</v>
      </c>
      <c r="BS462" s="7">
        <v>0</v>
      </c>
      <c r="BT462" s="7">
        <v>0</v>
      </c>
      <c r="BU462" s="7">
        <v>0</v>
      </c>
      <c r="BV462" s="7">
        <v>0</v>
      </c>
      <c r="BW462" s="7">
        <v>0</v>
      </c>
      <c r="BX462" s="7">
        <v>0</v>
      </c>
      <c r="BY462" s="7">
        <v>0</v>
      </c>
      <c r="BZ462" s="7">
        <v>0</v>
      </c>
      <c r="CA462" s="7">
        <v>0</v>
      </c>
      <c r="CB462" s="7">
        <v>0</v>
      </c>
      <c r="CC462" s="7">
        <v>0</v>
      </c>
      <c r="CD462" s="7">
        <v>0</v>
      </c>
      <c r="CE462" s="7">
        <v>0</v>
      </c>
      <c r="CF462" s="7">
        <v>0</v>
      </c>
      <c r="CG462" s="7">
        <v>0</v>
      </c>
      <c r="CH462" s="7">
        <v>0</v>
      </c>
      <c r="CI462" s="7">
        <v>0</v>
      </c>
      <c r="CJ462" s="7">
        <v>0</v>
      </c>
      <c r="CK462" s="7">
        <v>0</v>
      </c>
      <c r="CL462" s="7">
        <v>0</v>
      </c>
      <c r="CM462" s="7">
        <v>0</v>
      </c>
      <c r="CN462" s="7">
        <v>0</v>
      </c>
      <c r="CO462" s="7">
        <v>0</v>
      </c>
      <c r="CP462" s="7">
        <v>0</v>
      </c>
      <c r="CQ462" s="7">
        <v>0</v>
      </c>
      <c r="CR462" s="7">
        <v>0</v>
      </c>
      <c r="CS462" s="7">
        <v>0</v>
      </c>
      <c r="CT462" s="7">
        <v>0</v>
      </c>
      <c r="CU462" s="7">
        <v>0</v>
      </c>
      <c r="CV462" s="7">
        <v>0</v>
      </c>
      <c r="CW462" s="7">
        <v>0</v>
      </c>
      <c r="CX462" s="7">
        <v>0</v>
      </c>
      <c r="CY462" s="7">
        <v>0</v>
      </c>
      <c r="CZ462" s="7">
        <v>0</v>
      </c>
      <c r="DA462" s="7">
        <v>0</v>
      </c>
      <c r="DB462" s="7">
        <v>0</v>
      </c>
      <c r="DC462" s="7">
        <v>0</v>
      </c>
      <c r="DD462" s="7">
        <v>0</v>
      </c>
      <c r="DE462" s="7">
        <v>0</v>
      </c>
      <c r="DF462" s="7">
        <v>0</v>
      </c>
      <c r="DG462" s="7">
        <v>0</v>
      </c>
      <c r="DH462" s="7">
        <v>0</v>
      </c>
      <c r="DI462" s="7">
        <v>0</v>
      </c>
      <c r="DJ462" s="7">
        <v>0</v>
      </c>
      <c r="DK462" s="7">
        <v>0</v>
      </c>
      <c r="DL462" s="7">
        <v>0</v>
      </c>
      <c r="DM462" s="7">
        <v>0</v>
      </c>
      <c r="DN462" s="7">
        <v>0</v>
      </c>
      <c r="DO462" s="7">
        <v>0</v>
      </c>
      <c r="DP462" s="7">
        <v>0</v>
      </c>
      <c r="DQ462" s="7">
        <v>0</v>
      </c>
      <c r="DR462" s="7">
        <v>0</v>
      </c>
      <c r="DS462" s="7">
        <v>0</v>
      </c>
      <c r="DT462" s="7">
        <v>0</v>
      </c>
      <c r="DU462" s="7">
        <v>0</v>
      </c>
      <c r="DV462" s="7">
        <v>0</v>
      </c>
      <c r="DW462" s="7">
        <v>0</v>
      </c>
      <c r="DX462" s="7">
        <v>0</v>
      </c>
      <c r="DY462" s="7">
        <v>0</v>
      </c>
      <c r="DZ462" s="7">
        <v>0</v>
      </c>
      <c r="EA462" s="7">
        <v>0</v>
      </c>
      <c r="EB462" s="7">
        <v>0</v>
      </c>
      <c r="EC462" s="7">
        <v>0</v>
      </c>
      <c r="ED462" s="7">
        <v>0</v>
      </c>
      <c r="EE462" s="7">
        <v>0</v>
      </c>
      <c r="EF462" s="7">
        <v>0</v>
      </c>
      <c r="EG462" s="7">
        <v>0</v>
      </c>
      <c r="EH462" s="7">
        <v>0</v>
      </c>
      <c r="EI462" s="7">
        <v>0</v>
      </c>
      <c r="EJ462" s="7">
        <v>0</v>
      </c>
      <c r="EK462" s="7">
        <v>0</v>
      </c>
      <c r="EL462" s="7">
        <v>0</v>
      </c>
      <c r="EM462" s="7">
        <v>0</v>
      </c>
      <c r="EN462" s="7">
        <v>0</v>
      </c>
      <c r="EO462" s="7">
        <v>0</v>
      </c>
      <c r="EP462" s="7">
        <v>0</v>
      </c>
      <c r="EQ462" s="7">
        <v>0</v>
      </c>
      <c r="ER462" s="7">
        <v>0</v>
      </c>
      <c r="ES462" s="7">
        <v>0</v>
      </c>
      <c r="ET462" s="7">
        <v>0</v>
      </c>
      <c r="EU462" s="7">
        <v>0</v>
      </c>
      <c r="EV462" s="7">
        <v>0</v>
      </c>
      <c r="EW462" s="7">
        <v>0</v>
      </c>
      <c r="EX462" s="7">
        <v>0</v>
      </c>
      <c r="EY462" s="7">
        <v>0</v>
      </c>
      <c r="EZ462" s="7">
        <v>0</v>
      </c>
      <c r="FA462" s="7">
        <v>0</v>
      </c>
      <c r="FB462" s="7">
        <v>0</v>
      </c>
      <c r="FC462" s="7">
        <v>0</v>
      </c>
      <c r="FD462" s="7">
        <v>0</v>
      </c>
      <c r="FE462" s="7">
        <v>0</v>
      </c>
      <c r="FF462" s="7">
        <v>0</v>
      </c>
      <c r="FG462" s="7">
        <v>0</v>
      </c>
      <c r="FH462" s="7">
        <v>0</v>
      </c>
      <c r="FI462" s="7">
        <v>0</v>
      </c>
      <c r="FJ462" s="7">
        <v>0</v>
      </c>
      <c r="FK462" s="7">
        <v>0</v>
      </c>
      <c r="FL462" s="7">
        <v>0</v>
      </c>
      <c r="FM462" s="7">
        <v>0</v>
      </c>
      <c r="FN462" s="7">
        <v>0</v>
      </c>
      <c r="FO462" s="7">
        <v>0</v>
      </c>
      <c r="FP462" s="7">
        <v>0</v>
      </c>
      <c r="FQ462" s="7">
        <v>0</v>
      </c>
      <c r="FR462" s="7">
        <v>0</v>
      </c>
      <c r="FS462" s="7">
        <v>0</v>
      </c>
      <c r="FT462" s="7">
        <v>0</v>
      </c>
      <c r="FU462" s="7">
        <v>0</v>
      </c>
      <c r="FV462" s="7">
        <v>0</v>
      </c>
      <c r="FW462" s="7">
        <v>0</v>
      </c>
      <c r="FX462" s="7">
        <v>0</v>
      </c>
      <c r="FY462" s="7">
        <v>0</v>
      </c>
      <c r="FZ462" s="7">
        <v>0</v>
      </c>
      <c r="GA462" s="7">
        <v>0</v>
      </c>
      <c r="GB462" s="7">
        <v>0</v>
      </c>
      <c r="GC462" s="7">
        <v>0</v>
      </c>
      <c r="GD462" s="7">
        <v>0</v>
      </c>
      <c r="GE462" s="7">
        <v>0</v>
      </c>
      <c r="GF462" s="7">
        <v>0</v>
      </c>
      <c r="GG462" s="7">
        <v>0</v>
      </c>
      <c r="GH462" s="7">
        <v>0</v>
      </c>
      <c r="GI462" s="7">
        <v>0</v>
      </c>
      <c r="GJ462" s="7">
        <v>0</v>
      </c>
      <c r="GK462" s="7">
        <v>0</v>
      </c>
      <c r="GL462" s="7">
        <v>0</v>
      </c>
      <c r="GM462" s="7">
        <v>0</v>
      </c>
      <c r="GN462" s="7">
        <v>0</v>
      </c>
      <c r="GO462" s="7">
        <v>0</v>
      </c>
      <c r="GP462" s="7">
        <v>0</v>
      </c>
      <c r="GQ462" s="7">
        <v>0</v>
      </c>
      <c r="GR462" s="7">
        <v>0</v>
      </c>
      <c r="GS462" s="7">
        <v>0</v>
      </c>
      <c r="GT462" s="7">
        <v>0</v>
      </c>
      <c r="GU462" s="7">
        <v>0</v>
      </c>
      <c r="GV462" s="7">
        <v>0</v>
      </c>
      <c r="GW462" s="7">
        <v>0</v>
      </c>
      <c r="GX462" s="7">
        <v>0</v>
      </c>
      <c r="GY462" s="7">
        <v>0</v>
      </c>
      <c r="GZ462" s="7">
        <v>0</v>
      </c>
      <c r="HA462" s="7">
        <v>0</v>
      </c>
      <c r="HB462" s="7">
        <v>0</v>
      </c>
      <c r="HC462" s="7">
        <v>0</v>
      </c>
      <c r="HD462" s="7">
        <v>0</v>
      </c>
      <c r="HE462" s="7">
        <v>0</v>
      </c>
      <c r="HF462" s="7">
        <v>0</v>
      </c>
      <c r="HG462" s="7">
        <v>0</v>
      </c>
      <c r="HH462" s="7">
        <v>0</v>
      </c>
      <c r="HI462" s="7">
        <v>0</v>
      </c>
      <c r="HJ462" s="7">
        <v>0</v>
      </c>
      <c r="HK462" s="7">
        <v>0</v>
      </c>
      <c r="HL462" s="7">
        <v>0</v>
      </c>
      <c r="HM462" s="7">
        <v>0</v>
      </c>
      <c r="HN462" s="7">
        <v>0</v>
      </c>
      <c r="HO462" s="7">
        <v>0</v>
      </c>
      <c r="HP462" s="7">
        <v>0</v>
      </c>
      <c r="HQ462" s="7">
        <v>0</v>
      </c>
      <c r="HR462" s="7">
        <v>0</v>
      </c>
      <c r="HS462" s="7">
        <v>0</v>
      </c>
      <c r="HT462" s="7">
        <v>0</v>
      </c>
      <c r="HU462" s="7">
        <v>0</v>
      </c>
      <c r="HV462" s="7">
        <v>0</v>
      </c>
      <c r="HW462" s="7">
        <v>0</v>
      </c>
      <c r="HX462" s="7">
        <v>0</v>
      </c>
      <c r="HY462" s="7">
        <v>0</v>
      </c>
      <c r="HZ462" s="7">
        <v>0</v>
      </c>
      <c r="IA462" s="7">
        <v>0</v>
      </c>
      <c r="IB462" s="7">
        <v>0</v>
      </c>
      <c r="IC462" s="7">
        <v>0</v>
      </c>
      <c r="ID462" s="7">
        <v>0</v>
      </c>
      <c r="IE462" s="7">
        <v>0</v>
      </c>
      <c r="IF462" s="7">
        <v>0</v>
      </c>
      <c r="IG462" s="7">
        <v>0</v>
      </c>
      <c r="IH462" s="7">
        <v>0</v>
      </c>
      <c r="II462" s="7">
        <v>0</v>
      </c>
      <c r="IJ462" s="7">
        <v>0</v>
      </c>
      <c r="IK462" s="7">
        <v>0</v>
      </c>
      <c r="IL462" s="7">
        <v>0</v>
      </c>
      <c r="IM462" s="7">
        <v>0</v>
      </c>
      <c r="IN462" s="7">
        <v>0</v>
      </c>
      <c r="IO462" s="7">
        <v>0</v>
      </c>
      <c r="IP462" s="7">
        <v>0</v>
      </c>
      <c r="IQ462" s="7">
        <v>0</v>
      </c>
      <c r="IR462" s="7">
        <v>0</v>
      </c>
      <c r="IS462" s="7">
        <v>0</v>
      </c>
      <c r="IT462" s="7">
        <v>0</v>
      </c>
      <c r="IU462" s="7">
        <v>0</v>
      </c>
      <c r="IV462" s="7">
        <v>0</v>
      </c>
      <c r="IW462" s="7">
        <v>0</v>
      </c>
      <c r="IX462" s="7">
        <v>0</v>
      </c>
      <c r="IY462" s="7">
        <v>0</v>
      </c>
      <c r="IZ462" s="7">
        <v>0</v>
      </c>
      <c r="JA462" s="7">
        <v>0</v>
      </c>
      <c r="JB462" s="7">
        <v>0</v>
      </c>
      <c r="JC462" s="7">
        <v>0</v>
      </c>
      <c r="JD462" s="7">
        <v>0</v>
      </c>
      <c r="JE462" s="7">
        <v>0</v>
      </c>
      <c r="JF462" s="7">
        <v>0</v>
      </c>
      <c r="JG462" s="7">
        <v>0</v>
      </c>
      <c r="JH462" s="7">
        <v>0</v>
      </c>
      <c r="JI462" s="7">
        <v>0</v>
      </c>
      <c r="JJ462" s="7">
        <v>0</v>
      </c>
      <c r="JK462" s="7">
        <v>0</v>
      </c>
      <c r="JL462" s="7">
        <v>0</v>
      </c>
      <c r="JM462" s="7">
        <v>0</v>
      </c>
      <c r="JN462" s="7">
        <v>0</v>
      </c>
      <c r="JO462" s="7">
        <v>0</v>
      </c>
      <c r="JP462" s="7">
        <v>0</v>
      </c>
      <c r="JQ462" s="7">
        <v>0</v>
      </c>
      <c r="JR462" s="7">
        <v>0</v>
      </c>
      <c r="JS462" s="7">
        <v>0</v>
      </c>
      <c r="JT462" s="7">
        <v>0</v>
      </c>
      <c r="JU462" s="7">
        <v>0</v>
      </c>
      <c r="JV462" s="7">
        <v>0</v>
      </c>
      <c r="JW462" s="7">
        <v>0</v>
      </c>
      <c r="JX462" s="7">
        <v>0</v>
      </c>
      <c r="JY462" s="7">
        <v>0</v>
      </c>
      <c r="JZ462" s="7">
        <v>0</v>
      </c>
      <c r="KA462" s="7">
        <v>0</v>
      </c>
      <c r="KB462" s="7">
        <v>0</v>
      </c>
      <c r="KC462" s="7">
        <v>0</v>
      </c>
      <c r="KD462" s="7">
        <v>0</v>
      </c>
      <c r="KE462" s="7">
        <v>0</v>
      </c>
      <c r="KF462" s="7">
        <v>0</v>
      </c>
      <c r="KG462" s="7">
        <v>0</v>
      </c>
      <c r="KH462" s="7">
        <v>0</v>
      </c>
      <c r="KI462" s="7">
        <v>0</v>
      </c>
      <c r="KJ462" s="7">
        <v>0</v>
      </c>
      <c r="KK462" s="7">
        <v>0</v>
      </c>
      <c r="KL462" s="7">
        <v>0</v>
      </c>
      <c r="KM462" s="7">
        <v>0</v>
      </c>
      <c r="KN462" s="7">
        <v>0</v>
      </c>
      <c r="KO462" s="7">
        <v>0</v>
      </c>
      <c r="KP462" s="7">
        <v>0</v>
      </c>
      <c r="KQ462" s="7">
        <v>0</v>
      </c>
      <c r="KR462" s="7">
        <v>0</v>
      </c>
      <c r="KS462" s="7">
        <v>0</v>
      </c>
      <c r="KT462" s="7">
        <v>0</v>
      </c>
      <c r="KU462" s="7">
        <v>0</v>
      </c>
      <c r="KV462" s="7">
        <v>0</v>
      </c>
      <c r="KW462" s="7">
        <v>0</v>
      </c>
      <c r="KX462" s="7">
        <v>0</v>
      </c>
      <c r="KY462" s="7">
        <v>0</v>
      </c>
      <c r="KZ462" s="7">
        <v>0</v>
      </c>
      <c r="LA462" s="7">
        <v>0</v>
      </c>
      <c r="LB462" s="7">
        <v>0</v>
      </c>
      <c r="LC462" s="7">
        <v>0</v>
      </c>
      <c r="LD462" s="7">
        <v>0</v>
      </c>
      <c r="LE462" s="7">
        <v>0</v>
      </c>
      <c r="LF462" s="7">
        <v>0</v>
      </c>
      <c r="LG462" s="7">
        <v>0</v>
      </c>
      <c r="LH462" s="7">
        <v>0</v>
      </c>
      <c r="LI462" s="7">
        <v>0</v>
      </c>
      <c r="LJ462" s="7">
        <v>0</v>
      </c>
      <c r="LK462" s="7">
        <v>0</v>
      </c>
      <c r="LL462" s="7">
        <v>0</v>
      </c>
      <c r="LM462" s="7">
        <v>0</v>
      </c>
      <c r="LN462" s="7">
        <v>0</v>
      </c>
      <c r="LO462" s="7">
        <v>0</v>
      </c>
      <c r="LP462" s="7">
        <v>0</v>
      </c>
      <c r="LQ462" s="7">
        <v>0</v>
      </c>
      <c r="LR462" s="7">
        <v>0</v>
      </c>
      <c r="LS462" s="7">
        <v>0</v>
      </c>
      <c r="LT462" s="7">
        <v>0</v>
      </c>
      <c r="LU462" s="7">
        <v>0</v>
      </c>
      <c r="LV462" s="7">
        <v>0</v>
      </c>
      <c r="LW462" s="7">
        <v>0</v>
      </c>
      <c r="LX462" s="7">
        <v>0</v>
      </c>
      <c r="LY462" s="7">
        <v>0</v>
      </c>
      <c r="LZ462" s="7">
        <v>0</v>
      </c>
      <c r="MA462" s="7">
        <v>0</v>
      </c>
      <c r="MB462" s="7">
        <v>0</v>
      </c>
      <c r="MC462" s="7">
        <v>0</v>
      </c>
      <c r="MD462" s="7">
        <v>0</v>
      </c>
      <c r="ME462" s="7">
        <v>0</v>
      </c>
      <c r="MF462" s="7">
        <v>0</v>
      </c>
      <c r="MG462" s="7">
        <v>0</v>
      </c>
      <c r="MH462" s="7">
        <v>0</v>
      </c>
      <c r="MI462" s="7">
        <v>0</v>
      </c>
      <c r="MJ462" s="7">
        <v>0</v>
      </c>
      <c r="MK462" s="7">
        <v>0</v>
      </c>
      <c r="ML462" s="7">
        <v>0</v>
      </c>
      <c r="MM462" s="7">
        <v>0</v>
      </c>
      <c r="MN462" s="7">
        <v>0</v>
      </c>
      <c r="MO462" s="7">
        <v>0</v>
      </c>
      <c r="MP462" s="7">
        <v>0</v>
      </c>
      <c r="MQ462" s="7">
        <v>0</v>
      </c>
      <c r="MR462" s="7">
        <v>0</v>
      </c>
      <c r="MS462" s="7">
        <v>0</v>
      </c>
      <c r="MT462" s="7">
        <v>0</v>
      </c>
      <c r="MU462" s="7">
        <v>0</v>
      </c>
      <c r="MV462" s="7">
        <v>0</v>
      </c>
      <c r="MW462" s="7">
        <v>0</v>
      </c>
      <c r="MX462" s="7">
        <v>0</v>
      </c>
      <c r="MY462" s="7">
        <v>0</v>
      </c>
      <c r="MZ462" s="7">
        <v>0</v>
      </c>
      <c r="NA462" s="7">
        <v>0</v>
      </c>
      <c r="NB462" s="7">
        <v>0</v>
      </c>
      <c r="NC462" s="7">
        <v>0</v>
      </c>
      <c r="ND462" s="7">
        <v>0</v>
      </c>
      <c r="NE462" s="7">
        <v>0</v>
      </c>
      <c r="NF462" s="7">
        <v>0</v>
      </c>
      <c r="NG462" s="7">
        <v>0</v>
      </c>
      <c r="NH462" s="7">
        <v>0</v>
      </c>
      <c r="NI462" s="7">
        <v>0</v>
      </c>
      <c r="NJ462" s="7">
        <v>0</v>
      </c>
      <c r="NK462" s="7">
        <v>0</v>
      </c>
      <c r="NL462" s="7">
        <v>0</v>
      </c>
      <c r="NM462" s="7">
        <v>0</v>
      </c>
      <c r="NN462" s="7">
        <v>0</v>
      </c>
      <c r="NO462" s="7">
        <v>0</v>
      </c>
      <c r="NP462" s="7">
        <v>0</v>
      </c>
      <c r="NQ462" s="7">
        <v>0</v>
      </c>
      <c r="NR462" s="7">
        <v>0</v>
      </c>
      <c r="NS462" s="7">
        <v>0</v>
      </c>
      <c r="NT462" s="7">
        <v>0</v>
      </c>
      <c r="NU462" s="7">
        <v>0</v>
      </c>
      <c r="NV462" s="7">
        <v>0</v>
      </c>
      <c r="NW462" s="7">
        <v>0</v>
      </c>
      <c r="NX462" s="7">
        <v>0</v>
      </c>
      <c r="NY462" s="7">
        <v>0</v>
      </c>
      <c r="NZ462" s="7">
        <v>0</v>
      </c>
      <c r="OA462" s="7">
        <v>0</v>
      </c>
      <c r="OB462" s="7">
        <v>0</v>
      </c>
      <c r="OC462" s="7">
        <v>0</v>
      </c>
      <c r="OD462" s="7">
        <v>0</v>
      </c>
      <c r="OE462" s="7">
        <v>0</v>
      </c>
      <c r="OF462" s="7">
        <v>0</v>
      </c>
      <c r="OG462" s="7">
        <v>0</v>
      </c>
      <c r="OH462" s="7">
        <v>0</v>
      </c>
      <c r="OI462" s="7">
        <v>0</v>
      </c>
      <c r="OJ462" s="7">
        <v>0</v>
      </c>
      <c r="OK462" s="7">
        <v>0</v>
      </c>
      <c r="OL462" s="7">
        <v>0</v>
      </c>
      <c r="OM462" s="7">
        <v>0</v>
      </c>
      <c r="ON462" s="7">
        <v>0</v>
      </c>
      <c r="OO462" s="7">
        <v>0</v>
      </c>
      <c r="OP462" s="7">
        <v>0</v>
      </c>
      <c r="OQ462" s="7">
        <v>0</v>
      </c>
      <c r="OR462" s="7">
        <v>0</v>
      </c>
      <c r="OS462" s="7">
        <v>0</v>
      </c>
      <c r="OT462" s="7">
        <v>0</v>
      </c>
      <c r="OU462" s="7">
        <v>0</v>
      </c>
      <c r="OV462" s="7">
        <v>0</v>
      </c>
      <c r="OW462" s="7">
        <v>0</v>
      </c>
      <c r="OX462" s="7">
        <v>0</v>
      </c>
      <c r="OY462" s="7">
        <v>0</v>
      </c>
      <c r="OZ462" s="7">
        <v>0</v>
      </c>
      <c r="PA462" s="7">
        <v>0</v>
      </c>
      <c r="PB462" s="7">
        <v>0</v>
      </c>
      <c r="PC462" s="7">
        <v>0</v>
      </c>
      <c r="PD462" s="7">
        <v>0</v>
      </c>
      <c r="PE462" s="7">
        <v>0</v>
      </c>
      <c r="PF462" s="7">
        <v>0</v>
      </c>
      <c r="PG462" s="7">
        <v>0</v>
      </c>
      <c r="PH462" s="7">
        <v>0</v>
      </c>
      <c r="PI462" s="7">
        <v>0</v>
      </c>
      <c r="PJ462" s="7">
        <v>0</v>
      </c>
      <c r="PK462" s="7">
        <v>0</v>
      </c>
      <c r="PL462" s="7">
        <v>0</v>
      </c>
      <c r="PM462" s="7">
        <v>0</v>
      </c>
      <c r="PN462" s="7">
        <v>0</v>
      </c>
      <c r="PO462" s="7">
        <v>0</v>
      </c>
      <c r="PP462" s="7">
        <v>0</v>
      </c>
      <c r="PQ462" s="7">
        <v>0</v>
      </c>
      <c r="PR462" s="7">
        <v>0</v>
      </c>
      <c r="PS462" s="7">
        <v>0</v>
      </c>
      <c r="PT462" s="7">
        <v>0</v>
      </c>
      <c r="PU462" s="7">
        <v>0</v>
      </c>
      <c r="PV462" s="7">
        <v>0</v>
      </c>
      <c r="PW462" s="7">
        <v>0</v>
      </c>
      <c r="PX462" s="7">
        <v>0</v>
      </c>
      <c r="PY462" s="7">
        <v>0</v>
      </c>
      <c r="PZ462" s="7">
        <v>0</v>
      </c>
      <c r="QA462" s="7">
        <v>0</v>
      </c>
      <c r="QB462" s="7">
        <v>0</v>
      </c>
      <c r="QC462" s="7">
        <v>0</v>
      </c>
      <c r="QD462" s="7">
        <v>0</v>
      </c>
      <c r="QE462" s="7">
        <v>0</v>
      </c>
      <c r="QF462" s="7">
        <v>0</v>
      </c>
      <c r="QG462" s="7">
        <v>0</v>
      </c>
      <c r="QH462" s="7">
        <v>0</v>
      </c>
      <c r="QI462" s="7">
        <v>0</v>
      </c>
      <c r="QJ462" s="7">
        <v>0</v>
      </c>
      <c r="QK462" s="7">
        <v>0</v>
      </c>
      <c r="QL462" s="7">
        <v>0</v>
      </c>
      <c r="QM462" s="7">
        <v>0</v>
      </c>
      <c r="QN462" s="7">
        <v>0</v>
      </c>
      <c r="QO462" s="7">
        <v>0</v>
      </c>
      <c r="QP462" s="7">
        <v>0</v>
      </c>
      <c r="QQ462" s="7">
        <v>0</v>
      </c>
      <c r="QR462" s="7">
        <v>0</v>
      </c>
      <c r="QS462" s="7">
        <v>0</v>
      </c>
      <c r="QT462" s="7">
        <v>0</v>
      </c>
      <c r="QU462" s="7">
        <v>0</v>
      </c>
      <c r="QV462" s="7">
        <v>0</v>
      </c>
      <c r="QW462" s="7">
        <v>0</v>
      </c>
      <c r="QX462" s="7">
        <v>0</v>
      </c>
      <c r="QY462" s="7">
        <v>0</v>
      </c>
      <c r="QZ462" s="7">
        <v>0</v>
      </c>
      <c r="RA462" s="7">
        <v>0</v>
      </c>
      <c r="RB462" s="7">
        <v>0</v>
      </c>
      <c r="RC462" s="7">
        <v>0</v>
      </c>
      <c r="RD462" s="7">
        <v>0</v>
      </c>
      <c r="RE462" s="7">
        <v>0</v>
      </c>
      <c r="RF462" s="7">
        <v>0</v>
      </c>
      <c r="RG462" s="7">
        <v>0</v>
      </c>
      <c r="RH462" s="7">
        <v>0</v>
      </c>
      <c r="RI462" s="7">
        <v>0</v>
      </c>
      <c r="RJ462" s="7">
        <v>0</v>
      </c>
      <c r="RK462" s="7">
        <v>0</v>
      </c>
      <c r="RL462" s="7">
        <v>0</v>
      </c>
      <c r="RM462" s="7">
        <v>0</v>
      </c>
      <c r="RN462" s="7">
        <v>0</v>
      </c>
      <c r="RO462" s="7">
        <v>0</v>
      </c>
      <c r="RP462" s="7">
        <v>0</v>
      </c>
      <c r="RQ462" s="7">
        <v>0</v>
      </c>
      <c r="RR462" s="7">
        <v>0</v>
      </c>
      <c r="RS462" s="7">
        <v>0</v>
      </c>
      <c r="RT462" s="7">
        <v>0</v>
      </c>
      <c r="RU462" s="7">
        <v>0</v>
      </c>
      <c r="RV462" s="7">
        <v>0</v>
      </c>
      <c r="RW462" s="7">
        <v>0</v>
      </c>
      <c r="RX462" s="7">
        <v>0</v>
      </c>
      <c r="RY462" s="7">
        <v>0</v>
      </c>
      <c r="RZ462" s="7">
        <v>0</v>
      </c>
      <c r="SA462" s="7">
        <v>0</v>
      </c>
      <c r="SB462" s="7">
        <v>0</v>
      </c>
      <c r="SC462" s="7">
        <v>0</v>
      </c>
      <c r="SD462" s="7">
        <v>0</v>
      </c>
      <c r="SE462" s="7">
        <v>0</v>
      </c>
      <c r="SF462" s="7">
        <v>0</v>
      </c>
      <c r="SG462" s="7">
        <v>0</v>
      </c>
      <c r="SH462" s="7">
        <v>0</v>
      </c>
      <c r="SI462" s="7">
        <v>0</v>
      </c>
      <c r="SJ462" s="7">
        <v>0</v>
      </c>
      <c r="SK462" s="7">
        <v>0</v>
      </c>
      <c r="SL462" s="7">
        <v>0</v>
      </c>
      <c r="SM462" s="7">
        <v>0</v>
      </c>
      <c r="SN462" s="7">
        <v>0</v>
      </c>
      <c r="SO462" s="7">
        <v>0</v>
      </c>
      <c r="SP462" s="7">
        <v>0</v>
      </c>
      <c r="SQ462" s="7">
        <v>0</v>
      </c>
      <c r="SR462" s="7">
        <v>0</v>
      </c>
      <c r="SS462" s="7">
        <v>0</v>
      </c>
      <c r="ST462" s="7">
        <v>0</v>
      </c>
      <c r="SU462" s="7">
        <v>0</v>
      </c>
      <c r="SV462" s="7">
        <v>0</v>
      </c>
      <c r="SW462" s="7">
        <v>0</v>
      </c>
      <c r="SX462" s="7">
        <v>0</v>
      </c>
      <c r="SY462" s="7">
        <v>0</v>
      </c>
      <c r="SZ462" s="7">
        <v>0</v>
      </c>
      <c r="TA462" s="7">
        <v>0</v>
      </c>
      <c r="TB462" s="7">
        <v>0</v>
      </c>
      <c r="TC462" s="7">
        <v>0</v>
      </c>
      <c r="TD462" s="7">
        <v>0</v>
      </c>
      <c r="TE462" s="7">
        <v>0</v>
      </c>
      <c r="TF462" s="7">
        <v>0</v>
      </c>
      <c r="TG462" s="7">
        <v>0</v>
      </c>
      <c r="TH462" s="7">
        <v>0</v>
      </c>
      <c r="TI462" s="7">
        <v>0</v>
      </c>
      <c r="TJ462" s="7">
        <v>0</v>
      </c>
      <c r="TK462" s="7">
        <v>0</v>
      </c>
      <c r="TL462" s="7">
        <v>0</v>
      </c>
      <c r="TM462" s="7">
        <v>0</v>
      </c>
      <c r="TN462" s="7">
        <v>0</v>
      </c>
      <c r="TO462" s="7">
        <v>0</v>
      </c>
      <c r="TP462" s="7">
        <v>0</v>
      </c>
      <c r="TQ462" s="7">
        <v>0</v>
      </c>
      <c r="TR462" s="7">
        <v>0</v>
      </c>
      <c r="TS462" s="7">
        <v>0</v>
      </c>
      <c r="TT462" s="7">
        <v>0</v>
      </c>
      <c r="TU462" s="7">
        <v>0</v>
      </c>
      <c r="TV462" s="7">
        <v>0</v>
      </c>
      <c r="TW462" s="7">
        <v>0</v>
      </c>
      <c r="TX462" s="7">
        <v>0</v>
      </c>
      <c r="TY462" s="7">
        <v>0</v>
      </c>
      <c r="TZ462" s="7">
        <v>0</v>
      </c>
      <c r="UA462" s="7">
        <v>0</v>
      </c>
      <c r="UB462" s="7">
        <v>0</v>
      </c>
      <c r="UC462" s="7">
        <v>0</v>
      </c>
      <c r="UD462" s="7">
        <v>0</v>
      </c>
      <c r="UE462" s="7">
        <v>0</v>
      </c>
      <c r="UF462" s="7">
        <v>0</v>
      </c>
      <c r="UG462" s="7">
        <v>0</v>
      </c>
      <c r="UH462" s="7">
        <v>0</v>
      </c>
      <c r="UI462" s="7">
        <v>0</v>
      </c>
      <c r="UJ462" s="7">
        <v>0</v>
      </c>
      <c r="UK462" s="7">
        <v>0</v>
      </c>
      <c r="UL462" s="7">
        <v>0</v>
      </c>
      <c r="UM462" s="7">
        <v>0</v>
      </c>
      <c r="UN462" s="7">
        <v>0</v>
      </c>
      <c r="UO462" s="7">
        <v>0</v>
      </c>
      <c r="UP462" s="7">
        <v>0</v>
      </c>
      <c r="UQ462" s="7">
        <v>0</v>
      </c>
      <c r="UR462" s="7">
        <v>0</v>
      </c>
      <c r="US462" s="7">
        <v>0</v>
      </c>
      <c r="UT462" s="7">
        <v>0</v>
      </c>
      <c r="UU462" s="7">
        <v>0</v>
      </c>
      <c r="UV462" s="7">
        <v>0</v>
      </c>
      <c r="UW462" s="7">
        <v>0</v>
      </c>
      <c r="UX462" s="7">
        <v>0</v>
      </c>
      <c r="UY462" s="7">
        <v>0</v>
      </c>
      <c r="UZ462" s="7">
        <v>0</v>
      </c>
      <c r="VA462" s="7">
        <v>0</v>
      </c>
      <c r="VB462" s="7">
        <v>0</v>
      </c>
      <c r="VC462" s="7">
        <v>0</v>
      </c>
      <c r="VD462" s="7">
        <v>0</v>
      </c>
      <c r="VE462" s="7">
        <v>0</v>
      </c>
      <c r="VF462" s="7">
        <v>0</v>
      </c>
      <c r="VG462" s="7">
        <v>0</v>
      </c>
      <c r="VH462" s="7">
        <v>0</v>
      </c>
      <c r="VI462" s="7">
        <v>0</v>
      </c>
      <c r="VJ462" s="7">
        <v>0</v>
      </c>
      <c r="VK462" s="7">
        <v>0</v>
      </c>
      <c r="VL462" s="7">
        <v>0</v>
      </c>
      <c r="VM462" s="7">
        <v>0</v>
      </c>
      <c r="VN462" s="7">
        <v>0</v>
      </c>
      <c r="VO462" s="7">
        <v>0</v>
      </c>
      <c r="VP462" s="7">
        <v>0</v>
      </c>
    </row>
    <row r="463" ht="13.5" customHeight="1" spans="1:55">
      <c r="A463" s="20"/>
      <c r="B463" s="20"/>
      <c r="C463" s="79"/>
      <c r="D463" s="20"/>
      <c r="E463" s="20"/>
      <c r="F463" s="73"/>
      <c r="G463" s="52"/>
      <c r="H463" s="20"/>
      <c r="I463" s="20"/>
      <c r="J463" s="20"/>
      <c r="K463" s="20"/>
      <c r="L463" s="20"/>
      <c r="M463" s="20"/>
      <c r="N463" s="20"/>
      <c r="O463" s="20"/>
      <c r="P463" s="20"/>
      <c r="Q463" s="20"/>
      <c r="R463" s="20"/>
      <c r="S463" s="20"/>
      <c r="T463" s="20"/>
      <c r="U463" s="20"/>
      <c r="V463" s="20"/>
      <c r="W463" s="20"/>
      <c r="X463" s="20"/>
      <c r="Y463" s="20"/>
      <c r="Z463" s="20"/>
      <c r="AA463" s="20"/>
      <c r="AB463" s="20"/>
      <c r="AC463" s="20"/>
      <c r="AD463" s="20"/>
      <c r="AE463" s="20"/>
      <c r="AF463" s="20"/>
      <c r="AG463" s="20"/>
      <c r="AH463" s="20"/>
      <c r="AI463" s="20"/>
      <c r="AJ463" s="20"/>
      <c r="AK463" s="20"/>
      <c r="AL463" s="20"/>
      <c r="AM463" s="20"/>
      <c r="AN463" s="20"/>
      <c r="AO463" s="20"/>
      <c r="AP463" s="20"/>
      <c r="AQ463" s="20"/>
      <c r="AR463" s="20"/>
      <c r="AS463" s="20"/>
      <c r="AT463" s="20"/>
      <c r="AU463" s="20"/>
      <c r="AV463" s="20"/>
      <c r="AW463" s="20"/>
      <c r="AX463" s="20"/>
      <c r="AY463" s="20"/>
      <c r="AZ463" s="20"/>
      <c r="BA463" s="20"/>
      <c r="BB463" s="20"/>
      <c r="BC463" s="20"/>
    </row>
    <row r="464" ht="13.5" customHeight="1" spans="1:55">
      <c r="A464" s="20"/>
      <c r="B464" s="20"/>
      <c r="C464" s="79"/>
      <c r="D464" s="20"/>
      <c r="E464" s="20"/>
      <c r="F464" s="73"/>
      <c r="G464" s="52"/>
      <c r="H464" s="20"/>
      <c r="I464" s="20"/>
      <c r="J464" s="20"/>
      <c r="K464" s="20"/>
      <c r="L464" s="20"/>
      <c r="M464" s="20"/>
      <c r="N464" s="20"/>
      <c r="O464" s="20"/>
      <c r="P464" s="20"/>
      <c r="Q464" s="20"/>
      <c r="R464" s="20"/>
      <c r="S464" s="20"/>
      <c r="T464" s="20"/>
      <c r="U464" s="20"/>
      <c r="V464" s="20"/>
      <c r="W464" s="20"/>
      <c r="X464" s="20"/>
      <c r="Y464" s="20"/>
      <c r="Z464" s="20"/>
      <c r="AA464" s="20"/>
      <c r="AB464" s="20"/>
      <c r="AC464" s="20"/>
      <c r="AD464" s="20"/>
      <c r="AE464" s="20"/>
      <c r="AF464" s="20"/>
      <c r="AG464" s="20"/>
      <c r="AH464" s="20"/>
      <c r="AI464" s="20"/>
      <c r="AJ464" s="20"/>
      <c r="AK464" s="20"/>
      <c r="AL464" s="20"/>
      <c r="AM464" s="20"/>
      <c r="AN464" s="20"/>
      <c r="AO464" s="20"/>
      <c r="AP464" s="20"/>
      <c r="AQ464" s="20"/>
      <c r="AR464" s="20"/>
      <c r="AS464" s="20"/>
      <c r="AT464" s="20"/>
      <c r="AU464" s="20"/>
      <c r="AV464" s="20"/>
      <c r="AW464" s="20"/>
      <c r="AX464" s="20"/>
      <c r="AY464" s="20"/>
      <c r="AZ464" s="20"/>
      <c r="BA464" s="20"/>
      <c r="BB464" s="20"/>
      <c r="BC464" s="20"/>
    </row>
    <row r="465" ht="13.5" customHeight="1" spans="1:55">
      <c r="A465" s="20"/>
      <c r="B465" s="20"/>
      <c r="C465" s="20"/>
      <c r="D465" s="20" t="str">
        <f>CONCATENATE(D462:AS462,",")</f>
        <v>W889F,</v>
      </c>
      <c r="E465" s="20"/>
      <c r="F465" s="73"/>
      <c r="G465" s="52"/>
      <c r="H465" s="20"/>
      <c r="I465" s="20"/>
      <c r="J465" s="20"/>
      <c r="K465" s="20"/>
      <c r="L465" s="20"/>
      <c r="M465" s="20"/>
      <c r="N465" s="20"/>
      <c r="O465" s="20"/>
      <c r="P465" s="20"/>
      <c r="Q465" s="20"/>
      <c r="R465" s="20"/>
      <c r="S465" s="20"/>
      <c r="T465" s="20"/>
      <c r="U465" s="20"/>
      <c r="V465" s="20"/>
      <c r="W465" s="20"/>
      <c r="X465" s="20"/>
      <c r="Y465" s="20"/>
      <c r="Z465" s="20"/>
      <c r="AA465" s="20"/>
      <c r="AB465" s="20"/>
      <c r="AC465" s="20"/>
      <c r="AD465" s="20"/>
      <c r="AE465" s="20"/>
      <c r="AF465" s="20"/>
      <c r="AG465" s="20"/>
      <c r="AH465" s="20"/>
      <c r="AI465" s="20"/>
      <c r="AJ465" s="20"/>
      <c r="AK465" s="20"/>
      <c r="AL465" s="20"/>
      <c r="AM465" s="20"/>
      <c r="AN465" s="20"/>
      <c r="AO465" s="20"/>
      <c r="AP465" s="20"/>
      <c r="AQ465" s="20"/>
      <c r="AR465" s="20"/>
      <c r="AS465" s="20"/>
      <c r="AT465" s="20"/>
      <c r="AU465" s="20"/>
      <c r="AV465" s="20"/>
      <c r="AW465" s="20"/>
      <c r="AX465" s="20"/>
      <c r="AY465" s="20"/>
      <c r="AZ465" s="20"/>
      <c r="BA465" s="20"/>
      <c r="BB465" s="20"/>
      <c r="BC465" s="20"/>
    </row>
    <row r="466" ht="13.5" customHeight="1" spans="1:55">
      <c r="A466" s="20"/>
      <c r="B466" s="20"/>
      <c r="C466" s="20"/>
      <c r="D466" s="20"/>
      <c r="E466" s="20"/>
      <c r="F466" s="73"/>
      <c r="G466" s="52"/>
      <c r="H466" s="20"/>
      <c r="I466" s="20"/>
      <c r="J466" s="20"/>
      <c r="K466" s="20"/>
      <c r="L466" s="20"/>
      <c r="M466" s="20"/>
      <c r="N466" s="20"/>
      <c r="O466" s="20"/>
      <c r="P466" s="20"/>
      <c r="Q466" s="20"/>
      <c r="R466" s="20"/>
      <c r="S466" s="20"/>
      <c r="T466" s="20"/>
      <c r="U466" s="20"/>
      <c r="V466" s="20"/>
      <c r="W466" s="20"/>
      <c r="X466" s="20"/>
      <c r="Y466" s="20"/>
      <c r="Z466" s="20"/>
      <c r="AA466" s="20"/>
      <c r="AB466" s="20"/>
      <c r="AC466" s="20"/>
      <c r="AD466" s="20"/>
      <c r="AE466" s="20"/>
      <c r="AF466" s="20"/>
      <c r="AG466" s="20"/>
      <c r="AH466" s="20"/>
      <c r="AI466" s="20"/>
      <c r="AJ466" s="20"/>
      <c r="AK466" s="20"/>
      <c r="AL466" s="20"/>
      <c r="AM466" s="20"/>
      <c r="AN466" s="20"/>
      <c r="AO466" s="20"/>
      <c r="AP466" s="20"/>
      <c r="AQ466" s="20"/>
      <c r="AR466" s="20"/>
      <c r="AS466" s="20"/>
      <c r="AT466" s="20"/>
      <c r="AU466" s="20"/>
      <c r="AV466" s="20"/>
      <c r="AW466" s="20"/>
      <c r="AX466" s="20"/>
      <c r="AY466" s="20"/>
      <c r="AZ466" s="20"/>
      <c r="BA466" s="20"/>
      <c r="BB466" s="20"/>
      <c r="BC466" s="20"/>
    </row>
    <row r="467" ht="13.5" customHeight="1" spans="1:55">
      <c r="A467" s="20"/>
      <c r="B467" s="20"/>
      <c r="C467" s="20"/>
      <c r="D467" s="20"/>
      <c r="E467" s="20"/>
      <c r="F467" s="73"/>
      <c r="G467" s="52"/>
      <c r="H467" s="20"/>
      <c r="I467" s="20"/>
      <c r="J467" s="20"/>
      <c r="K467" s="20"/>
      <c r="L467" s="20"/>
      <c r="M467" s="20"/>
      <c r="N467" s="20"/>
      <c r="O467" s="20"/>
      <c r="P467" s="20"/>
      <c r="Q467" s="20"/>
      <c r="R467" s="20"/>
      <c r="S467" s="20"/>
      <c r="T467" s="20"/>
      <c r="U467" s="20"/>
      <c r="V467" s="20"/>
      <c r="W467" s="20"/>
      <c r="X467" s="20"/>
      <c r="Y467" s="20"/>
      <c r="Z467" s="20"/>
      <c r="AA467" s="20"/>
      <c r="AB467" s="20"/>
      <c r="AC467" s="20"/>
      <c r="AD467" s="20"/>
      <c r="AE467" s="20"/>
      <c r="AF467" s="20"/>
      <c r="AG467" s="20"/>
      <c r="AH467" s="20"/>
      <c r="AI467" s="20"/>
      <c r="AJ467" s="20"/>
      <c r="AK467" s="20"/>
      <c r="AL467" s="20"/>
      <c r="AM467" s="20"/>
      <c r="AN467" s="20"/>
      <c r="AO467" s="20"/>
      <c r="AP467" s="20"/>
      <c r="AQ467" s="20"/>
      <c r="AR467" s="20"/>
      <c r="AS467" s="20"/>
      <c r="AT467" s="20"/>
      <c r="AU467" s="20"/>
      <c r="AV467" s="20"/>
      <c r="AW467" s="20"/>
      <c r="AX467" s="20"/>
      <c r="AY467" s="20"/>
      <c r="AZ467" s="20"/>
      <c r="BA467" s="20"/>
      <c r="BB467" s="20"/>
      <c r="BC467" s="20"/>
    </row>
    <row r="468" ht="13.5" customHeight="1" spans="1:55">
      <c r="A468" s="20"/>
      <c r="B468" s="20"/>
      <c r="C468" s="20"/>
      <c r="D468" s="20"/>
      <c r="E468" s="20"/>
      <c r="F468" s="73"/>
      <c r="G468" s="52"/>
      <c r="H468" s="20"/>
      <c r="I468" s="20"/>
      <c r="J468" s="20"/>
      <c r="K468" s="20"/>
      <c r="L468" s="20"/>
      <c r="M468" s="20"/>
      <c r="N468" s="20"/>
      <c r="O468" s="20"/>
      <c r="P468" s="20"/>
      <c r="Q468" s="20"/>
      <c r="R468" s="20"/>
      <c r="S468" s="20"/>
      <c r="T468" s="20"/>
      <c r="U468" s="20"/>
      <c r="V468" s="20"/>
      <c r="W468" s="20"/>
      <c r="X468" s="20"/>
      <c r="Y468" s="20"/>
      <c r="Z468" s="20"/>
      <c r="AA468" s="20"/>
      <c r="AB468" s="20"/>
      <c r="AC468" s="20"/>
      <c r="AD468" s="20"/>
      <c r="AE468" s="20"/>
      <c r="AF468" s="20"/>
      <c r="AG468" s="20"/>
      <c r="AH468" s="20"/>
      <c r="AI468" s="20"/>
      <c r="AJ468" s="20"/>
      <c r="AK468" s="20"/>
      <c r="AL468" s="20"/>
      <c r="AM468" s="20"/>
      <c r="AN468" s="20"/>
      <c r="AO468" s="20"/>
      <c r="AP468" s="20"/>
      <c r="AQ468" s="20"/>
      <c r="AR468" s="20"/>
      <c r="AS468" s="20"/>
      <c r="AT468" s="20"/>
      <c r="AU468" s="20"/>
      <c r="AV468" s="20"/>
      <c r="AW468" s="20"/>
      <c r="AX468" s="20"/>
      <c r="AY468" s="20"/>
      <c r="AZ468" s="20"/>
      <c r="BA468" s="20"/>
      <c r="BB468" s="20"/>
      <c r="BC468" s="20"/>
    </row>
    <row r="469" ht="13.5" customHeight="1" spans="1:55">
      <c r="A469" s="20"/>
      <c r="B469" s="20"/>
      <c r="C469" s="20"/>
      <c r="D469" s="20"/>
      <c r="E469" s="20"/>
      <c r="F469" s="73"/>
      <c r="G469" s="52"/>
      <c r="H469" s="20"/>
      <c r="I469" s="20"/>
      <c r="J469" s="20"/>
      <c r="K469" s="20"/>
      <c r="L469" s="20"/>
      <c r="M469" s="20"/>
      <c r="N469" s="20"/>
      <c r="O469" s="20"/>
      <c r="P469" s="20"/>
      <c r="Q469" s="20"/>
      <c r="R469" s="20"/>
      <c r="S469" s="20"/>
      <c r="T469" s="20"/>
      <c r="U469" s="20"/>
      <c r="V469" s="20"/>
      <c r="W469" s="20"/>
      <c r="X469" s="20"/>
      <c r="Y469" s="20"/>
      <c r="Z469" s="20"/>
      <c r="AA469" s="20"/>
      <c r="AB469" s="20"/>
      <c r="AC469" s="20"/>
      <c r="AD469" s="20"/>
      <c r="AE469" s="20"/>
      <c r="AF469" s="20"/>
      <c r="AG469" s="20"/>
      <c r="AH469" s="20"/>
      <c r="AI469" s="20"/>
      <c r="AJ469" s="20"/>
      <c r="AK469" s="20"/>
      <c r="AL469" s="20"/>
      <c r="AM469" s="20"/>
      <c r="AN469" s="20"/>
      <c r="AO469" s="20"/>
      <c r="AP469" s="20"/>
      <c r="AQ469" s="20"/>
      <c r="AR469" s="20"/>
      <c r="AS469" s="20"/>
      <c r="AT469" s="20"/>
      <c r="AU469" s="20"/>
      <c r="AV469" s="20"/>
      <c r="AW469" s="20"/>
      <c r="AX469" s="20"/>
      <c r="AY469" s="20"/>
      <c r="AZ469" s="20"/>
      <c r="BA469" s="20"/>
      <c r="BB469" s="20"/>
      <c r="BC469" s="20"/>
    </row>
    <row r="470" ht="13.5" customHeight="1" spans="1:55">
      <c r="A470" s="20"/>
      <c r="B470" s="20"/>
      <c r="C470" s="20"/>
      <c r="D470" s="20"/>
      <c r="E470" s="20"/>
      <c r="F470" s="73"/>
      <c r="G470" s="52"/>
      <c r="H470" s="20"/>
      <c r="I470" s="20"/>
      <c r="J470" s="20"/>
      <c r="K470" s="20"/>
      <c r="L470" s="20"/>
      <c r="M470" s="20"/>
      <c r="N470" s="20"/>
      <c r="O470" s="20"/>
      <c r="P470" s="20"/>
      <c r="Q470" s="20"/>
      <c r="R470" s="20"/>
      <c r="S470" s="20"/>
      <c r="T470" s="20"/>
      <c r="U470" s="20"/>
      <c r="V470" s="20"/>
      <c r="W470" s="20"/>
      <c r="X470" s="20"/>
      <c r="Y470" s="20"/>
      <c r="Z470" s="20"/>
      <c r="AA470" s="20"/>
      <c r="AB470" s="20"/>
      <c r="AC470" s="20"/>
      <c r="AD470" s="20"/>
      <c r="AE470" s="20"/>
      <c r="AF470" s="20"/>
      <c r="AG470" s="20"/>
      <c r="AH470" s="20"/>
      <c r="AI470" s="20"/>
      <c r="AJ470" s="20"/>
      <c r="AK470" s="20"/>
      <c r="AL470" s="20"/>
      <c r="AM470" s="20"/>
      <c r="AN470" s="20"/>
      <c r="AO470" s="20"/>
      <c r="AP470" s="20"/>
      <c r="AQ470" s="20"/>
      <c r="AR470" s="20"/>
      <c r="AS470" s="20"/>
      <c r="AT470" s="20"/>
      <c r="AU470" s="20"/>
      <c r="AV470" s="20"/>
      <c r="AW470" s="20"/>
      <c r="AX470" s="20"/>
      <c r="AY470" s="20"/>
      <c r="AZ470" s="20"/>
      <c r="BA470" s="20"/>
      <c r="BB470" s="20"/>
      <c r="BC470" s="20"/>
    </row>
    <row r="471" ht="13.5" customHeight="1" spans="1:55">
      <c r="A471" s="20"/>
      <c r="B471" s="20"/>
      <c r="C471" s="20"/>
      <c r="D471" s="20"/>
      <c r="E471" s="20"/>
      <c r="F471" s="73"/>
      <c r="G471" s="52"/>
      <c r="H471" s="20"/>
      <c r="I471" s="20"/>
      <c r="J471" s="20"/>
      <c r="K471" s="20"/>
      <c r="L471" s="20"/>
      <c r="M471" s="20"/>
      <c r="N471" s="20"/>
      <c r="O471" s="20"/>
      <c r="P471" s="20"/>
      <c r="Q471" s="20"/>
      <c r="R471" s="20"/>
      <c r="S471" s="20"/>
      <c r="T471" s="20"/>
      <c r="U471" s="20"/>
      <c r="V471" s="20"/>
      <c r="W471" s="20"/>
      <c r="X471" s="20"/>
      <c r="Y471" s="20"/>
      <c r="Z471" s="20"/>
      <c r="AA471" s="20"/>
      <c r="AB471" s="20"/>
      <c r="AC471" s="20"/>
      <c r="AD471" s="20"/>
      <c r="AE471" s="20"/>
      <c r="AF471" s="20"/>
      <c r="AG471" s="20"/>
      <c r="AH471" s="20"/>
      <c r="AI471" s="20"/>
      <c r="AJ471" s="20"/>
      <c r="AK471" s="20"/>
      <c r="AL471" s="20"/>
      <c r="AM471" s="20"/>
      <c r="AN471" s="20"/>
      <c r="AO471" s="20"/>
      <c r="AP471" s="20"/>
      <c r="AQ471" s="20"/>
      <c r="AR471" s="20"/>
      <c r="AS471" s="20"/>
      <c r="AT471" s="20"/>
      <c r="AU471" s="20"/>
      <c r="AV471" s="20"/>
      <c r="AW471" s="20"/>
      <c r="AX471" s="20"/>
      <c r="AY471" s="20"/>
      <c r="AZ471" s="20"/>
      <c r="BA471" s="20"/>
      <c r="BB471" s="20"/>
      <c r="BC471" s="20"/>
    </row>
    <row r="472" ht="13.5" customHeight="1" spans="1:55">
      <c r="A472" s="20"/>
      <c r="B472" s="20"/>
      <c r="C472" s="20"/>
      <c r="D472" s="20"/>
      <c r="E472" s="20"/>
      <c r="F472" s="73"/>
      <c r="G472" s="52"/>
      <c r="H472" s="20"/>
      <c r="I472" s="20"/>
      <c r="J472" s="20"/>
      <c r="K472" s="20"/>
      <c r="L472" s="20"/>
      <c r="M472" s="20"/>
      <c r="N472" s="20"/>
      <c r="O472" s="20"/>
      <c r="P472" s="20"/>
      <c r="Q472" s="20"/>
      <c r="R472" s="20"/>
      <c r="S472" s="20"/>
      <c r="T472" s="20"/>
      <c r="U472" s="20"/>
      <c r="V472" s="20"/>
      <c r="W472" s="20"/>
      <c r="X472" s="20"/>
      <c r="Y472" s="20"/>
      <c r="Z472" s="20"/>
      <c r="AA472" s="20"/>
      <c r="AB472" s="20"/>
      <c r="AC472" s="20"/>
      <c r="AD472" s="20"/>
      <c r="AE472" s="20"/>
      <c r="AF472" s="20"/>
      <c r="AG472" s="20"/>
      <c r="AH472" s="20"/>
      <c r="AI472" s="20"/>
      <c r="AJ472" s="20"/>
      <c r="AK472" s="20"/>
      <c r="AL472" s="20"/>
      <c r="AM472" s="20"/>
      <c r="AN472" s="20"/>
      <c r="AO472" s="20"/>
      <c r="AP472" s="20"/>
      <c r="AQ472" s="20"/>
      <c r="AR472" s="20"/>
      <c r="AS472" s="20"/>
      <c r="AT472" s="20"/>
      <c r="AU472" s="20"/>
      <c r="AV472" s="20"/>
      <c r="AW472" s="20"/>
      <c r="AX472" s="20"/>
      <c r="AY472" s="20"/>
      <c r="AZ472" s="20"/>
      <c r="BA472" s="20"/>
      <c r="BB472" s="20"/>
      <c r="BC472" s="20"/>
    </row>
    <row r="473" ht="13.5" customHeight="1" spans="1:55">
      <c r="A473" s="20"/>
      <c r="B473" s="20"/>
      <c r="C473" s="20"/>
      <c r="D473" s="20"/>
      <c r="E473" s="20"/>
      <c r="F473" s="73"/>
      <c r="G473" s="52"/>
      <c r="H473" s="20"/>
      <c r="I473" s="20"/>
      <c r="J473" s="20"/>
      <c r="K473" s="20"/>
      <c r="L473" s="20"/>
      <c r="M473" s="20"/>
      <c r="N473" s="20"/>
      <c r="O473" s="20"/>
      <c r="P473" s="20"/>
      <c r="Q473" s="20"/>
      <c r="R473" s="20"/>
      <c r="S473" s="20"/>
      <c r="T473" s="20"/>
      <c r="U473" s="20"/>
      <c r="V473" s="20"/>
      <c r="W473" s="20"/>
      <c r="X473" s="20"/>
      <c r="Y473" s="20"/>
      <c r="Z473" s="20"/>
      <c r="AA473" s="20"/>
      <c r="AB473" s="20"/>
      <c r="AC473" s="20"/>
      <c r="AD473" s="20"/>
      <c r="AE473" s="20"/>
      <c r="AF473" s="20"/>
      <c r="AG473" s="20"/>
      <c r="AH473" s="20"/>
      <c r="AI473" s="20"/>
      <c r="AJ473" s="20"/>
      <c r="AK473" s="20"/>
      <c r="AL473" s="20"/>
      <c r="AM473" s="20"/>
      <c r="AN473" s="20"/>
      <c r="AO473" s="20"/>
      <c r="AP473" s="20"/>
      <c r="AQ473" s="20"/>
      <c r="AR473" s="20"/>
      <c r="AS473" s="20"/>
      <c r="AT473" s="20"/>
      <c r="AU473" s="20"/>
      <c r="AV473" s="20"/>
      <c r="AW473" s="20"/>
      <c r="AX473" s="20"/>
      <c r="AY473" s="20"/>
      <c r="AZ473" s="20"/>
      <c r="BA473" s="20"/>
      <c r="BB473" s="20"/>
      <c r="BC473" s="20"/>
    </row>
    <row r="474" ht="13.5" customHeight="1" spans="1:55">
      <c r="A474" s="20"/>
      <c r="B474" s="20"/>
      <c r="C474" s="20"/>
      <c r="D474" s="20"/>
      <c r="E474" s="20"/>
      <c r="F474" s="20"/>
      <c r="G474" s="52"/>
      <c r="H474" s="20"/>
      <c r="I474" s="20"/>
      <c r="J474" s="20"/>
      <c r="K474" s="20"/>
      <c r="L474" s="20"/>
      <c r="M474" s="20"/>
      <c r="N474" s="20"/>
      <c r="O474" s="20"/>
      <c r="P474" s="20"/>
      <c r="Q474" s="20"/>
      <c r="R474" s="20"/>
      <c r="S474" s="20"/>
      <c r="T474" s="20"/>
      <c r="U474" s="20"/>
      <c r="V474" s="20"/>
      <c r="W474" s="20"/>
      <c r="X474" s="20"/>
      <c r="Y474" s="20"/>
      <c r="Z474" s="20"/>
      <c r="AA474" s="20"/>
      <c r="AB474" s="20"/>
      <c r="AC474" s="20"/>
      <c r="AD474" s="20"/>
      <c r="AE474" s="20"/>
      <c r="AF474" s="20"/>
      <c r="AG474" s="20"/>
      <c r="AH474" s="20"/>
      <c r="AI474" s="20"/>
      <c r="AJ474" s="20"/>
      <c r="AK474" s="20"/>
      <c r="AL474" s="20"/>
      <c r="AM474" s="20"/>
      <c r="AN474" s="20"/>
      <c r="AO474" s="20"/>
      <c r="AP474" s="20"/>
      <c r="AQ474" s="20"/>
      <c r="AR474" s="20"/>
      <c r="AS474" s="20"/>
      <c r="AT474" s="20"/>
      <c r="AU474" s="20"/>
      <c r="AV474" s="20"/>
      <c r="AW474" s="20"/>
      <c r="AX474" s="20"/>
      <c r="AY474" s="20"/>
      <c r="AZ474" s="20"/>
      <c r="BA474" s="20"/>
      <c r="BB474" s="20"/>
      <c r="BC474" s="20"/>
    </row>
    <row r="475" ht="13.5" customHeight="1" spans="1:55">
      <c r="A475" s="20"/>
      <c r="B475" s="20"/>
      <c r="C475" s="20"/>
      <c r="D475" s="20"/>
      <c r="E475" s="20"/>
      <c r="F475" s="20"/>
      <c r="G475" s="52"/>
      <c r="H475" s="20"/>
      <c r="I475" s="20"/>
      <c r="J475" s="20"/>
      <c r="K475" s="20"/>
      <c r="L475" s="20"/>
      <c r="M475" s="20"/>
      <c r="N475" s="20"/>
      <c r="O475" s="20"/>
      <c r="P475" s="20"/>
      <c r="Q475" s="20"/>
      <c r="R475" s="20"/>
      <c r="S475" s="20"/>
      <c r="T475" s="20"/>
      <c r="U475" s="20"/>
      <c r="V475" s="20"/>
      <c r="W475" s="20"/>
      <c r="X475" s="20"/>
      <c r="Y475" s="20"/>
      <c r="Z475" s="20"/>
      <c r="AA475" s="20"/>
      <c r="AB475" s="20"/>
      <c r="AC475" s="20"/>
      <c r="AD475" s="20"/>
      <c r="AE475" s="20"/>
      <c r="AF475" s="20"/>
      <c r="AG475" s="20"/>
      <c r="AH475" s="20"/>
      <c r="AI475" s="20"/>
      <c r="AJ475" s="20"/>
      <c r="AK475" s="20"/>
      <c r="AL475" s="20"/>
      <c r="AM475" s="20"/>
      <c r="AN475" s="20"/>
      <c r="AO475" s="20"/>
      <c r="AP475" s="20"/>
      <c r="AQ475" s="20"/>
      <c r="AR475" s="20"/>
      <c r="AS475" s="20"/>
      <c r="AT475" s="20"/>
      <c r="AU475" s="20"/>
      <c r="AV475" s="20"/>
      <c r="AW475" s="20"/>
      <c r="AX475" s="20"/>
      <c r="AY475" s="20"/>
      <c r="AZ475" s="20"/>
      <c r="BA475" s="20"/>
      <c r="BB475" s="20"/>
      <c r="BC475" s="20"/>
    </row>
    <row r="476" ht="13.5" customHeight="1" spans="1:55">
      <c r="A476" s="20"/>
      <c r="B476" s="20"/>
      <c r="C476" s="20"/>
      <c r="D476" s="20"/>
      <c r="E476" s="20"/>
      <c r="F476" s="20"/>
      <c r="G476" s="52"/>
      <c r="H476" s="20"/>
      <c r="I476" s="20"/>
      <c r="J476" s="20"/>
      <c r="K476" s="20"/>
      <c r="L476" s="20"/>
      <c r="M476" s="20"/>
      <c r="N476" s="20"/>
      <c r="O476" s="20"/>
      <c r="P476" s="20"/>
      <c r="Q476" s="20"/>
      <c r="R476" s="20"/>
      <c r="S476" s="20"/>
      <c r="T476" s="20"/>
      <c r="U476" s="20"/>
      <c r="V476" s="20"/>
      <c r="W476" s="20"/>
      <c r="X476" s="20"/>
      <c r="Y476" s="20"/>
      <c r="Z476" s="20"/>
      <c r="AA476" s="20"/>
      <c r="AB476" s="20"/>
      <c r="AC476" s="20"/>
      <c r="AD476" s="20"/>
      <c r="AE476" s="20"/>
      <c r="AF476" s="20"/>
      <c r="AG476" s="20"/>
      <c r="AH476" s="20"/>
      <c r="AI476" s="20"/>
      <c r="AJ476" s="20"/>
      <c r="AK476" s="20"/>
      <c r="AL476" s="20"/>
      <c r="AM476" s="20"/>
      <c r="AN476" s="20"/>
      <c r="AO476" s="20"/>
      <c r="AP476" s="20"/>
      <c r="AQ476" s="20"/>
      <c r="AR476" s="20"/>
      <c r="AS476" s="20"/>
      <c r="AT476" s="20"/>
      <c r="AU476" s="20"/>
      <c r="AV476" s="20"/>
      <c r="AW476" s="20"/>
      <c r="AX476" s="20"/>
      <c r="AY476" s="20"/>
      <c r="AZ476" s="20"/>
      <c r="BA476" s="20"/>
      <c r="BB476" s="20"/>
      <c r="BC476" s="20"/>
    </row>
    <row r="477" ht="13.5" customHeight="1" spans="1:55">
      <c r="A477" s="20"/>
      <c r="B477" s="20"/>
      <c r="C477" s="20"/>
      <c r="D477" s="20"/>
      <c r="E477" s="20"/>
      <c r="F477" s="20"/>
      <c r="G477" s="52"/>
      <c r="H477" s="20"/>
      <c r="I477" s="20"/>
      <c r="J477" s="20"/>
      <c r="K477" s="20"/>
      <c r="L477" s="20"/>
      <c r="M477" s="20"/>
      <c r="N477" s="20"/>
      <c r="O477" s="20"/>
      <c r="P477" s="20"/>
      <c r="Q477" s="20"/>
      <c r="R477" s="20"/>
      <c r="S477" s="20"/>
      <c r="T477" s="20"/>
      <c r="U477" s="20"/>
      <c r="V477" s="20"/>
      <c r="W477" s="20"/>
      <c r="X477" s="20"/>
      <c r="Y477" s="20"/>
      <c r="Z477" s="20"/>
      <c r="AA477" s="20"/>
      <c r="AB477" s="20"/>
      <c r="AC477" s="20"/>
      <c r="AD477" s="20"/>
      <c r="AE477" s="20"/>
      <c r="AF477" s="20"/>
      <c r="AG477" s="20"/>
      <c r="AH477" s="20"/>
      <c r="AI477" s="20"/>
      <c r="AJ477" s="20"/>
      <c r="AK477" s="20"/>
      <c r="AL477" s="20"/>
      <c r="AM477" s="20"/>
      <c r="AN477" s="20"/>
      <c r="AO477" s="20"/>
      <c r="AP477" s="20"/>
      <c r="AQ477" s="20"/>
      <c r="AR477" s="20"/>
      <c r="AS477" s="20"/>
      <c r="AT477" s="20"/>
      <c r="AU477" s="20"/>
      <c r="AV477" s="20"/>
      <c r="AW477" s="20"/>
      <c r="AX477" s="20"/>
      <c r="AY477" s="20"/>
      <c r="AZ477" s="20"/>
      <c r="BA477" s="20"/>
      <c r="BB477" s="20"/>
      <c r="BC477" s="20"/>
    </row>
    <row r="478" ht="13.5" customHeight="1" spans="1:55">
      <c r="A478" s="20"/>
      <c r="B478" s="20"/>
      <c r="C478" s="20"/>
      <c r="D478" s="20"/>
      <c r="E478" s="20"/>
      <c r="F478" s="20"/>
      <c r="G478" s="52"/>
      <c r="H478" s="20"/>
      <c r="I478" s="20"/>
      <c r="J478" s="20"/>
      <c r="K478" s="20"/>
      <c r="L478" s="20"/>
      <c r="M478" s="20"/>
      <c r="N478" s="20"/>
      <c r="O478" s="20"/>
      <c r="P478" s="20"/>
      <c r="Q478" s="20"/>
      <c r="R478" s="20"/>
      <c r="S478" s="20"/>
      <c r="T478" s="20"/>
      <c r="U478" s="20"/>
      <c r="V478" s="20"/>
      <c r="W478" s="20"/>
      <c r="X478" s="20"/>
      <c r="Y478" s="20"/>
      <c r="Z478" s="20"/>
      <c r="AA478" s="20"/>
      <c r="AB478" s="20"/>
      <c r="AC478" s="20"/>
      <c r="AD478" s="20"/>
      <c r="AE478" s="20"/>
      <c r="AF478" s="20"/>
      <c r="AG478" s="20"/>
      <c r="AH478" s="20"/>
      <c r="AI478" s="20"/>
      <c r="AJ478" s="20"/>
      <c r="AK478" s="20"/>
      <c r="AL478" s="20"/>
      <c r="AM478" s="20"/>
      <c r="AN478" s="20"/>
      <c r="AO478" s="20"/>
      <c r="AP478" s="20"/>
      <c r="AQ478" s="20"/>
      <c r="AR478" s="20"/>
      <c r="AS478" s="20"/>
      <c r="AT478" s="20"/>
      <c r="AU478" s="20"/>
      <c r="AV478" s="20"/>
      <c r="AW478" s="20"/>
      <c r="AX478" s="20"/>
      <c r="AY478" s="20"/>
      <c r="AZ478" s="20"/>
      <c r="BA478" s="20"/>
      <c r="BB478" s="20"/>
      <c r="BC478" s="20"/>
    </row>
    <row r="479" ht="13.5" customHeight="1" spans="1:55">
      <c r="A479" s="20"/>
      <c r="B479" s="20"/>
      <c r="C479" s="20"/>
      <c r="D479" s="20"/>
      <c r="E479" s="20"/>
      <c r="F479" s="20"/>
      <c r="G479" s="52"/>
      <c r="H479" s="20"/>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row>
    <row r="480" ht="13.5" customHeight="1" spans="1:55">
      <c r="A480" s="20"/>
      <c r="B480" s="20"/>
      <c r="C480" s="20"/>
      <c r="D480" s="20"/>
      <c r="E480" s="20"/>
      <c r="F480" s="20"/>
      <c r="G480" s="52"/>
      <c r="H480" s="20"/>
      <c r="I480" s="20"/>
      <c r="J480" s="20"/>
      <c r="K480" s="20"/>
      <c r="L480" s="20"/>
      <c r="M480" s="20"/>
      <c r="N480" s="20"/>
      <c r="O480" s="20"/>
      <c r="P480" s="20"/>
      <c r="Q480" s="20"/>
      <c r="R480" s="20"/>
      <c r="S480" s="20"/>
      <c r="T480" s="20"/>
      <c r="U480" s="20"/>
      <c r="V480" s="20"/>
      <c r="W480" s="20"/>
      <c r="X480" s="20"/>
      <c r="Y480" s="20"/>
      <c r="Z480" s="20"/>
      <c r="AA480" s="20"/>
      <c r="AB480" s="20"/>
      <c r="AC480" s="20"/>
      <c r="AD480" s="20"/>
      <c r="AE480" s="20"/>
      <c r="AF480" s="20"/>
      <c r="AG480" s="20"/>
      <c r="AH480" s="20"/>
      <c r="AI480" s="20"/>
      <c r="AJ480" s="20"/>
      <c r="AK480" s="20"/>
      <c r="AL480" s="20"/>
      <c r="AM480" s="20"/>
      <c r="AN480" s="20"/>
      <c r="AO480" s="20"/>
      <c r="AP480" s="20"/>
      <c r="AQ480" s="20"/>
      <c r="AR480" s="20"/>
      <c r="AS480" s="20"/>
      <c r="AT480" s="20"/>
      <c r="AU480" s="20"/>
      <c r="AV480" s="20"/>
      <c r="AW480" s="20"/>
      <c r="AX480" s="20"/>
      <c r="AY480" s="20"/>
      <c r="AZ480" s="20"/>
      <c r="BA480" s="20"/>
      <c r="BB480" s="20"/>
      <c r="BC480" s="20"/>
    </row>
    <row r="481" ht="13.5" customHeight="1" spans="1:55">
      <c r="A481" s="20"/>
      <c r="B481" s="20"/>
      <c r="C481" s="20"/>
      <c r="D481" s="20"/>
      <c r="E481" s="20"/>
      <c r="F481" s="20"/>
      <c r="G481" s="52"/>
      <c r="H481" s="20"/>
      <c r="I481" s="20"/>
      <c r="J481" s="20"/>
      <c r="K481" s="20"/>
      <c r="L481" s="20"/>
      <c r="M481" s="20"/>
      <c r="N481" s="20"/>
      <c r="O481" s="20"/>
      <c r="P481" s="20"/>
      <c r="Q481" s="20"/>
      <c r="R481" s="20"/>
      <c r="S481" s="20"/>
      <c r="T481" s="20"/>
      <c r="U481" s="20"/>
      <c r="V481" s="20"/>
      <c r="W481" s="20"/>
      <c r="X481" s="20"/>
      <c r="Y481" s="20"/>
      <c r="Z481" s="20"/>
      <c r="AA481" s="20"/>
      <c r="AB481" s="20"/>
      <c r="AC481" s="20"/>
      <c r="AD481" s="20"/>
      <c r="AE481" s="20"/>
      <c r="AF481" s="20"/>
      <c r="AG481" s="20"/>
      <c r="AH481" s="20"/>
      <c r="AI481" s="20"/>
      <c r="AJ481" s="20"/>
      <c r="AK481" s="20"/>
      <c r="AL481" s="20"/>
      <c r="AM481" s="20"/>
      <c r="AN481" s="20"/>
      <c r="AO481" s="20"/>
      <c r="AP481" s="20"/>
      <c r="AQ481" s="20"/>
      <c r="AR481" s="20"/>
      <c r="AS481" s="20"/>
      <c r="AT481" s="20"/>
      <c r="AU481" s="20"/>
      <c r="AV481" s="20"/>
      <c r="AW481" s="20"/>
      <c r="AX481" s="20"/>
      <c r="AY481" s="20"/>
      <c r="AZ481" s="20"/>
      <c r="BA481" s="20"/>
      <c r="BB481" s="20"/>
      <c r="BC481" s="20"/>
    </row>
    <row r="482" ht="13.5" customHeight="1" spans="1:55">
      <c r="A482" s="20"/>
      <c r="B482" s="20"/>
      <c r="C482" s="20"/>
      <c r="D482" s="20"/>
      <c r="E482" s="20"/>
      <c r="F482" s="20"/>
      <c r="G482" s="52"/>
      <c r="H482" s="20"/>
      <c r="I482" s="20"/>
      <c r="J482" s="20"/>
      <c r="K482" s="20"/>
      <c r="L482" s="20"/>
      <c r="M482" s="20"/>
      <c r="N482" s="20"/>
      <c r="O482" s="20"/>
      <c r="P482" s="20"/>
      <c r="Q482" s="20"/>
      <c r="R482" s="20"/>
      <c r="S482" s="20"/>
      <c r="T482" s="20"/>
      <c r="U482" s="20"/>
      <c r="V482" s="20"/>
      <c r="W482" s="20"/>
      <c r="X482" s="20"/>
      <c r="Y482" s="20"/>
      <c r="Z482" s="20"/>
      <c r="AA482" s="20"/>
      <c r="AB482" s="20"/>
      <c r="AC482" s="20"/>
      <c r="AD482" s="20"/>
      <c r="AE482" s="20"/>
      <c r="AF482" s="20"/>
      <c r="AG482" s="20"/>
      <c r="AH482" s="20"/>
      <c r="AI482" s="20"/>
      <c r="AJ482" s="20"/>
      <c r="AK482" s="20"/>
      <c r="AL482" s="20"/>
      <c r="AM482" s="20"/>
      <c r="AN482" s="20"/>
      <c r="AO482" s="20"/>
      <c r="AP482" s="20"/>
      <c r="AQ482" s="20"/>
      <c r="AR482" s="20"/>
      <c r="AS482" s="20"/>
      <c r="AT482" s="20"/>
      <c r="AU482" s="20"/>
      <c r="AV482" s="20"/>
      <c r="AW482" s="20"/>
      <c r="AX482" s="20"/>
      <c r="AY482" s="20"/>
      <c r="AZ482" s="20"/>
      <c r="BA482" s="20"/>
      <c r="BB482" s="20"/>
      <c r="BC482" s="20"/>
    </row>
    <row r="483" ht="13.5" customHeight="1" spans="1:55">
      <c r="A483" s="20"/>
      <c r="B483" s="20"/>
      <c r="C483" s="20"/>
      <c r="D483" s="20"/>
      <c r="E483" s="20"/>
      <c r="F483" s="20"/>
      <c r="G483" s="52"/>
      <c r="H483" s="20"/>
      <c r="I483" s="20"/>
      <c r="J483" s="20"/>
      <c r="K483" s="20"/>
      <c r="L483" s="20"/>
      <c r="M483" s="20"/>
      <c r="N483" s="20"/>
      <c r="O483" s="20"/>
      <c r="P483" s="20"/>
      <c r="Q483" s="20"/>
      <c r="R483" s="20"/>
      <c r="S483" s="20"/>
      <c r="T483" s="20"/>
      <c r="U483" s="20"/>
      <c r="V483" s="20"/>
      <c r="W483" s="20"/>
      <c r="X483" s="20"/>
      <c r="Y483" s="20"/>
      <c r="Z483" s="20"/>
      <c r="AA483" s="20"/>
      <c r="AB483" s="20"/>
      <c r="AC483" s="20"/>
      <c r="AD483" s="20"/>
      <c r="AE483" s="20"/>
      <c r="AF483" s="20"/>
      <c r="AG483" s="20"/>
      <c r="AH483" s="20"/>
      <c r="AI483" s="20"/>
      <c r="AJ483" s="20"/>
      <c r="AK483" s="20"/>
      <c r="AL483" s="20"/>
      <c r="AM483" s="20"/>
      <c r="AN483" s="20"/>
      <c r="AO483" s="20"/>
      <c r="AP483" s="20"/>
      <c r="AQ483" s="20"/>
      <c r="AR483" s="20"/>
      <c r="AS483" s="20"/>
      <c r="AT483" s="20"/>
      <c r="AU483" s="20"/>
      <c r="AV483" s="20"/>
      <c r="AW483" s="20"/>
      <c r="AX483" s="20"/>
      <c r="AY483" s="20"/>
      <c r="AZ483" s="20"/>
      <c r="BA483" s="20"/>
      <c r="BB483" s="20"/>
      <c r="BC483" s="20"/>
    </row>
    <row r="484" ht="13.5" customHeight="1" spans="1:55">
      <c r="A484" s="20"/>
      <c r="B484" s="20"/>
      <c r="C484" s="20"/>
      <c r="D484" s="20"/>
      <c r="E484" s="20"/>
      <c r="F484" s="20"/>
      <c r="G484" s="52"/>
      <c r="H484" s="20"/>
      <c r="I484" s="20"/>
      <c r="J484" s="20"/>
      <c r="K484" s="20"/>
      <c r="L484" s="20"/>
      <c r="M484" s="20"/>
      <c r="N484" s="20"/>
      <c r="O484" s="20"/>
      <c r="P484" s="20"/>
      <c r="Q484" s="20"/>
      <c r="R484" s="20"/>
      <c r="S484" s="20"/>
      <c r="T484" s="20"/>
      <c r="U484" s="20"/>
      <c r="V484" s="20"/>
      <c r="W484" s="20"/>
      <c r="X484" s="20"/>
      <c r="Y484" s="20"/>
      <c r="Z484" s="20"/>
      <c r="AA484" s="20"/>
      <c r="AB484" s="20"/>
      <c r="AC484" s="20"/>
      <c r="AD484" s="20"/>
      <c r="AE484" s="20"/>
      <c r="AF484" s="20"/>
      <c r="AG484" s="20"/>
      <c r="AH484" s="20"/>
      <c r="AI484" s="20"/>
      <c r="AJ484" s="20"/>
      <c r="AK484" s="20"/>
      <c r="AL484" s="20"/>
      <c r="AM484" s="20"/>
      <c r="AN484" s="20"/>
      <c r="AO484" s="20"/>
      <c r="AP484" s="20"/>
      <c r="AQ484" s="20"/>
      <c r="AR484" s="20"/>
      <c r="AS484" s="20"/>
      <c r="AT484" s="20"/>
      <c r="AU484" s="20"/>
      <c r="AV484" s="20"/>
      <c r="AW484" s="20"/>
      <c r="AX484" s="20"/>
      <c r="AY484" s="20"/>
      <c r="AZ484" s="20"/>
      <c r="BA484" s="20"/>
      <c r="BB484" s="20"/>
      <c r="BC484" s="20"/>
    </row>
    <row r="485" ht="13.5" customHeight="1" spans="1:55">
      <c r="A485" s="20"/>
      <c r="B485" s="20"/>
      <c r="C485" s="20"/>
      <c r="D485" s="20"/>
      <c r="E485" s="20"/>
      <c r="F485" s="20"/>
      <c r="G485" s="52"/>
      <c r="H485" s="20"/>
      <c r="I485" s="20"/>
      <c r="J485" s="20"/>
      <c r="K485" s="20"/>
      <c r="L485" s="20"/>
      <c r="M485" s="20"/>
      <c r="N485" s="20"/>
      <c r="O485" s="20"/>
      <c r="P485" s="20"/>
      <c r="Q485" s="20"/>
      <c r="R485" s="20"/>
      <c r="S485" s="20"/>
      <c r="T485" s="20"/>
      <c r="U485" s="20"/>
      <c r="V485" s="20"/>
      <c r="W485" s="20"/>
      <c r="X485" s="20"/>
      <c r="Y485" s="20"/>
      <c r="Z485" s="20"/>
      <c r="AA485" s="20"/>
      <c r="AB485" s="20"/>
      <c r="AC485" s="20"/>
      <c r="AD485" s="20"/>
      <c r="AE485" s="20"/>
      <c r="AF485" s="20"/>
      <c r="AG485" s="20"/>
      <c r="AH485" s="20"/>
      <c r="AI485" s="20"/>
      <c r="AJ485" s="20"/>
      <c r="AK485" s="20"/>
      <c r="AL485" s="20"/>
      <c r="AM485" s="20"/>
      <c r="AN485" s="20"/>
      <c r="AO485" s="20"/>
      <c r="AP485" s="20"/>
      <c r="AQ485" s="20"/>
      <c r="AR485" s="20"/>
      <c r="AS485" s="20"/>
      <c r="AT485" s="20"/>
      <c r="AU485" s="20"/>
      <c r="AV485" s="20"/>
      <c r="AW485" s="20"/>
      <c r="AX485" s="20"/>
      <c r="AY485" s="20"/>
      <c r="AZ485" s="20"/>
      <c r="BA485" s="20"/>
      <c r="BB485" s="20"/>
      <c r="BC485" s="20"/>
    </row>
    <row r="486" ht="13.5" customHeight="1" spans="1:55">
      <c r="A486" s="20"/>
      <c r="B486" s="20"/>
      <c r="C486" s="20"/>
      <c r="D486" s="20"/>
      <c r="E486" s="20"/>
      <c r="F486" s="20"/>
      <c r="G486" s="52"/>
      <c r="H486" s="20"/>
      <c r="I486" s="20"/>
      <c r="J486" s="20"/>
      <c r="K486" s="20"/>
      <c r="L486" s="20"/>
      <c r="M486" s="20"/>
      <c r="N486" s="20"/>
      <c r="O486" s="20"/>
      <c r="P486" s="20"/>
      <c r="Q486" s="20"/>
      <c r="R486" s="20"/>
      <c r="S486" s="20"/>
      <c r="T486" s="20"/>
      <c r="U486" s="20"/>
      <c r="V486" s="20"/>
      <c r="W486" s="20"/>
      <c r="X486" s="20"/>
      <c r="Y486" s="20"/>
      <c r="Z486" s="20"/>
      <c r="AA486" s="20"/>
      <c r="AB486" s="20"/>
      <c r="AC486" s="20"/>
      <c r="AD486" s="20"/>
      <c r="AE486" s="20"/>
      <c r="AF486" s="20"/>
      <c r="AG486" s="20"/>
      <c r="AH486" s="20"/>
      <c r="AI486" s="20"/>
      <c r="AJ486" s="20"/>
      <c r="AK486" s="20"/>
      <c r="AL486" s="20"/>
      <c r="AM486" s="20"/>
      <c r="AN486" s="20"/>
      <c r="AO486" s="20"/>
      <c r="AP486" s="20"/>
      <c r="AQ486" s="20"/>
      <c r="AR486" s="20"/>
      <c r="AS486" s="20"/>
      <c r="AT486" s="20"/>
      <c r="AU486" s="20"/>
      <c r="AV486" s="20"/>
      <c r="AW486" s="20"/>
      <c r="AX486" s="20"/>
      <c r="AY486" s="20"/>
      <c r="AZ486" s="20"/>
      <c r="BA486" s="20"/>
      <c r="BB486" s="20"/>
      <c r="BC486" s="20"/>
    </row>
    <row r="487" ht="13.5" customHeight="1" spans="1:55">
      <c r="A487" s="20"/>
      <c r="B487" s="20"/>
      <c r="C487" s="20"/>
      <c r="D487" s="20"/>
      <c r="E487" s="20"/>
      <c r="F487" s="20"/>
      <c r="G487" s="52"/>
      <c r="H487" s="20"/>
      <c r="I487" s="20"/>
      <c r="J487" s="20"/>
      <c r="K487" s="20"/>
      <c r="L487" s="20"/>
      <c r="M487" s="20"/>
      <c r="N487" s="20"/>
      <c r="O487" s="20"/>
      <c r="P487" s="20"/>
      <c r="Q487" s="20"/>
      <c r="R487" s="20"/>
      <c r="S487" s="20"/>
      <c r="T487" s="20"/>
      <c r="U487" s="20"/>
      <c r="V487" s="20"/>
      <c r="W487" s="20"/>
      <c r="X487" s="20"/>
      <c r="Y487" s="20"/>
      <c r="Z487" s="20"/>
      <c r="AA487" s="20"/>
      <c r="AB487" s="20"/>
      <c r="AC487" s="20"/>
      <c r="AD487" s="20"/>
      <c r="AE487" s="20"/>
      <c r="AF487" s="20"/>
      <c r="AG487" s="20"/>
      <c r="AH487" s="20"/>
      <c r="AI487" s="20"/>
      <c r="AJ487" s="20"/>
      <c r="AK487" s="20"/>
      <c r="AL487" s="20"/>
      <c r="AM487" s="20"/>
      <c r="AN487" s="20"/>
      <c r="AO487" s="20"/>
      <c r="AP487" s="20"/>
      <c r="AQ487" s="20"/>
      <c r="AR487" s="20"/>
      <c r="AS487" s="20"/>
      <c r="AT487" s="20"/>
      <c r="AU487" s="20"/>
      <c r="AV487" s="20"/>
      <c r="AW487" s="20"/>
      <c r="AX487" s="20"/>
      <c r="AY487" s="20"/>
      <c r="AZ487" s="20"/>
      <c r="BA487" s="20"/>
      <c r="BB487" s="20"/>
      <c r="BC487" s="20"/>
    </row>
    <row r="488" ht="13.5" customHeight="1" spans="1:55">
      <c r="A488" s="20"/>
      <c r="B488" s="20"/>
      <c r="C488" s="20"/>
      <c r="D488" s="20"/>
      <c r="E488" s="20"/>
      <c r="F488" s="20"/>
      <c r="G488" s="52"/>
      <c r="H488" s="20"/>
      <c r="I488" s="20"/>
      <c r="J488" s="20"/>
      <c r="K488" s="20"/>
      <c r="L488" s="20"/>
      <c r="M488" s="20"/>
      <c r="N488" s="20"/>
      <c r="O488" s="20"/>
      <c r="P488" s="20"/>
      <c r="Q488" s="20"/>
      <c r="R488" s="20"/>
      <c r="S488" s="20"/>
      <c r="T488" s="20"/>
      <c r="U488" s="20"/>
      <c r="V488" s="20"/>
      <c r="W488" s="20"/>
      <c r="X488" s="20"/>
      <c r="Y488" s="20"/>
      <c r="Z488" s="20"/>
      <c r="AA488" s="20"/>
      <c r="AB488" s="20"/>
      <c r="AC488" s="20"/>
      <c r="AD488" s="20"/>
      <c r="AE488" s="20"/>
      <c r="AF488" s="20"/>
      <c r="AG488" s="20"/>
      <c r="AH488" s="20"/>
      <c r="AI488" s="20"/>
      <c r="AJ488" s="20"/>
      <c r="AK488" s="20"/>
      <c r="AL488" s="20"/>
      <c r="AM488" s="20"/>
      <c r="AN488" s="20"/>
      <c r="AO488" s="20"/>
      <c r="AP488" s="20"/>
      <c r="AQ488" s="20"/>
      <c r="AR488" s="20"/>
      <c r="AS488" s="20"/>
      <c r="AT488" s="20"/>
      <c r="AU488" s="20"/>
      <c r="AV488" s="20"/>
      <c r="AW488" s="20"/>
      <c r="AX488" s="20"/>
      <c r="AY488" s="20"/>
      <c r="AZ488" s="20"/>
      <c r="BA488" s="20"/>
      <c r="BB488" s="20"/>
      <c r="BC488" s="20"/>
    </row>
    <row r="489" ht="13.5" customHeight="1" spans="1:55">
      <c r="A489" s="20"/>
      <c r="B489" s="20"/>
      <c r="C489" s="20"/>
      <c r="D489" s="20"/>
      <c r="E489" s="20"/>
      <c r="F489" s="20"/>
      <c r="G489" s="52"/>
      <c r="H489" s="20"/>
      <c r="I489" s="20"/>
      <c r="J489" s="20"/>
      <c r="K489" s="20"/>
      <c r="L489" s="20"/>
      <c r="M489" s="20"/>
      <c r="N489" s="20"/>
      <c r="O489" s="20"/>
      <c r="P489" s="20"/>
      <c r="Q489" s="20"/>
      <c r="R489" s="20"/>
      <c r="S489" s="20"/>
      <c r="T489" s="20"/>
      <c r="U489" s="20"/>
      <c r="V489" s="20"/>
      <c r="W489" s="20"/>
      <c r="X489" s="20"/>
      <c r="Y489" s="20"/>
      <c r="Z489" s="20"/>
      <c r="AA489" s="20"/>
      <c r="AB489" s="20"/>
      <c r="AC489" s="20"/>
      <c r="AD489" s="20"/>
      <c r="AE489" s="20"/>
      <c r="AF489" s="20"/>
      <c r="AG489" s="20"/>
      <c r="AH489" s="20"/>
      <c r="AI489" s="20"/>
      <c r="AJ489" s="20"/>
      <c r="AK489" s="20"/>
      <c r="AL489" s="20"/>
      <c r="AM489" s="20"/>
      <c r="AN489" s="20"/>
      <c r="AO489" s="20"/>
      <c r="AP489" s="20"/>
      <c r="AQ489" s="20"/>
      <c r="AR489" s="20"/>
      <c r="AS489" s="20"/>
      <c r="AT489" s="20"/>
      <c r="AU489" s="20"/>
      <c r="AV489" s="20"/>
      <c r="AW489" s="20"/>
      <c r="AX489" s="20"/>
      <c r="AY489" s="20"/>
      <c r="AZ489" s="20"/>
      <c r="BA489" s="20"/>
      <c r="BB489" s="20"/>
      <c r="BC489" s="20"/>
    </row>
    <row r="490" ht="13.5" customHeight="1" spans="1:55">
      <c r="A490" s="20"/>
      <c r="B490" s="20"/>
      <c r="C490" s="20"/>
      <c r="D490" s="20"/>
      <c r="E490" s="20"/>
      <c r="F490" s="20"/>
      <c r="G490" s="52"/>
      <c r="H490" s="20"/>
      <c r="I490" s="20"/>
      <c r="J490" s="20"/>
      <c r="K490" s="20"/>
      <c r="L490" s="20"/>
      <c r="M490" s="20"/>
      <c r="N490" s="20"/>
      <c r="O490" s="20"/>
      <c r="P490" s="20"/>
      <c r="Q490" s="20"/>
      <c r="R490" s="20"/>
      <c r="S490" s="20"/>
      <c r="T490" s="20"/>
      <c r="U490" s="20"/>
      <c r="V490" s="20"/>
      <c r="W490" s="20"/>
      <c r="X490" s="20"/>
      <c r="Y490" s="20"/>
      <c r="Z490" s="20"/>
      <c r="AA490" s="20"/>
      <c r="AB490" s="20"/>
      <c r="AC490" s="20"/>
      <c r="AD490" s="20"/>
      <c r="AE490" s="20"/>
      <c r="AF490" s="20"/>
      <c r="AG490" s="20"/>
      <c r="AH490" s="20"/>
      <c r="AI490" s="20"/>
      <c r="AJ490" s="20"/>
      <c r="AK490" s="20"/>
      <c r="AL490" s="20"/>
      <c r="AM490" s="20"/>
      <c r="AN490" s="20"/>
      <c r="AO490" s="20"/>
      <c r="AP490" s="20"/>
      <c r="AQ490" s="20"/>
      <c r="AR490" s="20"/>
      <c r="AS490" s="20"/>
      <c r="AT490" s="20"/>
      <c r="AU490" s="20"/>
      <c r="AV490" s="20"/>
      <c r="AW490" s="20"/>
      <c r="AX490" s="20"/>
      <c r="AY490" s="20"/>
      <c r="AZ490" s="20"/>
      <c r="BA490" s="20"/>
      <c r="BB490" s="20"/>
      <c r="BC490" s="20"/>
    </row>
    <row r="491" ht="13.5" customHeight="1" spans="1:55">
      <c r="A491" s="20"/>
      <c r="B491" s="20"/>
      <c r="C491" s="20"/>
      <c r="D491" s="20"/>
      <c r="E491" s="20"/>
      <c r="F491" s="20"/>
      <c r="G491" s="52"/>
      <c r="H491" s="20"/>
      <c r="I491" s="20"/>
      <c r="J491" s="20"/>
      <c r="K491" s="20"/>
      <c r="L491" s="20"/>
      <c r="M491" s="20"/>
      <c r="N491" s="20"/>
      <c r="O491" s="20"/>
      <c r="P491" s="20"/>
      <c r="Q491" s="20"/>
      <c r="R491" s="20"/>
      <c r="S491" s="20"/>
      <c r="T491" s="20"/>
      <c r="U491" s="20"/>
      <c r="V491" s="20"/>
      <c r="W491" s="20"/>
      <c r="X491" s="20"/>
      <c r="Y491" s="20"/>
      <c r="Z491" s="20"/>
      <c r="AA491" s="20"/>
      <c r="AB491" s="20"/>
      <c r="AC491" s="20"/>
      <c r="AD491" s="20"/>
      <c r="AE491" s="20"/>
      <c r="AF491" s="20"/>
      <c r="AG491" s="20"/>
      <c r="AH491" s="20"/>
      <c r="AI491" s="20"/>
      <c r="AJ491" s="20"/>
      <c r="AK491" s="20"/>
      <c r="AL491" s="20"/>
      <c r="AM491" s="20"/>
      <c r="AN491" s="20"/>
      <c r="AO491" s="20"/>
      <c r="AP491" s="20"/>
      <c r="AQ491" s="20"/>
      <c r="AR491" s="20"/>
      <c r="AS491" s="20"/>
      <c r="AT491" s="20"/>
      <c r="AU491" s="20"/>
      <c r="AV491" s="20"/>
      <c r="AW491" s="20"/>
      <c r="AX491" s="20"/>
      <c r="AY491" s="20"/>
      <c r="AZ491" s="20"/>
      <c r="BA491" s="20"/>
      <c r="BB491" s="20"/>
      <c r="BC491" s="20"/>
    </row>
    <row r="492" ht="13.5" customHeight="1" spans="1:55">
      <c r="A492" s="20"/>
      <c r="B492" s="20"/>
      <c r="C492" s="20"/>
      <c r="D492" s="20"/>
      <c r="E492" s="20"/>
      <c r="F492" s="20"/>
      <c r="G492" s="52"/>
      <c r="H492" s="20"/>
      <c r="I492" s="20"/>
      <c r="J492" s="20"/>
      <c r="K492" s="20"/>
      <c r="L492" s="20"/>
      <c r="M492" s="20"/>
      <c r="N492" s="20"/>
      <c r="O492" s="20"/>
      <c r="P492" s="20"/>
      <c r="Q492" s="20"/>
      <c r="R492" s="20"/>
      <c r="S492" s="20"/>
      <c r="T492" s="20"/>
      <c r="U492" s="20"/>
      <c r="V492" s="20"/>
      <c r="W492" s="20"/>
      <c r="X492" s="20"/>
      <c r="Y492" s="20"/>
      <c r="Z492" s="20"/>
      <c r="AA492" s="20"/>
      <c r="AB492" s="20"/>
      <c r="AC492" s="20"/>
      <c r="AD492" s="20"/>
      <c r="AE492" s="20"/>
      <c r="AF492" s="20"/>
      <c r="AG492" s="20"/>
      <c r="AH492" s="20"/>
      <c r="AI492" s="20"/>
      <c r="AJ492" s="20"/>
      <c r="AK492" s="20"/>
      <c r="AL492" s="20"/>
      <c r="AM492" s="20"/>
      <c r="AN492" s="20"/>
      <c r="AO492" s="20"/>
      <c r="AP492" s="20"/>
      <c r="AQ492" s="20"/>
      <c r="AR492" s="20"/>
      <c r="AS492" s="20"/>
      <c r="AT492" s="20"/>
      <c r="AU492" s="20"/>
      <c r="AV492" s="20"/>
      <c r="AW492" s="20"/>
      <c r="AX492" s="20"/>
      <c r="AY492" s="20"/>
      <c r="AZ492" s="20"/>
      <c r="BA492" s="20"/>
      <c r="BB492" s="20"/>
      <c r="BC492" s="20"/>
    </row>
    <row r="493" ht="13.5" customHeight="1" spans="1:55">
      <c r="A493" s="20"/>
      <c r="B493" s="20"/>
      <c r="C493" s="20"/>
      <c r="D493" s="20"/>
      <c r="E493" s="20"/>
      <c r="F493" s="20"/>
      <c r="G493" s="52"/>
      <c r="H493" s="20"/>
      <c r="I493" s="20"/>
      <c r="J493" s="20"/>
      <c r="K493" s="20"/>
      <c r="L493" s="20"/>
      <c r="M493" s="20"/>
      <c r="N493" s="20"/>
      <c r="O493" s="20"/>
      <c r="P493" s="20"/>
      <c r="Q493" s="20"/>
      <c r="R493" s="20"/>
      <c r="S493" s="20"/>
      <c r="T493" s="20"/>
      <c r="U493" s="20"/>
      <c r="V493" s="20"/>
      <c r="W493" s="20"/>
      <c r="X493" s="20"/>
      <c r="Y493" s="20"/>
      <c r="Z493" s="20"/>
      <c r="AA493" s="20"/>
      <c r="AB493" s="20"/>
      <c r="AC493" s="20"/>
      <c r="AD493" s="20"/>
      <c r="AE493" s="20"/>
      <c r="AF493" s="20"/>
      <c r="AG493" s="20"/>
      <c r="AH493" s="20"/>
      <c r="AI493" s="20"/>
      <c r="AJ493" s="20"/>
      <c r="AK493" s="20"/>
      <c r="AL493" s="20"/>
      <c r="AM493" s="20"/>
      <c r="AN493" s="20"/>
      <c r="AO493" s="20"/>
      <c r="AP493" s="20"/>
      <c r="AQ493" s="20"/>
      <c r="AR493" s="20"/>
      <c r="AS493" s="20"/>
      <c r="AT493" s="20"/>
      <c r="AU493" s="20"/>
      <c r="AV493" s="20"/>
      <c r="AW493" s="20"/>
      <c r="AX493" s="20"/>
      <c r="AY493" s="20"/>
      <c r="AZ493" s="20"/>
      <c r="BA493" s="20"/>
      <c r="BB493" s="20"/>
      <c r="BC493" s="20"/>
    </row>
    <row r="494" ht="13.5" customHeight="1" spans="1:55">
      <c r="A494" s="20"/>
      <c r="B494" s="20"/>
      <c r="C494" s="20"/>
      <c r="D494" s="20"/>
      <c r="E494" s="20"/>
      <c r="F494" s="20"/>
      <c r="G494" s="52"/>
      <c r="H494" s="20"/>
      <c r="I494" s="20"/>
      <c r="J494" s="20"/>
      <c r="K494" s="20"/>
      <c r="L494" s="20"/>
      <c r="M494" s="20"/>
      <c r="N494" s="20"/>
      <c r="O494" s="20"/>
      <c r="P494" s="20"/>
      <c r="Q494" s="20"/>
      <c r="R494" s="20"/>
      <c r="S494" s="20"/>
      <c r="T494" s="20"/>
      <c r="U494" s="20"/>
      <c r="V494" s="20"/>
      <c r="W494" s="20"/>
      <c r="X494" s="20"/>
      <c r="Y494" s="20"/>
      <c r="Z494" s="20"/>
      <c r="AA494" s="20"/>
      <c r="AB494" s="20"/>
      <c r="AC494" s="20"/>
      <c r="AD494" s="20"/>
      <c r="AE494" s="20"/>
      <c r="AF494" s="20"/>
      <c r="AG494" s="20"/>
      <c r="AH494" s="20"/>
      <c r="AI494" s="20"/>
      <c r="AJ494" s="20"/>
      <c r="AK494" s="20"/>
      <c r="AL494" s="20"/>
      <c r="AM494" s="20"/>
      <c r="AN494" s="20"/>
      <c r="AO494" s="20"/>
      <c r="AP494" s="20"/>
      <c r="AQ494" s="20"/>
      <c r="AR494" s="20"/>
      <c r="AS494" s="20"/>
      <c r="AT494" s="20"/>
      <c r="AU494" s="20"/>
      <c r="AV494" s="20"/>
      <c r="AW494" s="20"/>
      <c r="AX494" s="20"/>
      <c r="AY494" s="20"/>
      <c r="AZ494" s="20"/>
      <c r="BA494" s="20"/>
      <c r="BB494" s="20"/>
      <c r="BC494" s="20"/>
    </row>
    <row r="495" ht="13.5" customHeight="1" spans="1:55">
      <c r="A495" s="20"/>
      <c r="B495" s="20"/>
      <c r="C495" s="20"/>
      <c r="D495" s="20"/>
      <c r="E495" s="20"/>
      <c r="F495" s="20"/>
      <c r="G495" s="52"/>
      <c r="H495" s="20"/>
      <c r="I495" s="20"/>
      <c r="J495" s="20"/>
      <c r="K495" s="20"/>
      <c r="L495" s="20"/>
      <c r="M495" s="20"/>
      <c r="N495" s="20"/>
      <c r="O495" s="20"/>
      <c r="P495" s="20"/>
      <c r="Q495" s="20"/>
      <c r="R495" s="20"/>
      <c r="S495" s="20"/>
      <c r="T495" s="20"/>
      <c r="U495" s="20"/>
      <c r="V495" s="20"/>
      <c r="W495" s="20"/>
      <c r="X495" s="20"/>
      <c r="Y495" s="20"/>
      <c r="Z495" s="20"/>
      <c r="AA495" s="20"/>
      <c r="AB495" s="20"/>
      <c r="AC495" s="20"/>
      <c r="AD495" s="20"/>
      <c r="AE495" s="20"/>
      <c r="AF495" s="20"/>
      <c r="AG495" s="20"/>
      <c r="AH495" s="20"/>
      <c r="AI495" s="20"/>
      <c r="AJ495" s="20"/>
      <c r="AK495" s="20"/>
      <c r="AL495" s="20"/>
      <c r="AM495" s="20"/>
      <c r="AN495" s="20"/>
      <c r="AO495" s="20"/>
      <c r="AP495" s="20"/>
      <c r="AQ495" s="20"/>
      <c r="AR495" s="20"/>
      <c r="AS495" s="20"/>
      <c r="AT495" s="20"/>
      <c r="AU495" s="20"/>
      <c r="AV495" s="20"/>
      <c r="AW495" s="20"/>
      <c r="AX495" s="20"/>
      <c r="AY495" s="20"/>
      <c r="AZ495" s="20"/>
      <c r="BA495" s="20"/>
      <c r="BB495" s="20"/>
      <c r="BC495" s="20"/>
    </row>
    <row r="496" ht="13.5" customHeight="1" spans="1:55">
      <c r="A496" s="20"/>
      <c r="B496" s="20"/>
      <c r="C496" s="20"/>
      <c r="D496" s="20"/>
      <c r="E496" s="20"/>
      <c r="F496" s="20"/>
      <c r="G496" s="52"/>
      <c r="H496" s="20"/>
      <c r="I496" s="20"/>
      <c r="J496" s="20"/>
      <c r="K496" s="20"/>
      <c r="L496" s="20"/>
      <c r="M496" s="20"/>
      <c r="N496" s="20"/>
      <c r="O496" s="20"/>
      <c r="P496" s="20"/>
      <c r="Q496" s="20"/>
      <c r="R496" s="20"/>
      <c r="S496" s="20"/>
      <c r="T496" s="20"/>
      <c r="U496" s="20"/>
      <c r="V496" s="20"/>
      <c r="W496" s="20"/>
      <c r="X496" s="20"/>
      <c r="Y496" s="20"/>
      <c r="Z496" s="20"/>
      <c r="AA496" s="20"/>
      <c r="AB496" s="20"/>
      <c r="AC496" s="20"/>
      <c r="AD496" s="20"/>
      <c r="AE496" s="20"/>
      <c r="AF496" s="20"/>
      <c r="AG496" s="20"/>
      <c r="AH496" s="20"/>
      <c r="AI496" s="20"/>
      <c r="AJ496" s="20"/>
      <c r="AK496" s="20"/>
      <c r="AL496" s="20"/>
      <c r="AM496" s="20"/>
      <c r="AN496" s="20"/>
      <c r="AO496" s="20"/>
      <c r="AP496" s="20"/>
      <c r="AQ496" s="20"/>
      <c r="AR496" s="20"/>
      <c r="AS496" s="20"/>
      <c r="AT496" s="20"/>
      <c r="AU496" s="20"/>
      <c r="AV496" s="20"/>
      <c r="AW496" s="20"/>
      <c r="AX496" s="20"/>
      <c r="AY496" s="20"/>
      <c r="AZ496" s="20"/>
      <c r="BA496" s="20"/>
      <c r="BB496" s="20"/>
      <c r="BC496" s="20"/>
    </row>
    <row r="497" ht="13.5" customHeight="1" spans="1:55">
      <c r="A497" s="20"/>
      <c r="B497" s="20"/>
      <c r="C497" s="20"/>
      <c r="D497" s="20"/>
      <c r="E497" s="20"/>
      <c r="F497" s="20"/>
      <c r="G497" s="52"/>
      <c r="H497" s="20"/>
      <c r="I497" s="20"/>
      <c r="J497" s="20"/>
      <c r="K497" s="20"/>
      <c r="L497" s="20"/>
      <c r="M497" s="20"/>
      <c r="N497" s="20"/>
      <c r="O497" s="20"/>
      <c r="P497" s="20"/>
      <c r="Q497" s="20"/>
      <c r="R497" s="20"/>
      <c r="S497" s="20"/>
      <c r="T497" s="20"/>
      <c r="U497" s="20"/>
      <c r="V497" s="20"/>
      <c r="W497" s="20"/>
      <c r="X497" s="20"/>
      <c r="Y497" s="20"/>
      <c r="Z497" s="20"/>
      <c r="AA497" s="20"/>
      <c r="AB497" s="20"/>
      <c r="AC497" s="20"/>
      <c r="AD497" s="20"/>
      <c r="AE497" s="20"/>
      <c r="AF497" s="20"/>
      <c r="AG497" s="20"/>
      <c r="AH497" s="20"/>
      <c r="AI497" s="20"/>
      <c r="AJ497" s="20"/>
      <c r="AK497" s="20"/>
      <c r="AL497" s="20"/>
      <c r="AM497" s="20"/>
      <c r="AN497" s="20"/>
      <c r="AO497" s="20"/>
      <c r="AP497" s="20"/>
      <c r="AQ497" s="20"/>
      <c r="AR497" s="20"/>
      <c r="AS497" s="20"/>
      <c r="AT497" s="20"/>
      <c r="AU497" s="20"/>
      <c r="AV497" s="20"/>
      <c r="AW497" s="20"/>
      <c r="AX497" s="20"/>
      <c r="AY497" s="20"/>
      <c r="AZ497" s="20"/>
      <c r="BA497" s="20"/>
      <c r="BB497" s="20"/>
      <c r="BC497" s="20"/>
    </row>
    <row r="498" ht="13.5" customHeight="1" spans="1:55">
      <c r="A498" s="20"/>
      <c r="B498" s="20"/>
      <c r="C498" s="20"/>
      <c r="D498" s="20"/>
      <c r="E498" s="20"/>
      <c r="F498" s="20"/>
      <c r="G498" s="52"/>
      <c r="H498" s="20"/>
      <c r="I498" s="20"/>
      <c r="J498" s="20"/>
      <c r="K498" s="20"/>
      <c r="L498" s="20"/>
      <c r="M498" s="20"/>
      <c r="N498" s="20"/>
      <c r="O498" s="20"/>
      <c r="P498" s="20"/>
      <c r="Q498" s="20"/>
      <c r="R498" s="20"/>
      <c r="S498" s="20"/>
      <c r="T498" s="20"/>
      <c r="U498" s="20"/>
      <c r="V498" s="20"/>
      <c r="W498" s="20"/>
      <c r="X498" s="20"/>
      <c r="Y498" s="20"/>
      <c r="Z498" s="20"/>
      <c r="AA498" s="20"/>
      <c r="AB498" s="20"/>
      <c r="AC498" s="20"/>
      <c r="AD498" s="20"/>
      <c r="AE498" s="20"/>
      <c r="AF498" s="20"/>
      <c r="AG498" s="20"/>
      <c r="AH498" s="20"/>
      <c r="AI498" s="20"/>
      <c r="AJ498" s="20"/>
      <c r="AK498" s="20"/>
      <c r="AL498" s="20"/>
      <c r="AM498" s="20"/>
      <c r="AN498" s="20"/>
      <c r="AO498" s="20"/>
      <c r="AP498" s="20"/>
      <c r="AQ498" s="20"/>
      <c r="AR498" s="20"/>
      <c r="AS498" s="20"/>
      <c r="AT498" s="20"/>
      <c r="AU498" s="20"/>
      <c r="AV498" s="20"/>
      <c r="AW498" s="20"/>
      <c r="AX498" s="20"/>
      <c r="AY498" s="20"/>
      <c r="AZ498" s="20"/>
      <c r="BA498" s="20"/>
      <c r="BB498" s="20"/>
      <c r="BC498" s="20"/>
    </row>
    <row r="499" ht="13.5" customHeight="1" spans="1:55">
      <c r="A499" s="20"/>
      <c r="B499" s="20"/>
      <c r="C499" s="20"/>
      <c r="D499" s="20"/>
      <c r="E499" s="20"/>
      <c r="F499" s="20"/>
      <c r="G499" s="52"/>
      <c r="H499" s="20"/>
      <c r="I499" s="20"/>
      <c r="J499" s="20"/>
      <c r="K499" s="20"/>
      <c r="L499" s="20"/>
      <c r="M499" s="20"/>
      <c r="N499" s="20"/>
      <c r="O499" s="20"/>
      <c r="P499" s="20"/>
      <c r="Q499" s="20"/>
      <c r="R499" s="20"/>
      <c r="S499" s="20"/>
      <c r="T499" s="20"/>
      <c r="U499" s="20"/>
      <c r="V499" s="20"/>
      <c r="W499" s="20"/>
      <c r="X499" s="20"/>
      <c r="Y499" s="20"/>
      <c r="Z499" s="20"/>
      <c r="AA499" s="20"/>
      <c r="AB499" s="20"/>
      <c r="AC499" s="20"/>
      <c r="AD499" s="20"/>
      <c r="AE499" s="20"/>
      <c r="AF499" s="20"/>
      <c r="AG499" s="20"/>
      <c r="AH499" s="20"/>
      <c r="AI499" s="20"/>
      <c r="AJ499" s="20"/>
      <c r="AK499" s="20"/>
      <c r="AL499" s="20"/>
      <c r="AM499" s="20"/>
      <c r="AN499" s="20"/>
      <c r="AO499" s="20"/>
      <c r="AP499" s="20"/>
      <c r="AQ499" s="20"/>
      <c r="AR499" s="20"/>
      <c r="AS499" s="20"/>
      <c r="AT499" s="20"/>
      <c r="AU499" s="20"/>
      <c r="AV499" s="20"/>
      <c r="AW499" s="20"/>
      <c r="AX499" s="20"/>
      <c r="AY499" s="20"/>
      <c r="AZ499" s="20"/>
      <c r="BA499" s="20"/>
      <c r="BB499" s="20"/>
      <c r="BC499" s="20"/>
    </row>
    <row r="500" ht="13.5" customHeight="1" spans="1:55">
      <c r="A500" s="20"/>
      <c r="B500" s="20"/>
      <c r="C500" s="20"/>
      <c r="D500" s="20"/>
      <c r="E500" s="20"/>
      <c r="F500" s="20"/>
      <c r="G500" s="52"/>
      <c r="H500" s="20"/>
      <c r="I500" s="20"/>
      <c r="J500" s="20"/>
      <c r="K500" s="20"/>
      <c r="L500" s="20"/>
      <c r="M500" s="20"/>
      <c r="N500" s="20"/>
      <c r="O500" s="20"/>
      <c r="P500" s="20"/>
      <c r="Q500" s="20"/>
      <c r="R500" s="20"/>
      <c r="S500" s="20"/>
      <c r="T500" s="20"/>
      <c r="U500" s="20"/>
      <c r="V500" s="20"/>
      <c r="W500" s="20"/>
      <c r="X500" s="20"/>
      <c r="Y500" s="20"/>
      <c r="Z500" s="20"/>
      <c r="AA500" s="20"/>
      <c r="AB500" s="20"/>
      <c r="AC500" s="20"/>
      <c r="AD500" s="20"/>
      <c r="AE500" s="20"/>
      <c r="AF500" s="20"/>
      <c r="AG500" s="20"/>
      <c r="AH500" s="20"/>
      <c r="AI500" s="20"/>
      <c r="AJ500" s="20"/>
      <c r="AK500" s="20"/>
      <c r="AL500" s="20"/>
      <c r="AM500" s="20"/>
      <c r="AN500" s="20"/>
      <c r="AO500" s="20"/>
      <c r="AP500" s="20"/>
      <c r="AQ500" s="20"/>
      <c r="AR500" s="20"/>
      <c r="AS500" s="20"/>
      <c r="AT500" s="20"/>
      <c r="AU500" s="20"/>
      <c r="AV500" s="20"/>
      <c r="AW500" s="20"/>
      <c r="AX500" s="20"/>
      <c r="AY500" s="20"/>
      <c r="AZ500" s="20"/>
      <c r="BA500" s="20"/>
      <c r="BB500" s="20"/>
      <c r="BC500" s="20"/>
    </row>
    <row r="501" ht="13.5" customHeight="1" spans="1:55">
      <c r="A501" s="20"/>
      <c r="B501" s="20"/>
      <c r="C501" s="20"/>
      <c r="D501" s="20"/>
      <c r="E501" s="20"/>
      <c r="F501" s="20"/>
      <c r="G501" s="52"/>
      <c r="H501" s="20"/>
      <c r="I501" s="20"/>
      <c r="J501" s="20"/>
      <c r="K501" s="20"/>
      <c r="L501" s="20"/>
      <c r="M501" s="20"/>
      <c r="N501" s="20"/>
      <c r="O501" s="20"/>
      <c r="P501" s="20"/>
      <c r="Q501" s="20"/>
      <c r="R501" s="20"/>
      <c r="S501" s="20"/>
      <c r="T501" s="20"/>
      <c r="U501" s="20"/>
      <c r="V501" s="20"/>
      <c r="W501" s="20"/>
      <c r="X501" s="20"/>
      <c r="Y501" s="20"/>
      <c r="Z501" s="20"/>
      <c r="AA501" s="20"/>
      <c r="AB501" s="20"/>
      <c r="AC501" s="20"/>
      <c r="AD501" s="20"/>
      <c r="AE501" s="20"/>
      <c r="AF501" s="20"/>
      <c r="AG501" s="20"/>
      <c r="AH501" s="20"/>
      <c r="AI501" s="20"/>
      <c r="AJ501" s="20"/>
      <c r="AK501" s="20"/>
      <c r="AL501" s="20"/>
      <c r="AM501" s="20"/>
      <c r="AN501" s="20"/>
      <c r="AO501" s="20"/>
      <c r="AP501" s="20"/>
      <c r="AQ501" s="20"/>
      <c r="AR501" s="20"/>
      <c r="AS501" s="20"/>
      <c r="AT501" s="20"/>
      <c r="AU501" s="20"/>
      <c r="AV501" s="20"/>
      <c r="AW501" s="20"/>
      <c r="AX501" s="20"/>
      <c r="AY501" s="20"/>
      <c r="AZ501" s="20"/>
      <c r="BA501" s="20"/>
      <c r="BB501" s="20"/>
      <c r="BC501" s="20"/>
    </row>
    <row r="502" ht="13.5" customHeight="1" spans="1:55">
      <c r="A502" s="20"/>
      <c r="B502" s="20"/>
      <c r="C502" s="20"/>
      <c r="D502" s="20"/>
      <c r="E502" s="20"/>
      <c r="F502" s="20"/>
      <c r="G502" s="52"/>
      <c r="H502" s="20"/>
      <c r="I502" s="20"/>
      <c r="J502" s="20"/>
      <c r="K502" s="20"/>
      <c r="L502" s="20"/>
      <c r="M502" s="20"/>
      <c r="N502" s="20"/>
      <c r="O502" s="20"/>
      <c r="P502" s="20"/>
      <c r="Q502" s="20"/>
      <c r="R502" s="20"/>
      <c r="S502" s="20"/>
      <c r="T502" s="20"/>
      <c r="U502" s="20"/>
      <c r="V502" s="20"/>
      <c r="W502" s="20"/>
      <c r="X502" s="20"/>
      <c r="Y502" s="20"/>
      <c r="Z502" s="20"/>
      <c r="AA502" s="20"/>
      <c r="AB502" s="20"/>
      <c r="AC502" s="20"/>
      <c r="AD502" s="20"/>
      <c r="AE502" s="20"/>
      <c r="AF502" s="20"/>
      <c r="AG502" s="20"/>
      <c r="AH502" s="20"/>
      <c r="AI502" s="20"/>
      <c r="AJ502" s="20"/>
      <c r="AK502" s="20"/>
      <c r="AL502" s="20"/>
      <c r="AM502" s="20"/>
      <c r="AN502" s="20"/>
      <c r="AO502" s="20"/>
      <c r="AP502" s="20"/>
      <c r="AQ502" s="20"/>
      <c r="AR502" s="20"/>
      <c r="AS502" s="20"/>
      <c r="AT502" s="20"/>
      <c r="AU502" s="20"/>
      <c r="AV502" s="20"/>
      <c r="AW502" s="20"/>
      <c r="AX502" s="20"/>
      <c r="AY502" s="20"/>
      <c r="AZ502" s="20"/>
      <c r="BA502" s="20"/>
      <c r="BB502" s="20"/>
      <c r="BC502" s="20"/>
    </row>
    <row r="503" ht="13.5" customHeight="1" spans="1:55">
      <c r="A503" s="20"/>
      <c r="B503" s="20"/>
      <c r="C503" s="20"/>
      <c r="D503" s="20"/>
      <c r="E503" s="20"/>
      <c r="F503" s="20"/>
      <c r="G503" s="52"/>
      <c r="H503" s="20"/>
      <c r="I503" s="20"/>
      <c r="J503" s="20"/>
      <c r="K503" s="20"/>
      <c r="L503" s="20"/>
      <c r="M503" s="20"/>
      <c r="N503" s="20"/>
      <c r="O503" s="20"/>
      <c r="P503" s="20"/>
      <c r="Q503" s="20"/>
      <c r="R503" s="20"/>
      <c r="S503" s="20"/>
      <c r="T503" s="20"/>
      <c r="U503" s="20"/>
      <c r="V503" s="20"/>
      <c r="W503" s="20"/>
      <c r="X503" s="20"/>
      <c r="Y503" s="20"/>
      <c r="Z503" s="20"/>
      <c r="AA503" s="20"/>
      <c r="AB503" s="20"/>
      <c r="AC503" s="20"/>
      <c r="AD503" s="20"/>
      <c r="AE503" s="20"/>
      <c r="AF503" s="20"/>
      <c r="AG503" s="20"/>
      <c r="AH503" s="20"/>
      <c r="AI503" s="20"/>
      <c r="AJ503" s="20"/>
      <c r="AK503" s="20"/>
      <c r="AL503" s="20"/>
      <c r="AM503" s="20"/>
      <c r="AN503" s="20"/>
      <c r="AO503" s="20"/>
      <c r="AP503" s="20"/>
      <c r="AQ503" s="20"/>
      <c r="AR503" s="20"/>
      <c r="AS503" s="20"/>
      <c r="AT503" s="20"/>
      <c r="AU503" s="20"/>
      <c r="AV503" s="20"/>
      <c r="AW503" s="20"/>
      <c r="AX503" s="20"/>
      <c r="AY503" s="20"/>
      <c r="AZ503" s="20"/>
      <c r="BA503" s="20"/>
      <c r="BB503" s="20"/>
      <c r="BC503" s="20"/>
    </row>
    <row r="504" ht="13.5" customHeight="1" spans="1:55">
      <c r="A504" s="20"/>
      <c r="B504" s="20"/>
      <c r="C504" s="20"/>
      <c r="D504" s="20"/>
      <c r="E504" s="20"/>
      <c r="F504" s="20"/>
      <c r="G504" s="52"/>
      <c r="H504" s="20"/>
      <c r="I504" s="20"/>
      <c r="J504" s="20"/>
      <c r="K504" s="20"/>
      <c r="L504" s="20"/>
      <c r="M504" s="20"/>
      <c r="N504" s="20"/>
      <c r="O504" s="20"/>
      <c r="P504" s="20"/>
      <c r="Q504" s="20"/>
      <c r="R504" s="20"/>
      <c r="S504" s="20"/>
      <c r="T504" s="20"/>
      <c r="U504" s="20"/>
      <c r="V504" s="20"/>
      <c r="W504" s="20"/>
      <c r="X504" s="20"/>
      <c r="Y504" s="20"/>
      <c r="Z504" s="20"/>
      <c r="AA504" s="20"/>
      <c r="AB504" s="20"/>
      <c r="AC504" s="20"/>
      <c r="AD504" s="20"/>
      <c r="AE504" s="20"/>
      <c r="AF504" s="20"/>
      <c r="AG504" s="20"/>
      <c r="AH504" s="20"/>
      <c r="AI504" s="20"/>
      <c r="AJ504" s="20"/>
      <c r="AK504" s="20"/>
      <c r="AL504" s="20"/>
      <c r="AM504" s="20"/>
      <c r="AN504" s="20"/>
      <c r="AO504" s="20"/>
      <c r="AP504" s="20"/>
      <c r="AQ504" s="20"/>
      <c r="AR504" s="20"/>
      <c r="AS504" s="20"/>
      <c r="AT504" s="20"/>
      <c r="AU504" s="20"/>
      <c r="AV504" s="20"/>
      <c r="AW504" s="20"/>
      <c r="AX504" s="20"/>
      <c r="AY504" s="20"/>
      <c r="AZ504" s="20"/>
      <c r="BA504" s="20"/>
      <c r="BB504" s="20"/>
      <c r="BC504" s="20"/>
    </row>
    <row r="505" ht="13.5" customHeight="1" spans="1:55">
      <c r="A505" s="20"/>
      <c r="B505" s="20"/>
      <c r="C505" s="20"/>
      <c r="D505" s="20"/>
      <c r="E505" s="20"/>
      <c r="F505" s="20"/>
      <c r="G505" s="52"/>
      <c r="H505" s="20"/>
      <c r="I505" s="20"/>
      <c r="J505" s="20"/>
      <c r="K505" s="20"/>
      <c r="L505" s="20"/>
      <c r="M505" s="20"/>
      <c r="N505" s="20"/>
      <c r="O505" s="20"/>
      <c r="P505" s="20"/>
      <c r="Q505" s="20"/>
      <c r="R505" s="20"/>
      <c r="S505" s="20"/>
      <c r="T505" s="20"/>
      <c r="U505" s="20"/>
      <c r="V505" s="20"/>
      <c r="W505" s="20"/>
      <c r="X505" s="20"/>
      <c r="Y505" s="20"/>
      <c r="Z505" s="20"/>
      <c r="AA505" s="20"/>
      <c r="AB505" s="20"/>
      <c r="AC505" s="20"/>
      <c r="AD505" s="20"/>
      <c r="AE505" s="20"/>
      <c r="AF505" s="20"/>
      <c r="AG505" s="20"/>
      <c r="AH505" s="20"/>
      <c r="AI505" s="20"/>
      <c r="AJ505" s="20"/>
      <c r="AK505" s="20"/>
      <c r="AL505" s="20"/>
      <c r="AM505" s="20"/>
      <c r="AN505" s="20"/>
      <c r="AO505" s="20"/>
      <c r="AP505" s="20"/>
      <c r="AQ505" s="20"/>
      <c r="AR505" s="20"/>
      <c r="AS505" s="20"/>
      <c r="AT505" s="20"/>
      <c r="AU505" s="20"/>
      <c r="AV505" s="20"/>
      <c r="AW505" s="20"/>
      <c r="AX505" s="20"/>
      <c r="AY505" s="20"/>
      <c r="AZ505" s="20"/>
      <c r="BA505" s="20"/>
      <c r="BB505" s="20"/>
      <c r="BC505" s="20"/>
    </row>
    <row r="506" ht="13.5" customHeight="1" spans="1:55">
      <c r="A506" s="20"/>
      <c r="B506" s="20"/>
      <c r="C506" s="20"/>
      <c r="D506" s="20"/>
      <c r="E506" s="20"/>
      <c r="F506" s="20"/>
      <c r="G506" s="52"/>
      <c r="H506" s="20"/>
      <c r="I506" s="20"/>
      <c r="J506" s="20"/>
      <c r="K506" s="20"/>
      <c r="L506" s="20"/>
      <c r="M506" s="20"/>
      <c r="N506" s="20"/>
      <c r="O506" s="20"/>
      <c r="P506" s="20"/>
      <c r="Q506" s="20"/>
      <c r="R506" s="20"/>
      <c r="S506" s="20"/>
      <c r="T506" s="20"/>
      <c r="U506" s="20"/>
      <c r="V506" s="20"/>
      <c r="W506" s="20"/>
      <c r="X506" s="20"/>
      <c r="Y506" s="20"/>
      <c r="Z506" s="20"/>
      <c r="AA506" s="20"/>
      <c r="AB506" s="20"/>
      <c r="AC506" s="20"/>
      <c r="AD506" s="20"/>
      <c r="AE506" s="20"/>
      <c r="AF506" s="20"/>
      <c r="AG506" s="20"/>
      <c r="AH506" s="20"/>
      <c r="AI506" s="20"/>
      <c r="AJ506" s="20"/>
      <c r="AK506" s="20"/>
      <c r="AL506" s="20"/>
      <c r="AM506" s="20"/>
      <c r="AN506" s="20"/>
      <c r="AO506" s="20"/>
      <c r="AP506" s="20"/>
      <c r="AQ506" s="20"/>
      <c r="AR506" s="20"/>
      <c r="AS506" s="20"/>
      <c r="AT506" s="20"/>
      <c r="AU506" s="20"/>
      <c r="AV506" s="20"/>
      <c r="AW506" s="20"/>
      <c r="AX506" s="20"/>
      <c r="AY506" s="20"/>
      <c r="AZ506" s="20"/>
      <c r="BA506" s="20"/>
      <c r="BB506" s="20"/>
      <c r="BC506" s="20"/>
    </row>
    <row r="507" ht="13.5" customHeight="1" spans="1:55">
      <c r="A507" s="20"/>
      <c r="B507" s="20"/>
      <c r="C507" s="20"/>
      <c r="D507" s="20"/>
      <c r="E507" s="20"/>
      <c r="F507" s="20"/>
      <c r="G507" s="52"/>
      <c r="H507" s="20"/>
      <c r="I507" s="20"/>
      <c r="J507" s="20"/>
      <c r="K507" s="20"/>
      <c r="L507" s="20"/>
      <c r="M507" s="20"/>
      <c r="N507" s="20"/>
      <c r="O507" s="20"/>
      <c r="P507" s="20"/>
      <c r="Q507" s="20"/>
      <c r="R507" s="20"/>
      <c r="S507" s="20"/>
      <c r="T507" s="20"/>
      <c r="U507" s="20"/>
      <c r="V507" s="20"/>
      <c r="W507" s="20"/>
      <c r="X507" s="20"/>
      <c r="Y507" s="20"/>
      <c r="Z507" s="20"/>
      <c r="AA507" s="20"/>
      <c r="AB507" s="20"/>
      <c r="AC507" s="20"/>
      <c r="AD507" s="20"/>
      <c r="AE507" s="20"/>
      <c r="AF507" s="20"/>
      <c r="AG507" s="20"/>
      <c r="AH507" s="20"/>
      <c r="AI507" s="20"/>
      <c r="AJ507" s="20"/>
      <c r="AK507" s="20"/>
      <c r="AL507" s="20"/>
      <c r="AM507" s="20"/>
      <c r="AN507" s="20"/>
      <c r="AO507" s="20"/>
      <c r="AP507" s="20"/>
      <c r="AQ507" s="20"/>
      <c r="AR507" s="20"/>
      <c r="AS507" s="20"/>
      <c r="AT507" s="20"/>
      <c r="AU507" s="20"/>
      <c r="AV507" s="20"/>
      <c r="AW507" s="20"/>
      <c r="AX507" s="20"/>
      <c r="AY507" s="20"/>
      <c r="AZ507" s="20"/>
      <c r="BA507" s="20"/>
      <c r="BB507" s="20"/>
      <c r="BC507" s="20"/>
    </row>
    <row r="508" ht="13.5" customHeight="1" spans="1:55">
      <c r="A508" s="20"/>
      <c r="B508" s="20"/>
      <c r="C508" s="20"/>
      <c r="D508" s="20"/>
      <c r="E508" s="20"/>
      <c r="F508" s="20"/>
      <c r="G508" s="52"/>
      <c r="H508" s="20"/>
      <c r="I508" s="20"/>
      <c r="J508" s="20"/>
      <c r="K508" s="20"/>
      <c r="L508" s="20"/>
      <c r="M508" s="20"/>
      <c r="N508" s="20"/>
      <c r="O508" s="20"/>
      <c r="P508" s="20"/>
      <c r="Q508" s="20"/>
      <c r="R508" s="20"/>
      <c r="S508" s="20"/>
      <c r="T508" s="20"/>
      <c r="U508" s="20"/>
      <c r="V508" s="20"/>
      <c r="W508" s="20"/>
      <c r="X508" s="20"/>
      <c r="Y508" s="20"/>
      <c r="Z508" s="20"/>
      <c r="AA508" s="20"/>
      <c r="AB508" s="20"/>
      <c r="AC508" s="20"/>
      <c r="AD508" s="20"/>
      <c r="AE508" s="20"/>
      <c r="AF508" s="20"/>
      <c r="AG508" s="20"/>
      <c r="AH508" s="20"/>
      <c r="AI508" s="20"/>
      <c r="AJ508" s="20"/>
      <c r="AK508" s="20"/>
      <c r="AL508" s="20"/>
      <c r="AM508" s="20"/>
      <c r="AN508" s="20"/>
      <c r="AO508" s="20"/>
      <c r="AP508" s="20"/>
      <c r="AQ508" s="20"/>
      <c r="AR508" s="20"/>
      <c r="AS508" s="20"/>
      <c r="AT508" s="20"/>
      <c r="AU508" s="20"/>
      <c r="AV508" s="20"/>
      <c r="AW508" s="20"/>
      <c r="AX508" s="20"/>
      <c r="AY508" s="20"/>
      <c r="AZ508" s="20"/>
      <c r="BA508" s="20"/>
      <c r="BB508" s="20"/>
      <c r="BC508" s="20"/>
    </row>
    <row r="509" ht="13.5" customHeight="1" spans="1:55">
      <c r="A509" s="20"/>
      <c r="B509" s="20"/>
      <c r="C509" s="20"/>
      <c r="D509" s="20"/>
      <c r="E509" s="20"/>
      <c r="F509" s="20"/>
      <c r="G509" s="52"/>
      <c r="H509" s="20"/>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row>
    <row r="510" ht="13.5" customHeight="1" spans="1:55">
      <c r="A510" s="20"/>
      <c r="B510" s="20"/>
      <c r="C510" s="20"/>
      <c r="D510" s="20"/>
      <c r="E510" s="20"/>
      <c r="F510" s="20"/>
      <c r="G510" s="52"/>
      <c r="H510" s="20"/>
      <c r="I510" s="20"/>
      <c r="J510" s="20"/>
      <c r="K510" s="20"/>
      <c r="L510" s="20"/>
      <c r="M510" s="20"/>
      <c r="N510" s="20"/>
      <c r="O510" s="20"/>
      <c r="P510" s="20"/>
      <c r="Q510" s="20"/>
      <c r="R510" s="20"/>
      <c r="S510" s="20"/>
      <c r="T510" s="20"/>
      <c r="U510" s="20"/>
      <c r="V510" s="20"/>
      <c r="W510" s="20"/>
      <c r="X510" s="20"/>
      <c r="Y510" s="20"/>
      <c r="Z510" s="20"/>
      <c r="AA510" s="20"/>
      <c r="AB510" s="20"/>
      <c r="AC510" s="20"/>
      <c r="AD510" s="20"/>
      <c r="AE510" s="20"/>
      <c r="AF510" s="20"/>
      <c r="AG510" s="20"/>
      <c r="AH510" s="20"/>
      <c r="AI510" s="20"/>
      <c r="AJ510" s="20"/>
      <c r="AK510" s="20"/>
      <c r="AL510" s="20"/>
      <c r="AM510" s="20"/>
      <c r="AN510" s="20"/>
      <c r="AO510" s="20"/>
      <c r="AP510" s="20"/>
      <c r="AQ510" s="20"/>
      <c r="AR510" s="20"/>
      <c r="AS510" s="20"/>
      <c r="AT510" s="20"/>
      <c r="AU510" s="20"/>
      <c r="AV510" s="20"/>
      <c r="AW510" s="20"/>
      <c r="AX510" s="20"/>
      <c r="AY510" s="20"/>
      <c r="AZ510" s="20"/>
      <c r="BA510" s="20"/>
      <c r="BB510" s="20"/>
      <c r="BC510" s="20"/>
    </row>
    <row r="511" ht="13.5" customHeight="1" spans="1:55">
      <c r="A511" s="20"/>
      <c r="B511" s="20"/>
      <c r="C511" s="20"/>
      <c r="D511" s="20"/>
      <c r="E511" s="20"/>
      <c r="F511" s="20"/>
      <c r="G511" s="52"/>
      <c r="H511" s="20"/>
      <c r="I511" s="20"/>
      <c r="J511" s="20"/>
      <c r="K511" s="20"/>
      <c r="L511" s="20"/>
      <c r="M511" s="20"/>
      <c r="N511" s="20"/>
      <c r="O511" s="20"/>
      <c r="P511" s="20"/>
      <c r="Q511" s="20"/>
      <c r="R511" s="20"/>
      <c r="S511" s="20"/>
      <c r="T511" s="20"/>
      <c r="U511" s="20"/>
      <c r="V511" s="20"/>
      <c r="W511" s="20"/>
      <c r="X511" s="20"/>
      <c r="Y511" s="20"/>
      <c r="Z511" s="20"/>
      <c r="AA511" s="20"/>
      <c r="AB511" s="20"/>
      <c r="AC511" s="20"/>
      <c r="AD511" s="20"/>
      <c r="AE511" s="20"/>
      <c r="AF511" s="20"/>
      <c r="AG511" s="20"/>
      <c r="AH511" s="20"/>
      <c r="AI511" s="20"/>
      <c r="AJ511" s="20"/>
      <c r="AK511" s="20"/>
      <c r="AL511" s="20"/>
      <c r="AM511" s="20"/>
      <c r="AN511" s="20"/>
      <c r="AO511" s="20"/>
      <c r="AP511" s="20"/>
      <c r="AQ511" s="20"/>
      <c r="AR511" s="20"/>
      <c r="AS511" s="20"/>
      <c r="AT511" s="20"/>
      <c r="AU511" s="20"/>
      <c r="AV511" s="20"/>
      <c r="AW511" s="20"/>
      <c r="AX511" s="20"/>
      <c r="AY511" s="20"/>
      <c r="AZ511" s="20"/>
      <c r="BA511" s="20"/>
      <c r="BB511" s="20"/>
      <c r="BC511" s="20"/>
    </row>
    <row r="512" ht="13.5" customHeight="1" spans="1:55">
      <c r="A512" s="20"/>
      <c r="B512" s="20"/>
      <c r="C512" s="20"/>
      <c r="D512" s="20"/>
      <c r="E512" s="20"/>
      <c r="F512" s="20"/>
      <c r="G512" s="52"/>
      <c r="H512" s="20"/>
      <c r="I512" s="20"/>
      <c r="J512" s="20"/>
      <c r="K512" s="20"/>
      <c r="L512" s="20"/>
      <c r="M512" s="20"/>
      <c r="N512" s="20"/>
      <c r="O512" s="20"/>
      <c r="P512" s="20"/>
      <c r="Q512" s="20"/>
      <c r="R512" s="20"/>
      <c r="S512" s="20"/>
      <c r="T512" s="20"/>
      <c r="U512" s="20"/>
      <c r="V512" s="20"/>
      <c r="W512" s="20"/>
      <c r="X512" s="20"/>
      <c r="Y512" s="20"/>
      <c r="Z512" s="20"/>
      <c r="AA512" s="20"/>
      <c r="AB512" s="20"/>
      <c r="AC512" s="20"/>
      <c r="AD512" s="20"/>
      <c r="AE512" s="20"/>
      <c r="AF512" s="20"/>
      <c r="AG512" s="20"/>
      <c r="AH512" s="20"/>
      <c r="AI512" s="20"/>
      <c r="AJ512" s="20"/>
      <c r="AK512" s="20"/>
      <c r="AL512" s="20"/>
      <c r="AM512" s="20"/>
      <c r="AN512" s="20"/>
      <c r="AO512" s="20"/>
      <c r="AP512" s="20"/>
      <c r="AQ512" s="20"/>
      <c r="AR512" s="20"/>
      <c r="AS512" s="20"/>
      <c r="AT512" s="20"/>
      <c r="AU512" s="20"/>
      <c r="AV512" s="20"/>
      <c r="AW512" s="20"/>
      <c r="AX512" s="20"/>
      <c r="AY512" s="20"/>
      <c r="AZ512" s="20"/>
      <c r="BA512" s="20"/>
      <c r="BB512" s="20"/>
      <c r="BC512" s="20"/>
    </row>
    <row r="513" ht="13.5" customHeight="1" spans="1:55">
      <c r="A513" s="20"/>
      <c r="B513" s="20"/>
      <c r="C513" s="20"/>
      <c r="D513" s="20"/>
      <c r="E513" s="20"/>
      <c r="F513" s="20"/>
      <c r="G513" s="52"/>
      <c r="H513" s="20"/>
      <c r="I513" s="20"/>
      <c r="J513" s="20"/>
      <c r="K513" s="20"/>
      <c r="L513" s="20"/>
      <c r="M513" s="20"/>
      <c r="N513" s="20"/>
      <c r="O513" s="20"/>
      <c r="P513" s="20"/>
      <c r="Q513" s="20"/>
      <c r="R513" s="20"/>
      <c r="S513" s="20"/>
      <c r="T513" s="20"/>
      <c r="U513" s="20"/>
      <c r="V513" s="20"/>
      <c r="W513" s="20"/>
      <c r="X513" s="20"/>
      <c r="Y513" s="20"/>
      <c r="Z513" s="20"/>
      <c r="AA513" s="20"/>
      <c r="AB513" s="20"/>
      <c r="AC513" s="20"/>
      <c r="AD513" s="20"/>
      <c r="AE513" s="20"/>
      <c r="AF513" s="20"/>
      <c r="AG513" s="20"/>
      <c r="AH513" s="20"/>
      <c r="AI513" s="20"/>
      <c r="AJ513" s="20"/>
      <c r="AK513" s="20"/>
      <c r="AL513" s="20"/>
      <c r="AM513" s="20"/>
      <c r="AN513" s="20"/>
      <c r="AO513" s="20"/>
      <c r="AP513" s="20"/>
      <c r="AQ513" s="20"/>
      <c r="AR513" s="20"/>
      <c r="AS513" s="20"/>
      <c r="AT513" s="20"/>
      <c r="AU513" s="20"/>
      <c r="AV513" s="20"/>
      <c r="AW513" s="20"/>
      <c r="AX513" s="20"/>
      <c r="AY513" s="20"/>
      <c r="AZ513" s="20"/>
      <c r="BA513" s="20"/>
      <c r="BB513" s="20"/>
      <c r="BC513" s="20"/>
    </row>
    <row r="514" ht="13.5" customHeight="1" spans="1:55">
      <c r="A514" s="20"/>
      <c r="B514" s="20"/>
      <c r="C514" s="20"/>
      <c r="D514" s="20"/>
      <c r="E514" s="20"/>
      <c r="F514" s="20"/>
      <c r="G514" s="52"/>
      <c r="H514" s="20"/>
      <c r="I514" s="20"/>
      <c r="J514" s="20"/>
      <c r="K514" s="20"/>
      <c r="L514" s="20"/>
      <c r="M514" s="20"/>
      <c r="N514" s="20"/>
      <c r="O514" s="20"/>
      <c r="P514" s="20"/>
      <c r="Q514" s="20"/>
      <c r="R514" s="20"/>
      <c r="S514" s="20"/>
      <c r="T514" s="20"/>
      <c r="U514" s="20"/>
      <c r="V514" s="20"/>
      <c r="W514" s="20"/>
      <c r="X514" s="20"/>
      <c r="Y514" s="20"/>
      <c r="Z514" s="20"/>
      <c r="AA514" s="20"/>
      <c r="AB514" s="20"/>
      <c r="AC514" s="20"/>
      <c r="AD514" s="20"/>
      <c r="AE514" s="20"/>
      <c r="AF514" s="20"/>
      <c r="AG514" s="20"/>
      <c r="AH514" s="20"/>
      <c r="AI514" s="20"/>
      <c r="AJ514" s="20"/>
      <c r="AK514" s="20"/>
      <c r="AL514" s="20"/>
      <c r="AM514" s="20"/>
      <c r="AN514" s="20"/>
      <c r="AO514" s="20"/>
      <c r="AP514" s="20"/>
      <c r="AQ514" s="20"/>
      <c r="AR514" s="20"/>
      <c r="AS514" s="20"/>
      <c r="AT514" s="20"/>
      <c r="AU514" s="20"/>
      <c r="AV514" s="20"/>
      <c r="AW514" s="20"/>
      <c r="AX514" s="20"/>
      <c r="AY514" s="20"/>
      <c r="AZ514" s="20"/>
      <c r="BA514" s="20"/>
      <c r="BB514" s="20"/>
      <c r="BC514" s="20"/>
    </row>
    <row r="515" ht="13.5" customHeight="1" spans="1:55">
      <c r="A515" s="20"/>
      <c r="B515" s="20"/>
      <c r="C515" s="20"/>
      <c r="D515" s="20"/>
      <c r="E515" s="20"/>
      <c r="F515" s="20"/>
      <c r="G515" s="52"/>
      <c r="H515" s="20"/>
      <c r="I515" s="20"/>
      <c r="J515" s="20"/>
      <c r="K515" s="20"/>
      <c r="L515" s="20"/>
      <c r="M515" s="20"/>
      <c r="N515" s="20"/>
      <c r="O515" s="20"/>
      <c r="P515" s="20"/>
      <c r="Q515" s="20"/>
      <c r="R515" s="20"/>
      <c r="S515" s="20"/>
      <c r="T515" s="20"/>
      <c r="U515" s="20"/>
      <c r="V515" s="20"/>
      <c r="W515" s="20"/>
      <c r="X515" s="20"/>
      <c r="Y515" s="20"/>
      <c r="Z515" s="20"/>
      <c r="AA515" s="20"/>
      <c r="AB515" s="20"/>
      <c r="AC515" s="20"/>
      <c r="AD515" s="20"/>
      <c r="AE515" s="20"/>
      <c r="AF515" s="20"/>
      <c r="AG515" s="20"/>
      <c r="AH515" s="20"/>
      <c r="AI515" s="20"/>
      <c r="AJ515" s="20"/>
      <c r="AK515" s="20"/>
      <c r="AL515" s="20"/>
      <c r="AM515" s="20"/>
      <c r="AN515" s="20"/>
      <c r="AO515" s="20"/>
      <c r="AP515" s="20"/>
      <c r="AQ515" s="20"/>
      <c r="AR515" s="20"/>
      <c r="AS515" s="20"/>
      <c r="AT515" s="20"/>
      <c r="AU515" s="20"/>
      <c r="AV515" s="20"/>
      <c r="AW515" s="20"/>
      <c r="AX515" s="20"/>
      <c r="AY515" s="20"/>
      <c r="AZ515" s="20"/>
      <c r="BA515" s="20"/>
      <c r="BB515" s="20"/>
      <c r="BC515" s="20"/>
    </row>
    <row r="516" ht="13.5" customHeight="1" spans="1:55">
      <c r="A516" s="20"/>
      <c r="B516" s="20"/>
      <c r="C516" s="20"/>
      <c r="D516" s="20"/>
      <c r="E516" s="20"/>
      <c r="F516" s="20"/>
      <c r="G516" s="52"/>
      <c r="H516" s="20"/>
      <c r="I516" s="20"/>
      <c r="J516" s="20"/>
      <c r="K516" s="20"/>
      <c r="L516" s="20"/>
      <c r="M516" s="20"/>
      <c r="N516" s="20"/>
      <c r="O516" s="20"/>
      <c r="P516" s="20"/>
      <c r="Q516" s="20"/>
      <c r="R516" s="20"/>
      <c r="S516" s="20"/>
      <c r="T516" s="20"/>
      <c r="U516" s="20"/>
      <c r="V516" s="20"/>
      <c r="W516" s="20"/>
      <c r="X516" s="20"/>
      <c r="Y516" s="20"/>
      <c r="Z516" s="20"/>
      <c r="AA516" s="20"/>
      <c r="AB516" s="20"/>
      <c r="AC516" s="20"/>
      <c r="AD516" s="20"/>
      <c r="AE516" s="20"/>
      <c r="AF516" s="20"/>
      <c r="AG516" s="20"/>
      <c r="AH516" s="20"/>
      <c r="AI516" s="20"/>
      <c r="AJ516" s="20"/>
      <c r="AK516" s="20"/>
      <c r="AL516" s="20"/>
      <c r="AM516" s="20"/>
      <c r="AN516" s="20"/>
      <c r="AO516" s="20"/>
      <c r="AP516" s="20"/>
      <c r="AQ516" s="20"/>
      <c r="AR516" s="20"/>
      <c r="AS516" s="20"/>
      <c r="AT516" s="20"/>
      <c r="AU516" s="20"/>
      <c r="AV516" s="20"/>
      <c r="AW516" s="20"/>
      <c r="AX516" s="20"/>
      <c r="AY516" s="20"/>
      <c r="AZ516" s="20"/>
      <c r="BA516" s="20"/>
      <c r="BB516" s="20"/>
      <c r="BC516" s="20"/>
    </row>
    <row r="517" ht="13.5" customHeight="1" spans="1:55">
      <c r="A517" s="20"/>
      <c r="B517" s="20"/>
      <c r="C517" s="20"/>
      <c r="D517" s="20"/>
      <c r="E517" s="20"/>
      <c r="F517" s="20"/>
      <c r="G517" s="52"/>
      <c r="H517" s="20"/>
      <c r="I517" s="20"/>
      <c r="J517" s="20"/>
      <c r="K517" s="20"/>
      <c r="L517" s="20"/>
      <c r="M517" s="20"/>
      <c r="N517" s="20"/>
      <c r="O517" s="20"/>
      <c r="P517" s="20"/>
      <c r="Q517" s="20"/>
      <c r="R517" s="20"/>
      <c r="S517" s="20"/>
      <c r="T517" s="20"/>
      <c r="U517" s="20"/>
      <c r="V517" s="20"/>
      <c r="W517" s="20"/>
      <c r="X517" s="20"/>
      <c r="Y517" s="20"/>
      <c r="Z517" s="20"/>
      <c r="AA517" s="20"/>
      <c r="AB517" s="20"/>
      <c r="AC517" s="20"/>
      <c r="AD517" s="20"/>
      <c r="AE517" s="20"/>
      <c r="AF517" s="20"/>
      <c r="AG517" s="20"/>
      <c r="AH517" s="20"/>
      <c r="AI517" s="20"/>
      <c r="AJ517" s="20"/>
      <c r="AK517" s="20"/>
      <c r="AL517" s="20"/>
      <c r="AM517" s="20"/>
      <c r="AN517" s="20"/>
      <c r="AO517" s="20"/>
      <c r="AP517" s="20"/>
      <c r="AQ517" s="20"/>
      <c r="AR517" s="20"/>
      <c r="AS517" s="20"/>
      <c r="AT517" s="20"/>
      <c r="AU517" s="20"/>
      <c r="AV517" s="20"/>
      <c r="AW517" s="20"/>
      <c r="AX517" s="20"/>
      <c r="AY517" s="20"/>
      <c r="AZ517" s="20"/>
      <c r="BA517" s="20"/>
      <c r="BB517" s="20"/>
      <c r="BC517" s="20"/>
    </row>
    <row r="518" ht="13.5" customHeight="1" spans="1:55">
      <c r="A518" s="20"/>
      <c r="B518" s="20"/>
      <c r="C518" s="20"/>
      <c r="D518" s="20"/>
      <c r="E518" s="20"/>
      <c r="F518" s="20"/>
      <c r="G518" s="52"/>
      <c r="H518" s="20"/>
      <c r="I518" s="20"/>
      <c r="J518" s="20"/>
      <c r="K518" s="20"/>
      <c r="L518" s="20"/>
      <c r="M518" s="20"/>
      <c r="N518" s="20"/>
      <c r="O518" s="20"/>
      <c r="P518" s="20"/>
      <c r="Q518" s="20"/>
      <c r="R518" s="20"/>
      <c r="S518" s="20"/>
      <c r="T518" s="20"/>
      <c r="U518" s="20"/>
      <c r="V518" s="20"/>
      <c r="W518" s="20"/>
      <c r="X518" s="20"/>
      <c r="Y518" s="20"/>
      <c r="Z518" s="20"/>
      <c r="AA518" s="20"/>
      <c r="AB518" s="20"/>
      <c r="AC518" s="20"/>
      <c r="AD518" s="20"/>
      <c r="AE518" s="20"/>
      <c r="AF518" s="20"/>
      <c r="AG518" s="20"/>
      <c r="AH518" s="20"/>
      <c r="AI518" s="20"/>
      <c r="AJ518" s="20"/>
      <c r="AK518" s="20"/>
      <c r="AL518" s="20"/>
      <c r="AM518" s="20"/>
      <c r="AN518" s="20"/>
      <c r="AO518" s="20"/>
      <c r="AP518" s="20"/>
      <c r="AQ518" s="20"/>
      <c r="AR518" s="20"/>
      <c r="AS518" s="20"/>
      <c r="AT518" s="20"/>
      <c r="AU518" s="20"/>
      <c r="AV518" s="20"/>
      <c r="AW518" s="20"/>
      <c r="AX518" s="20"/>
      <c r="AY518" s="20"/>
      <c r="AZ518" s="20"/>
      <c r="BA518" s="20"/>
      <c r="BB518" s="20"/>
      <c r="BC518" s="20"/>
    </row>
    <row r="519" ht="13.5" customHeight="1" spans="1:55">
      <c r="A519" s="20"/>
      <c r="B519" s="20"/>
      <c r="C519" s="20"/>
      <c r="D519" s="20"/>
      <c r="E519" s="20"/>
      <c r="F519" s="20"/>
      <c r="G519" s="52"/>
      <c r="H519" s="20"/>
      <c r="I519" s="20"/>
      <c r="J519" s="20"/>
      <c r="K519" s="20"/>
      <c r="L519" s="20"/>
      <c r="M519" s="20"/>
      <c r="N519" s="20"/>
      <c r="O519" s="20"/>
      <c r="P519" s="20"/>
      <c r="Q519" s="20"/>
      <c r="R519" s="20"/>
      <c r="S519" s="20"/>
      <c r="T519" s="20"/>
      <c r="U519" s="20"/>
      <c r="V519" s="20"/>
      <c r="W519" s="20"/>
      <c r="X519" s="20"/>
      <c r="Y519" s="20"/>
      <c r="Z519" s="20"/>
      <c r="AA519" s="20"/>
      <c r="AB519" s="20"/>
      <c r="AC519" s="20"/>
      <c r="AD519" s="20"/>
      <c r="AE519" s="20"/>
      <c r="AF519" s="20"/>
      <c r="AG519" s="20"/>
      <c r="AH519" s="20"/>
      <c r="AI519" s="20"/>
      <c r="AJ519" s="20"/>
      <c r="AK519" s="20"/>
      <c r="AL519" s="20"/>
      <c r="AM519" s="20"/>
      <c r="AN519" s="20"/>
      <c r="AO519" s="20"/>
      <c r="AP519" s="20"/>
      <c r="AQ519" s="20"/>
      <c r="AR519" s="20"/>
      <c r="AS519" s="20"/>
      <c r="AT519" s="20"/>
      <c r="AU519" s="20"/>
      <c r="AV519" s="20"/>
      <c r="AW519" s="20"/>
      <c r="AX519" s="20"/>
      <c r="AY519" s="20"/>
      <c r="AZ519" s="20"/>
      <c r="BA519" s="20"/>
      <c r="BB519" s="20"/>
      <c r="BC519" s="20"/>
    </row>
    <row r="520" ht="13.5" customHeight="1" spans="1:55">
      <c r="A520" s="20"/>
      <c r="B520" s="20"/>
      <c r="C520" s="20"/>
      <c r="D520" s="20"/>
      <c r="E520" s="20"/>
      <c r="F520" s="20"/>
      <c r="G520" s="52"/>
      <c r="H520" s="20"/>
      <c r="I520" s="20"/>
      <c r="J520" s="20"/>
      <c r="K520" s="20"/>
      <c r="L520" s="20"/>
      <c r="M520" s="20"/>
      <c r="N520" s="20"/>
      <c r="O520" s="20"/>
      <c r="P520" s="20"/>
      <c r="Q520" s="20"/>
      <c r="R520" s="20"/>
      <c r="S520" s="20"/>
      <c r="T520" s="20"/>
      <c r="U520" s="20"/>
      <c r="V520" s="20"/>
      <c r="W520" s="20"/>
      <c r="X520" s="20"/>
      <c r="Y520" s="20"/>
      <c r="Z520" s="20"/>
      <c r="AA520" s="20"/>
      <c r="AB520" s="20"/>
      <c r="AC520" s="20"/>
      <c r="AD520" s="20"/>
      <c r="AE520" s="20"/>
      <c r="AF520" s="20"/>
      <c r="AG520" s="20"/>
      <c r="AH520" s="20"/>
      <c r="AI520" s="20"/>
      <c r="AJ520" s="20"/>
      <c r="AK520" s="20"/>
      <c r="AL520" s="20"/>
      <c r="AM520" s="20"/>
      <c r="AN520" s="20"/>
      <c r="AO520" s="20"/>
      <c r="AP520" s="20"/>
      <c r="AQ520" s="20"/>
      <c r="AR520" s="20"/>
      <c r="AS520" s="20"/>
      <c r="AT520" s="20"/>
      <c r="AU520" s="20"/>
      <c r="AV520" s="20"/>
      <c r="AW520" s="20"/>
      <c r="AX520" s="20"/>
      <c r="AY520" s="20"/>
      <c r="AZ520" s="20"/>
      <c r="BA520" s="20"/>
      <c r="BB520" s="20"/>
      <c r="BC520" s="20"/>
    </row>
    <row r="521" ht="13.5" customHeight="1" spans="1:55">
      <c r="A521" s="20"/>
      <c r="B521" s="20"/>
      <c r="C521" s="20"/>
      <c r="D521" s="20"/>
      <c r="E521" s="20"/>
      <c r="F521" s="20"/>
      <c r="G521" s="52"/>
      <c r="H521" s="20"/>
      <c r="I521" s="20"/>
      <c r="J521" s="20"/>
      <c r="K521" s="20"/>
      <c r="L521" s="20"/>
      <c r="M521" s="20"/>
      <c r="N521" s="20"/>
      <c r="O521" s="20"/>
      <c r="P521" s="20"/>
      <c r="Q521" s="20"/>
      <c r="R521" s="20"/>
      <c r="S521" s="20"/>
      <c r="T521" s="20"/>
      <c r="U521" s="20"/>
      <c r="V521" s="20"/>
      <c r="W521" s="20"/>
      <c r="X521" s="20"/>
      <c r="Y521" s="20"/>
      <c r="Z521" s="20"/>
      <c r="AA521" s="20"/>
      <c r="AB521" s="20"/>
      <c r="AC521" s="20"/>
      <c r="AD521" s="20"/>
      <c r="AE521" s="20"/>
      <c r="AF521" s="20"/>
      <c r="AG521" s="20"/>
      <c r="AH521" s="20"/>
      <c r="AI521" s="20"/>
      <c r="AJ521" s="20"/>
      <c r="AK521" s="20"/>
      <c r="AL521" s="20"/>
      <c r="AM521" s="20"/>
      <c r="AN521" s="20"/>
      <c r="AO521" s="20"/>
      <c r="AP521" s="20"/>
      <c r="AQ521" s="20"/>
      <c r="AR521" s="20"/>
      <c r="AS521" s="20"/>
      <c r="AT521" s="20"/>
      <c r="AU521" s="20"/>
      <c r="AV521" s="20"/>
      <c r="AW521" s="20"/>
      <c r="AX521" s="20"/>
      <c r="AY521" s="20"/>
      <c r="AZ521" s="20"/>
      <c r="BA521" s="20"/>
      <c r="BB521" s="20"/>
      <c r="BC521" s="20"/>
    </row>
    <row r="522" ht="13.5" customHeight="1" spans="1:55">
      <c r="A522" s="20"/>
      <c r="B522" s="20"/>
      <c r="C522" s="20"/>
      <c r="D522" s="20"/>
      <c r="E522" s="20"/>
      <c r="F522" s="20"/>
      <c r="G522" s="52"/>
      <c r="H522" s="20"/>
      <c r="I522" s="20"/>
      <c r="J522" s="20"/>
      <c r="K522" s="20"/>
      <c r="L522" s="20"/>
      <c r="M522" s="20"/>
      <c r="N522" s="20"/>
      <c r="O522" s="20"/>
      <c r="P522" s="20"/>
      <c r="Q522" s="20"/>
      <c r="R522" s="20"/>
      <c r="S522" s="20"/>
      <c r="T522" s="20"/>
      <c r="U522" s="20"/>
      <c r="V522" s="20"/>
      <c r="W522" s="20"/>
      <c r="X522" s="20"/>
      <c r="Y522" s="20"/>
      <c r="Z522" s="20"/>
      <c r="AA522" s="20"/>
      <c r="AB522" s="20"/>
      <c r="AC522" s="20"/>
      <c r="AD522" s="20"/>
      <c r="AE522" s="20"/>
      <c r="AF522" s="20"/>
      <c r="AG522" s="20"/>
      <c r="AH522" s="20"/>
      <c r="AI522" s="20"/>
      <c r="AJ522" s="20"/>
      <c r="AK522" s="20"/>
      <c r="AL522" s="20"/>
      <c r="AM522" s="20"/>
      <c r="AN522" s="20"/>
      <c r="AO522" s="20"/>
      <c r="AP522" s="20"/>
      <c r="AQ522" s="20"/>
      <c r="AR522" s="20"/>
      <c r="AS522" s="20"/>
      <c r="AT522" s="20"/>
      <c r="AU522" s="20"/>
      <c r="AV522" s="20"/>
      <c r="AW522" s="20"/>
      <c r="AX522" s="20"/>
      <c r="AY522" s="20"/>
      <c r="AZ522" s="20"/>
      <c r="BA522" s="20"/>
      <c r="BB522" s="20"/>
      <c r="BC522" s="20"/>
    </row>
    <row r="523" ht="13.5" customHeight="1" spans="1:55">
      <c r="A523" s="20"/>
      <c r="B523" s="20"/>
      <c r="C523" s="20"/>
      <c r="D523" s="20"/>
      <c r="E523" s="20"/>
      <c r="F523" s="20"/>
      <c r="G523" s="52"/>
      <c r="H523" s="20"/>
      <c r="I523" s="20"/>
      <c r="J523" s="20"/>
      <c r="K523" s="20"/>
      <c r="L523" s="20"/>
      <c r="M523" s="20"/>
      <c r="N523" s="20"/>
      <c r="O523" s="20"/>
      <c r="P523" s="20"/>
      <c r="Q523" s="20"/>
      <c r="R523" s="20"/>
      <c r="S523" s="20"/>
      <c r="T523" s="20"/>
      <c r="U523" s="20"/>
      <c r="V523" s="20"/>
      <c r="W523" s="20"/>
      <c r="X523" s="20"/>
      <c r="Y523" s="20"/>
      <c r="Z523" s="20"/>
      <c r="AA523" s="20"/>
      <c r="AB523" s="20"/>
      <c r="AC523" s="20"/>
      <c r="AD523" s="20"/>
      <c r="AE523" s="20"/>
      <c r="AF523" s="20"/>
      <c r="AG523" s="20"/>
      <c r="AH523" s="20"/>
      <c r="AI523" s="20"/>
      <c r="AJ523" s="20"/>
      <c r="AK523" s="20"/>
      <c r="AL523" s="20"/>
      <c r="AM523" s="20"/>
      <c r="AN523" s="20"/>
      <c r="AO523" s="20"/>
      <c r="AP523" s="20"/>
      <c r="AQ523" s="20"/>
      <c r="AR523" s="20"/>
      <c r="AS523" s="20"/>
      <c r="AT523" s="20"/>
      <c r="AU523" s="20"/>
      <c r="AV523" s="20"/>
      <c r="AW523" s="20"/>
      <c r="AX523" s="20"/>
      <c r="AY523" s="20"/>
      <c r="AZ523" s="20"/>
      <c r="BA523" s="20"/>
      <c r="BB523" s="20"/>
      <c r="BC523" s="20"/>
    </row>
    <row r="524" ht="13.5" customHeight="1" spans="1:55">
      <c r="A524" s="20"/>
      <c r="B524" s="20"/>
      <c r="C524" s="20"/>
      <c r="D524" s="20"/>
      <c r="E524" s="20"/>
      <c r="F524" s="20"/>
      <c r="G524" s="52"/>
      <c r="H524" s="20"/>
      <c r="I524" s="20"/>
      <c r="J524" s="20"/>
      <c r="K524" s="20"/>
      <c r="L524" s="20"/>
      <c r="M524" s="20"/>
      <c r="N524" s="20"/>
      <c r="O524" s="20"/>
      <c r="P524" s="20"/>
      <c r="Q524" s="20"/>
      <c r="R524" s="20"/>
      <c r="S524" s="20"/>
      <c r="T524" s="20"/>
      <c r="U524" s="20"/>
      <c r="V524" s="20"/>
      <c r="W524" s="20"/>
      <c r="X524" s="20"/>
      <c r="Y524" s="20"/>
      <c r="Z524" s="20"/>
      <c r="AA524" s="20"/>
      <c r="AB524" s="20"/>
      <c r="AC524" s="20"/>
      <c r="AD524" s="20"/>
      <c r="AE524" s="20"/>
      <c r="AF524" s="20"/>
      <c r="AG524" s="20"/>
      <c r="AH524" s="20"/>
      <c r="AI524" s="20"/>
      <c r="AJ524" s="20"/>
      <c r="AK524" s="20"/>
      <c r="AL524" s="20"/>
      <c r="AM524" s="20"/>
      <c r="AN524" s="20"/>
      <c r="AO524" s="20"/>
      <c r="AP524" s="20"/>
      <c r="AQ524" s="20"/>
      <c r="AR524" s="20"/>
      <c r="AS524" s="20"/>
      <c r="AT524" s="20"/>
      <c r="AU524" s="20"/>
      <c r="AV524" s="20"/>
      <c r="AW524" s="20"/>
      <c r="AX524" s="20"/>
      <c r="AY524" s="20"/>
      <c r="AZ524" s="20"/>
      <c r="BA524" s="20"/>
      <c r="BB524" s="20"/>
      <c r="BC524" s="20"/>
    </row>
    <row r="525" ht="13.5" customHeight="1" spans="1:55">
      <c r="A525" s="20"/>
      <c r="B525" s="20"/>
      <c r="C525" s="20"/>
      <c r="D525" s="20"/>
      <c r="E525" s="20"/>
      <c r="F525" s="20"/>
      <c r="G525" s="52"/>
      <c r="H525" s="20"/>
      <c r="I525" s="20"/>
      <c r="J525" s="20"/>
      <c r="K525" s="20"/>
      <c r="L525" s="20"/>
      <c r="M525" s="20"/>
      <c r="N525" s="20"/>
      <c r="O525" s="20"/>
      <c r="P525" s="20"/>
      <c r="Q525" s="20"/>
      <c r="R525" s="20"/>
      <c r="S525" s="20"/>
      <c r="T525" s="20"/>
      <c r="U525" s="20"/>
      <c r="V525" s="20"/>
      <c r="W525" s="20"/>
      <c r="X525" s="20"/>
      <c r="Y525" s="20"/>
      <c r="Z525" s="20"/>
      <c r="AA525" s="20"/>
      <c r="AB525" s="20"/>
      <c r="AC525" s="20"/>
      <c r="AD525" s="20"/>
      <c r="AE525" s="20"/>
      <c r="AF525" s="20"/>
      <c r="AG525" s="20"/>
      <c r="AH525" s="20"/>
      <c r="AI525" s="20"/>
      <c r="AJ525" s="20"/>
      <c r="AK525" s="20"/>
      <c r="AL525" s="20"/>
      <c r="AM525" s="20"/>
      <c r="AN525" s="20"/>
      <c r="AO525" s="20"/>
      <c r="AP525" s="20"/>
      <c r="AQ525" s="20"/>
      <c r="AR525" s="20"/>
      <c r="AS525" s="20"/>
      <c r="AT525" s="20"/>
      <c r="AU525" s="20"/>
      <c r="AV525" s="20"/>
      <c r="AW525" s="20"/>
      <c r="AX525" s="20"/>
      <c r="AY525" s="20"/>
      <c r="AZ525" s="20"/>
      <c r="BA525" s="20"/>
      <c r="BB525" s="20"/>
      <c r="BC525" s="20"/>
    </row>
    <row r="526" ht="13.5" customHeight="1" spans="1:55">
      <c r="A526" s="20"/>
      <c r="B526" s="20"/>
      <c r="C526" s="20"/>
      <c r="D526" s="20"/>
      <c r="E526" s="20"/>
      <c r="F526" s="20"/>
      <c r="G526" s="52"/>
      <c r="H526" s="20"/>
      <c r="I526" s="20"/>
      <c r="J526" s="20"/>
      <c r="K526" s="20"/>
      <c r="L526" s="20"/>
      <c r="M526" s="20"/>
      <c r="N526" s="20"/>
      <c r="O526" s="20"/>
      <c r="P526" s="20"/>
      <c r="Q526" s="20"/>
      <c r="R526" s="20"/>
      <c r="S526" s="20"/>
      <c r="T526" s="20"/>
      <c r="U526" s="20"/>
      <c r="V526" s="20"/>
      <c r="W526" s="20"/>
      <c r="X526" s="20"/>
      <c r="Y526" s="20"/>
      <c r="Z526" s="20"/>
      <c r="AA526" s="20"/>
      <c r="AB526" s="20"/>
      <c r="AC526" s="20"/>
      <c r="AD526" s="20"/>
      <c r="AE526" s="20"/>
      <c r="AF526" s="20"/>
      <c r="AG526" s="20"/>
      <c r="AH526" s="20"/>
      <c r="AI526" s="20"/>
      <c r="AJ526" s="20"/>
      <c r="AK526" s="20"/>
      <c r="AL526" s="20"/>
      <c r="AM526" s="20"/>
      <c r="AN526" s="20"/>
      <c r="AO526" s="20"/>
      <c r="AP526" s="20"/>
      <c r="AQ526" s="20"/>
      <c r="AR526" s="20"/>
      <c r="AS526" s="20"/>
      <c r="AT526" s="20"/>
      <c r="AU526" s="20"/>
      <c r="AV526" s="20"/>
      <c r="AW526" s="20"/>
      <c r="AX526" s="20"/>
      <c r="AY526" s="20"/>
      <c r="AZ526" s="20"/>
      <c r="BA526" s="20"/>
      <c r="BB526" s="20"/>
      <c r="BC526" s="20"/>
    </row>
    <row r="527" ht="13.5" customHeight="1" spans="1:55">
      <c r="A527" s="20"/>
      <c r="B527" s="20"/>
      <c r="C527" s="20"/>
      <c r="D527" s="20"/>
      <c r="E527" s="20"/>
      <c r="F527" s="20"/>
      <c r="G527" s="52"/>
      <c r="H527" s="20"/>
      <c r="I527" s="20"/>
      <c r="J527" s="20"/>
      <c r="K527" s="20"/>
      <c r="L527" s="20"/>
      <c r="M527" s="20"/>
      <c r="N527" s="20"/>
      <c r="O527" s="20"/>
      <c r="P527" s="20"/>
      <c r="Q527" s="20"/>
      <c r="R527" s="20"/>
      <c r="S527" s="20"/>
      <c r="T527" s="20"/>
      <c r="U527" s="20"/>
      <c r="V527" s="20"/>
      <c r="W527" s="20"/>
      <c r="X527" s="20"/>
      <c r="Y527" s="20"/>
      <c r="Z527" s="20"/>
      <c r="AA527" s="20"/>
      <c r="AB527" s="20"/>
      <c r="AC527" s="20"/>
      <c r="AD527" s="20"/>
      <c r="AE527" s="20"/>
      <c r="AF527" s="20"/>
      <c r="AG527" s="20"/>
      <c r="AH527" s="20"/>
      <c r="AI527" s="20"/>
      <c r="AJ527" s="20"/>
      <c r="AK527" s="20"/>
      <c r="AL527" s="20"/>
      <c r="AM527" s="20"/>
      <c r="AN527" s="20"/>
      <c r="AO527" s="20"/>
      <c r="AP527" s="20"/>
      <c r="AQ527" s="20"/>
      <c r="AR527" s="20"/>
      <c r="AS527" s="20"/>
      <c r="AT527" s="20"/>
      <c r="AU527" s="20"/>
      <c r="AV527" s="20"/>
      <c r="AW527" s="20"/>
      <c r="AX527" s="20"/>
      <c r="AY527" s="20"/>
      <c r="AZ527" s="20"/>
      <c r="BA527" s="20"/>
      <c r="BB527" s="20"/>
      <c r="BC527" s="20"/>
    </row>
    <row r="528" ht="13.5" customHeight="1" spans="1:55">
      <c r="A528" s="20"/>
      <c r="B528" s="20"/>
      <c r="C528" s="20"/>
      <c r="D528" s="20"/>
      <c r="E528" s="20"/>
      <c r="F528" s="20"/>
      <c r="G528" s="52"/>
      <c r="H528" s="20"/>
      <c r="I528" s="20"/>
      <c r="J528" s="20"/>
      <c r="K528" s="20"/>
      <c r="L528" s="20"/>
      <c r="M528" s="20"/>
      <c r="N528" s="20"/>
      <c r="O528" s="20"/>
      <c r="P528" s="20"/>
      <c r="Q528" s="20"/>
      <c r="R528" s="20"/>
      <c r="S528" s="20"/>
      <c r="T528" s="20"/>
      <c r="U528" s="20"/>
      <c r="V528" s="20"/>
      <c r="W528" s="20"/>
      <c r="X528" s="20"/>
      <c r="Y528" s="20"/>
      <c r="Z528" s="20"/>
      <c r="AA528" s="20"/>
      <c r="AB528" s="20"/>
      <c r="AC528" s="20"/>
      <c r="AD528" s="20"/>
      <c r="AE528" s="20"/>
      <c r="AF528" s="20"/>
      <c r="AG528" s="20"/>
      <c r="AH528" s="20"/>
      <c r="AI528" s="20"/>
      <c r="AJ528" s="20"/>
      <c r="AK528" s="20"/>
      <c r="AL528" s="20"/>
      <c r="AM528" s="20"/>
      <c r="AN528" s="20"/>
      <c r="AO528" s="20"/>
      <c r="AP528" s="20"/>
      <c r="AQ528" s="20"/>
      <c r="AR528" s="20"/>
      <c r="AS528" s="20"/>
      <c r="AT528" s="20"/>
      <c r="AU528" s="20"/>
      <c r="AV528" s="20"/>
      <c r="AW528" s="20"/>
      <c r="AX528" s="20"/>
      <c r="AY528" s="20"/>
      <c r="AZ528" s="20"/>
      <c r="BA528" s="20"/>
      <c r="BB528" s="20"/>
      <c r="BC528" s="20"/>
    </row>
    <row r="529" ht="13.5" customHeight="1" spans="1:55">
      <c r="A529" s="20"/>
      <c r="B529" s="20"/>
      <c r="C529" s="20"/>
      <c r="D529" s="20"/>
      <c r="E529" s="20"/>
      <c r="F529" s="20"/>
      <c r="G529" s="52"/>
      <c r="H529" s="20"/>
      <c r="I529" s="20"/>
      <c r="J529" s="20"/>
      <c r="K529" s="20"/>
      <c r="L529" s="20"/>
      <c r="M529" s="20"/>
      <c r="N529" s="20"/>
      <c r="O529" s="20"/>
      <c r="P529" s="20"/>
      <c r="Q529" s="20"/>
      <c r="R529" s="20"/>
      <c r="S529" s="20"/>
      <c r="T529" s="20"/>
      <c r="U529" s="20"/>
      <c r="V529" s="20"/>
      <c r="W529" s="20"/>
      <c r="X529" s="20"/>
      <c r="Y529" s="20"/>
      <c r="Z529" s="20"/>
      <c r="AA529" s="20"/>
      <c r="AB529" s="20"/>
      <c r="AC529" s="20"/>
      <c r="AD529" s="20"/>
      <c r="AE529" s="20"/>
      <c r="AF529" s="20"/>
      <c r="AG529" s="20"/>
      <c r="AH529" s="20"/>
      <c r="AI529" s="20"/>
      <c r="AJ529" s="20"/>
      <c r="AK529" s="20"/>
      <c r="AL529" s="20"/>
      <c r="AM529" s="20"/>
      <c r="AN529" s="20"/>
      <c r="AO529" s="20"/>
      <c r="AP529" s="20"/>
      <c r="AQ529" s="20"/>
      <c r="AR529" s="20"/>
      <c r="AS529" s="20"/>
      <c r="AT529" s="20"/>
      <c r="AU529" s="20"/>
      <c r="AV529" s="20"/>
      <c r="AW529" s="20"/>
      <c r="AX529" s="20"/>
      <c r="AY529" s="20"/>
      <c r="AZ529" s="20"/>
      <c r="BA529" s="20"/>
      <c r="BB529" s="20"/>
      <c r="BC529" s="20"/>
    </row>
    <row r="530" ht="13.5" customHeight="1" spans="1:55">
      <c r="A530" s="20"/>
      <c r="B530" s="20"/>
      <c r="C530" s="20"/>
      <c r="D530" s="20"/>
      <c r="E530" s="20"/>
      <c r="F530" s="20"/>
      <c r="G530" s="52"/>
      <c r="H530" s="20"/>
      <c r="I530" s="20"/>
      <c r="J530" s="20"/>
      <c r="K530" s="20"/>
      <c r="L530" s="20"/>
      <c r="M530" s="20"/>
      <c r="N530" s="20"/>
      <c r="O530" s="20"/>
      <c r="P530" s="20"/>
      <c r="Q530" s="20"/>
      <c r="R530" s="20"/>
      <c r="S530" s="20"/>
      <c r="T530" s="20"/>
      <c r="U530" s="20"/>
      <c r="V530" s="20"/>
      <c r="W530" s="20"/>
      <c r="X530" s="20"/>
      <c r="Y530" s="20"/>
      <c r="Z530" s="20"/>
      <c r="AA530" s="20"/>
      <c r="AB530" s="20"/>
      <c r="AC530" s="20"/>
      <c r="AD530" s="20"/>
      <c r="AE530" s="20"/>
      <c r="AF530" s="20"/>
      <c r="AG530" s="20"/>
      <c r="AH530" s="20"/>
      <c r="AI530" s="20"/>
      <c r="AJ530" s="20"/>
      <c r="AK530" s="20"/>
      <c r="AL530" s="20"/>
      <c r="AM530" s="20"/>
      <c r="AN530" s="20"/>
      <c r="AO530" s="20"/>
      <c r="AP530" s="20"/>
      <c r="AQ530" s="20"/>
      <c r="AR530" s="20"/>
      <c r="AS530" s="20"/>
      <c r="AT530" s="20"/>
      <c r="AU530" s="20"/>
      <c r="AV530" s="20"/>
      <c r="AW530" s="20"/>
      <c r="AX530" s="20"/>
      <c r="AY530" s="20"/>
      <c r="AZ530" s="20"/>
      <c r="BA530" s="20"/>
      <c r="BB530" s="20"/>
      <c r="BC530" s="20"/>
    </row>
    <row r="531" ht="13.5" customHeight="1" spans="1:55">
      <c r="A531" s="20"/>
      <c r="B531" s="20"/>
      <c r="C531" s="20"/>
      <c r="D531" s="20"/>
      <c r="E531" s="20"/>
      <c r="F531" s="20"/>
      <c r="G531" s="52"/>
      <c r="H531" s="20"/>
      <c r="I531" s="20"/>
      <c r="J531" s="20"/>
      <c r="K531" s="20"/>
      <c r="L531" s="20"/>
      <c r="M531" s="20"/>
      <c r="N531" s="20"/>
      <c r="O531" s="20"/>
      <c r="P531" s="20"/>
      <c r="Q531" s="20"/>
      <c r="R531" s="20"/>
      <c r="S531" s="20"/>
      <c r="T531" s="20"/>
      <c r="U531" s="20"/>
      <c r="V531" s="20"/>
      <c r="W531" s="20"/>
      <c r="X531" s="20"/>
      <c r="Y531" s="20"/>
      <c r="Z531" s="20"/>
      <c r="AA531" s="20"/>
      <c r="AB531" s="20"/>
      <c r="AC531" s="20"/>
      <c r="AD531" s="20"/>
      <c r="AE531" s="20"/>
      <c r="AF531" s="20"/>
      <c r="AG531" s="20"/>
      <c r="AH531" s="20"/>
      <c r="AI531" s="20"/>
      <c r="AJ531" s="20"/>
      <c r="AK531" s="20"/>
      <c r="AL531" s="20"/>
      <c r="AM531" s="20"/>
      <c r="AN531" s="20"/>
      <c r="AO531" s="20"/>
      <c r="AP531" s="20"/>
      <c r="AQ531" s="20"/>
      <c r="AR531" s="20"/>
      <c r="AS531" s="20"/>
      <c r="AT531" s="20"/>
      <c r="AU531" s="20"/>
      <c r="AV531" s="20"/>
      <c r="AW531" s="20"/>
      <c r="AX531" s="20"/>
      <c r="AY531" s="20"/>
      <c r="AZ531" s="20"/>
      <c r="BA531" s="20"/>
      <c r="BB531" s="20"/>
      <c r="BC531" s="20"/>
    </row>
    <row r="532" ht="13.5" customHeight="1" spans="1:55">
      <c r="A532" s="20"/>
      <c r="B532" s="20"/>
      <c r="C532" s="20"/>
      <c r="D532" s="20"/>
      <c r="E532" s="20"/>
      <c r="F532" s="20"/>
      <c r="G532" s="52"/>
      <c r="H532" s="20"/>
      <c r="I532" s="20"/>
      <c r="J532" s="20"/>
      <c r="K532" s="20"/>
      <c r="L532" s="20"/>
      <c r="M532" s="20"/>
      <c r="N532" s="20"/>
      <c r="O532" s="20"/>
      <c r="P532" s="20"/>
      <c r="Q532" s="20"/>
      <c r="R532" s="20"/>
      <c r="S532" s="20"/>
      <c r="T532" s="20"/>
      <c r="U532" s="20"/>
      <c r="V532" s="20"/>
      <c r="W532" s="20"/>
      <c r="X532" s="20"/>
      <c r="Y532" s="20"/>
      <c r="Z532" s="20"/>
      <c r="AA532" s="20"/>
      <c r="AB532" s="20"/>
      <c r="AC532" s="20"/>
      <c r="AD532" s="20"/>
      <c r="AE532" s="20"/>
      <c r="AF532" s="20"/>
      <c r="AG532" s="20"/>
      <c r="AH532" s="20"/>
      <c r="AI532" s="20"/>
      <c r="AJ532" s="20"/>
      <c r="AK532" s="20"/>
      <c r="AL532" s="20"/>
      <c r="AM532" s="20"/>
      <c r="AN532" s="20"/>
      <c r="AO532" s="20"/>
      <c r="AP532" s="20"/>
      <c r="AQ532" s="20"/>
      <c r="AR532" s="20"/>
      <c r="AS532" s="20"/>
      <c r="AT532" s="20"/>
      <c r="AU532" s="20"/>
      <c r="AV532" s="20"/>
      <c r="AW532" s="20"/>
      <c r="AX532" s="20"/>
      <c r="AY532" s="20"/>
      <c r="AZ532" s="20"/>
      <c r="BA532" s="20"/>
      <c r="BB532" s="20"/>
      <c r="BC532" s="20"/>
    </row>
    <row r="533" ht="13.5" customHeight="1" spans="1:55">
      <c r="A533" s="20"/>
      <c r="B533" s="20"/>
      <c r="C533" s="20"/>
      <c r="D533" s="20"/>
      <c r="E533" s="20"/>
      <c r="F533" s="20"/>
      <c r="G533" s="52"/>
      <c r="H533" s="20"/>
      <c r="I533" s="20"/>
      <c r="J533" s="20"/>
      <c r="K533" s="20"/>
      <c r="L533" s="20"/>
      <c r="M533" s="20"/>
      <c r="N533" s="20"/>
      <c r="O533" s="20"/>
      <c r="P533" s="20"/>
      <c r="Q533" s="20"/>
      <c r="R533" s="20"/>
      <c r="S533" s="20"/>
      <c r="T533" s="20"/>
      <c r="U533" s="20"/>
      <c r="V533" s="20"/>
      <c r="W533" s="20"/>
      <c r="X533" s="20"/>
      <c r="Y533" s="20"/>
      <c r="Z533" s="20"/>
      <c r="AA533" s="20"/>
      <c r="AB533" s="20"/>
      <c r="AC533" s="20"/>
      <c r="AD533" s="20"/>
      <c r="AE533" s="20"/>
      <c r="AF533" s="20"/>
      <c r="AG533" s="20"/>
      <c r="AH533" s="20"/>
      <c r="AI533" s="20"/>
      <c r="AJ533" s="20"/>
      <c r="AK533" s="20"/>
      <c r="AL533" s="20"/>
      <c r="AM533" s="20"/>
      <c r="AN533" s="20"/>
      <c r="AO533" s="20"/>
      <c r="AP533" s="20"/>
      <c r="AQ533" s="20"/>
      <c r="AR533" s="20"/>
      <c r="AS533" s="20"/>
      <c r="AT533" s="20"/>
      <c r="AU533" s="20"/>
      <c r="AV533" s="20"/>
      <c r="AW533" s="20"/>
      <c r="AX533" s="20"/>
      <c r="AY533" s="20"/>
      <c r="AZ533" s="20"/>
      <c r="BA533" s="20"/>
      <c r="BB533" s="20"/>
      <c r="BC533" s="20"/>
    </row>
    <row r="534" ht="13.5" customHeight="1" spans="1:55">
      <c r="A534" s="20"/>
      <c r="B534" s="20"/>
      <c r="C534" s="20"/>
      <c r="D534" s="20"/>
      <c r="E534" s="20"/>
      <c r="F534" s="20"/>
      <c r="G534" s="52"/>
      <c r="H534" s="20"/>
      <c r="I534" s="20"/>
      <c r="J534" s="20"/>
      <c r="K534" s="20"/>
      <c r="L534" s="20"/>
      <c r="M534" s="20"/>
      <c r="N534" s="20"/>
      <c r="O534" s="20"/>
      <c r="P534" s="20"/>
      <c r="Q534" s="20"/>
      <c r="R534" s="20"/>
      <c r="S534" s="20"/>
      <c r="T534" s="20"/>
      <c r="U534" s="20"/>
      <c r="V534" s="20"/>
      <c r="W534" s="20"/>
      <c r="X534" s="20"/>
      <c r="Y534" s="20"/>
      <c r="Z534" s="20"/>
      <c r="AA534" s="20"/>
      <c r="AB534" s="20"/>
      <c r="AC534" s="20"/>
      <c r="AD534" s="20"/>
      <c r="AE534" s="20"/>
      <c r="AF534" s="20"/>
      <c r="AG534" s="20"/>
      <c r="AH534" s="20"/>
      <c r="AI534" s="20"/>
      <c r="AJ534" s="20"/>
      <c r="AK534" s="20"/>
      <c r="AL534" s="20"/>
      <c r="AM534" s="20"/>
      <c r="AN534" s="20"/>
      <c r="AO534" s="20"/>
      <c r="AP534" s="20"/>
      <c r="AQ534" s="20"/>
      <c r="AR534" s="20"/>
      <c r="AS534" s="20"/>
      <c r="AT534" s="20"/>
      <c r="AU534" s="20"/>
      <c r="AV534" s="20"/>
      <c r="AW534" s="20"/>
      <c r="AX534" s="20"/>
      <c r="AY534" s="20"/>
      <c r="AZ534" s="20"/>
      <c r="BA534" s="20"/>
      <c r="BB534" s="20"/>
      <c r="BC534" s="20"/>
    </row>
    <row r="535" ht="13.5" customHeight="1" spans="1:55">
      <c r="A535" s="20"/>
      <c r="B535" s="20"/>
      <c r="C535" s="20"/>
      <c r="D535" s="20"/>
      <c r="E535" s="20"/>
      <c r="F535" s="20"/>
      <c r="G535" s="52"/>
      <c r="H535" s="20"/>
      <c r="I535" s="20"/>
      <c r="J535" s="20"/>
      <c r="K535" s="20"/>
      <c r="L535" s="20"/>
      <c r="M535" s="20"/>
      <c r="N535" s="20"/>
      <c r="O535" s="20"/>
      <c r="P535" s="20"/>
      <c r="Q535" s="20"/>
      <c r="R535" s="20"/>
      <c r="S535" s="20"/>
      <c r="T535" s="20"/>
      <c r="U535" s="20"/>
      <c r="V535" s="20"/>
      <c r="W535" s="20"/>
      <c r="X535" s="20"/>
      <c r="Y535" s="20"/>
      <c r="Z535" s="20"/>
      <c r="AA535" s="20"/>
      <c r="AB535" s="20"/>
      <c r="AC535" s="20"/>
      <c r="AD535" s="20"/>
      <c r="AE535" s="20"/>
      <c r="AF535" s="20"/>
      <c r="AG535" s="20"/>
      <c r="AH535" s="20"/>
      <c r="AI535" s="20"/>
      <c r="AJ535" s="20"/>
      <c r="AK535" s="20"/>
      <c r="AL535" s="20"/>
      <c r="AM535" s="20"/>
      <c r="AN535" s="20"/>
      <c r="AO535" s="20"/>
      <c r="AP535" s="20"/>
      <c r="AQ535" s="20"/>
      <c r="AR535" s="20"/>
      <c r="AS535" s="20"/>
      <c r="AT535" s="20"/>
      <c r="AU535" s="20"/>
      <c r="AV535" s="20"/>
      <c r="AW535" s="20"/>
      <c r="AX535" s="20"/>
      <c r="AY535" s="20"/>
      <c r="AZ535" s="20"/>
      <c r="BA535" s="20"/>
      <c r="BB535" s="20"/>
      <c r="BC535" s="20"/>
    </row>
    <row r="536" ht="13.5" customHeight="1" spans="1:55">
      <c r="A536" s="20"/>
      <c r="B536" s="20"/>
      <c r="C536" s="20"/>
      <c r="D536" s="20"/>
      <c r="E536" s="20"/>
      <c r="F536" s="20"/>
      <c r="G536" s="52"/>
      <c r="H536" s="20"/>
      <c r="I536" s="20"/>
      <c r="J536" s="20"/>
      <c r="K536" s="20"/>
      <c r="L536" s="20"/>
      <c r="M536" s="20"/>
      <c r="N536" s="20"/>
      <c r="O536" s="20"/>
      <c r="P536" s="20"/>
      <c r="Q536" s="20"/>
      <c r="R536" s="20"/>
      <c r="S536" s="20"/>
      <c r="T536" s="20"/>
      <c r="U536" s="20"/>
      <c r="V536" s="20"/>
      <c r="W536" s="20"/>
      <c r="X536" s="20"/>
      <c r="Y536" s="20"/>
      <c r="Z536" s="20"/>
      <c r="AA536" s="20"/>
      <c r="AB536" s="20"/>
      <c r="AC536" s="20"/>
      <c r="AD536" s="20"/>
      <c r="AE536" s="20"/>
      <c r="AF536" s="20"/>
      <c r="AG536" s="20"/>
      <c r="AH536" s="20"/>
      <c r="AI536" s="20"/>
      <c r="AJ536" s="20"/>
      <c r="AK536" s="20"/>
      <c r="AL536" s="20"/>
      <c r="AM536" s="20"/>
      <c r="AN536" s="20"/>
      <c r="AO536" s="20"/>
      <c r="AP536" s="20"/>
      <c r="AQ536" s="20"/>
      <c r="AR536" s="20"/>
      <c r="AS536" s="20"/>
      <c r="AT536" s="20"/>
      <c r="AU536" s="20"/>
      <c r="AV536" s="20"/>
      <c r="AW536" s="20"/>
      <c r="AX536" s="20"/>
      <c r="AY536" s="20"/>
      <c r="AZ536" s="20"/>
      <c r="BA536" s="20"/>
      <c r="BB536" s="20"/>
      <c r="BC536" s="20"/>
    </row>
    <row r="537" ht="13.5" customHeight="1" spans="1:55">
      <c r="A537" s="20"/>
      <c r="B537" s="20"/>
      <c r="C537" s="20"/>
      <c r="D537" s="20"/>
      <c r="E537" s="20"/>
      <c r="F537" s="20"/>
      <c r="G537" s="52"/>
      <c r="H537" s="20"/>
      <c r="I537" s="20"/>
      <c r="J537" s="20"/>
      <c r="K537" s="20"/>
      <c r="L537" s="20"/>
      <c r="M537" s="20"/>
      <c r="N537" s="20"/>
      <c r="O537" s="20"/>
      <c r="P537" s="20"/>
      <c r="Q537" s="20"/>
      <c r="R537" s="20"/>
      <c r="S537" s="20"/>
      <c r="T537" s="20"/>
      <c r="U537" s="20"/>
      <c r="V537" s="20"/>
      <c r="W537" s="20"/>
      <c r="X537" s="20"/>
      <c r="Y537" s="20"/>
      <c r="Z537" s="20"/>
      <c r="AA537" s="20"/>
      <c r="AB537" s="20"/>
      <c r="AC537" s="20"/>
      <c r="AD537" s="20"/>
      <c r="AE537" s="20"/>
      <c r="AF537" s="20"/>
      <c r="AG537" s="20"/>
      <c r="AH537" s="20"/>
      <c r="AI537" s="20"/>
      <c r="AJ537" s="20"/>
      <c r="AK537" s="20"/>
      <c r="AL537" s="20"/>
      <c r="AM537" s="20"/>
      <c r="AN537" s="20"/>
      <c r="AO537" s="20"/>
      <c r="AP537" s="20"/>
      <c r="AQ537" s="20"/>
      <c r="AR537" s="20"/>
      <c r="AS537" s="20"/>
      <c r="AT537" s="20"/>
      <c r="AU537" s="20"/>
      <c r="AV537" s="20"/>
      <c r="AW537" s="20"/>
      <c r="AX537" s="20"/>
      <c r="AY537" s="20"/>
      <c r="AZ537" s="20"/>
      <c r="BA537" s="20"/>
      <c r="BB537" s="20"/>
      <c r="BC537" s="20"/>
    </row>
    <row r="538" ht="13.5" customHeight="1" spans="1:55">
      <c r="A538" s="20"/>
      <c r="B538" s="20"/>
      <c r="C538" s="20"/>
      <c r="D538" s="20"/>
      <c r="E538" s="20"/>
      <c r="F538" s="20"/>
      <c r="G538" s="52"/>
      <c r="H538" s="20"/>
      <c r="I538" s="20"/>
      <c r="J538" s="20"/>
      <c r="K538" s="20"/>
      <c r="L538" s="20"/>
      <c r="M538" s="20"/>
      <c r="N538" s="20"/>
      <c r="O538" s="20"/>
      <c r="P538" s="20"/>
      <c r="Q538" s="20"/>
      <c r="R538" s="20"/>
      <c r="S538" s="20"/>
      <c r="T538" s="20"/>
      <c r="U538" s="20"/>
      <c r="V538" s="20"/>
      <c r="W538" s="20"/>
      <c r="X538" s="20"/>
      <c r="Y538" s="20"/>
      <c r="Z538" s="20"/>
      <c r="AA538" s="20"/>
      <c r="AB538" s="20"/>
      <c r="AC538" s="20"/>
      <c r="AD538" s="20"/>
      <c r="AE538" s="20"/>
      <c r="AF538" s="20"/>
      <c r="AG538" s="20"/>
      <c r="AH538" s="20"/>
      <c r="AI538" s="20"/>
      <c r="AJ538" s="20"/>
      <c r="AK538" s="20"/>
      <c r="AL538" s="20"/>
      <c r="AM538" s="20"/>
      <c r="AN538" s="20"/>
      <c r="AO538" s="20"/>
      <c r="AP538" s="20"/>
      <c r="AQ538" s="20"/>
      <c r="AR538" s="20"/>
      <c r="AS538" s="20"/>
      <c r="AT538" s="20"/>
      <c r="AU538" s="20"/>
      <c r="AV538" s="20"/>
      <c r="AW538" s="20"/>
      <c r="AX538" s="20"/>
      <c r="AY538" s="20"/>
      <c r="AZ538" s="20"/>
      <c r="BA538" s="20"/>
      <c r="BB538" s="20"/>
      <c r="BC538" s="20"/>
    </row>
    <row r="539" ht="13.5" customHeight="1" spans="1:55">
      <c r="A539" s="20"/>
      <c r="B539" s="20"/>
      <c r="C539" s="20"/>
      <c r="D539" s="20"/>
      <c r="E539" s="20"/>
      <c r="F539" s="20"/>
      <c r="G539" s="52"/>
      <c r="H539" s="20"/>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row>
    <row r="540" ht="13.5" customHeight="1" spans="1:55">
      <c r="A540" s="20"/>
      <c r="B540" s="20"/>
      <c r="C540" s="20"/>
      <c r="D540" s="20"/>
      <c r="E540" s="20"/>
      <c r="F540" s="20"/>
      <c r="G540" s="52"/>
      <c r="H540" s="20"/>
      <c r="I540" s="20"/>
      <c r="J540" s="20"/>
      <c r="K540" s="20"/>
      <c r="L540" s="20"/>
      <c r="M540" s="20"/>
      <c r="N540" s="20"/>
      <c r="O540" s="20"/>
      <c r="P540" s="20"/>
      <c r="Q540" s="20"/>
      <c r="R540" s="20"/>
      <c r="S540" s="20"/>
      <c r="T540" s="20"/>
      <c r="U540" s="20"/>
      <c r="V540" s="20"/>
      <c r="W540" s="20"/>
      <c r="X540" s="20"/>
      <c r="Y540" s="20"/>
      <c r="Z540" s="20"/>
      <c r="AA540" s="20"/>
      <c r="AB540" s="20"/>
      <c r="AC540" s="20"/>
      <c r="AD540" s="20"/>
      <c r="AE540" s="20"/>
      <c r="AF540" s="20"/>
      <c r="AG540" s="20"/>
      <c r="AH540" s="20"/>
      <c r="AI540" s="20"/>
      <c r="AJ540" s="20"/>
      <c r="AK540" s="20"/>
      <c r="AL540" s="20"/>
      <c r="AM540" s="20"/>
      <c r="AN540" s="20"/>
      <c r="AO540" s="20"/>
      <c r="AP540" s="20"/>
      <c r="AQ540" s="20"/>
      <c r="AR540" s="20"/>
      <c r="AS540" s="20"/>
      <c r="AT540" s="20"/>
      <c r="AU540" s="20"/>
      <c r="AV540" s="20"/>
      <c r="AW540" s="20"/>
      <c r="AX540" s="20"/>
      <c r="AY540" s="20"/>
      <c r="AZ540" s="20"/>
      <c r="BA540" s="20"/>
      <c r="BB540" s="20"/>
      <c r="BC540" s="20"/>
    </row>
    <row r="541" ht="13.5" customHeight="1" spans="1:55">
      <c r="A541" s="20"/>
      <c r="B541" s="20"/>
      <c r="C541" s="20"/>
      <c r="D541" s="20"/>
      <c r="E541" s="20"/>
      <c r="F541" s="20"/>
      <c r="G541" s="52"/>
      <c r="H541" s="20"/>
      <c r="I541" s="20"/>
      <c r="J541" s="20"/>
      <c r="K541" s="20"/>
      <c r="L541" s="20"/>
      <c r="M541" s="20"/>
      <c r="N541" s="20"/>
      <c r="O541" s="20"/>
      <c r="P541" s="20"/>
      <c r="Q541" s="20"/>
      <c r="R541" s="20"/>
      <c r="S541" s="20"/>
      <c r="T541" s="20"/>
      <c r="U541" s="20"/>
      <c r="V541" s="20"/>
      <c r="W541" s="20"/>
      <c r="X541" s="20"/>
      <c r="Y541" s="20"/>
      <c r="Z541" s="20"/>
      <c r="AA541" s="20"/>
      <c r="AB541" s="20"/>
      <c r="AC541" s="20"/>
      <c r="AD541" s="20"/>
      <c r="AE541" s="20"/>
      <c r="AF541" s="20"/>
      <c r="AG541" s="20"/>
      <c r="AH541" s="20"/>
      <c r="AI541" s="20"/>
      <c r="AJ541" s="20"/>
      <c r="AK541" s="20"/>
      <c r="AL541" s="20"/>
      <c r="AM541" s="20"/>
      <c r="AN541" s="20"/>
      <c r="AO541" s="20"/>
      <c r="AP541" s="20"/>
      <c r="AQ541" s="20"/>
      <c r="AR541" s="20"/>
      <c r="AS541" s="20"/>
      <c r="AT541" s="20"/>
      <c r="AU541" s="20"/>
      <c r="AV541" s="20"/>
      <c r="AW541" s="20"/>
      <c r="AX541" s="20"/>
      <c r="AY541" s="20"/>
      <c r="AZ541" s="20"/>
      <c r="BA541" s="20"/>
      <c r="BB541" s="20"/>
      <c r="BC541" s="20"/>
    </row>
    <row r="542" ht="13.5" customHeight="1" spans="1:55">
      <c r="A542" s="20"/>
      <c r="B542" s="20"/>
      <c r="C542" s="20"/>
      <c r="D542" s="20"/>
      <c r="E542" s="20"/>
      <c r="F542" s="20"/>
      <c r="G542" s="52"/>
      <c r="H542" s="20"/>
      <c r="I542" s="20"/>
      <c r="J542" s="20"/>
      <c r="K542" s="20"/>
      <c r="L542" s="20"/>
      <c r="M542" s="20"/>
      <c r="N542" s="20"/>
      <c r="O542" s="20"/>
      <c r="P542" s="20"/>
      <c r="Q542" s="20"/>
      <c r="R542" s="20"/>
      <c r="S542" s="20"/>
      <c r="T542" s="20"/>
      <c r="U542" s="20"/>
      <c r="V542" s="20"/>
      <c r="W542" s="20"/>
      <c r="X542" s="20"/>
      <c r="Y542" s="20"/>
      <c r="Z542" s="20"/>
      <c r="AA542" s="20"/>
      <c r="AB542" s="20"/>
      <c r="AC542" s="20"/>
      <c r="AD542" s="20"/>
      <c r="AE542" s="20"/>
      <c r="AF542" s="20"/>
      <c r="AG542" s="20"/>
      <c r="AH542" s="20"/>
      <c r="AI542" s="20"/>
      <c r="AJ542" s="20"/>
      <c r="AK542" s="20"/>
      <c r="AL542" s="20"/>
      <c r="AM542" s="20"/>
      <c r="AN542" s="20"/>
      <c r="AO542" s="20"/>
      <c r="AP542" s="20"/>
      <c r="AQ542" s="20"/>
      <c r="AR542" s="20"/>
      <c r="AS542" s="20"/>
      <c r="AT542" s="20"/>
      <c r="AU542" s="20"/>
      <c r="AV542" s="20"/>
      <c r="AW542" s="20"/>
      <c r="AX542" s="20"/>
      <c r="AY542" s="20"/>
      <c r="AZ542" s="20"/>
      <c r="BA542" s="20"/>
      <c r="BB542" s="20"/>
      <c r="BC542" s="20"/>
    </row>
    <row r="543" ht="13.5" customHeight="1" spans="1:55">
      <c r="A543" s="20"/>
      <c r="B543" s="20"/>
      <c r="C543" s="20"/>
      <c r="D543" s="20"/>
      <c r="E543" s="20"/>
      <c r="F543" s="20"/>
      <c r="G543" s="52"/>
      <c r="H543" s="20"/>
      <c r="I543" s="20"/>
      <c r="J543" s="20"/>
      <c r="K543" s="20"/>
      <c r="L543" s="20"/>
      <c r="M543" s="20"/>
      <c r="N543" s="20"/>
      <c r="O543" s="20"/>
      <c r="P543" s="20"/>
      <c r="Q543" s="20"/>
      <c r="R543" s="20"/>
      <c r="S543" s="20"/>
      <c r="T543" s="20"/>
      <c r="U543" s="20"/>
      <c r="V543" s="20"/>
      <c r="W543" s="20"/>
      <c r="X543" s="20"/>
      <c r="Y543" s="20"/>
      <c r="Z543" s="20"/>
      <c r="AA543" s="20"/>
      <c r="AB543" s="20"/>
      <c r="AC543" s="20"/>
      <c r="AD543" s="20"/>
      <c r="AE543" s="20"/>
      <c r="AF543" s="20"/>
      <c r="AG543" s="20"/>
      <c r="AH543" s="20"/>
      <c r="AI543" s="20"/>
      <c r="AJ543" s="20"/>
      <c r="AK543" s="20"/>
      <c r="AL543" s="20"/>
      <c r="AM543" s="20"/>
      <c r="AN543" s="20"/>
      <c r="AO543" s="20"/>
      <c r="AP543" s="20"/>
      <c r="AQ543" s="20"/>
      <c r="AR543" s="20"/>
      <c r="AS543" s="20"/>
      <c r="AT543" s="20"/>
      <c r="AU543" s="20"/>
      <c r="AV543" s="20"/>
      <c r="AW543" s="20"/>
      <c r="AX543" s="20"/>
      <c r="AY543" s="20"/>
      <c r="AZ543" s="20"/>
      <c r="BA543" s="20"/>
      <c r="BB543" s="20"/>
      <c r="BC543" s="20"/>
    </row>
    <row r="544" ht="13.5" customHeight="1" spans="1:55">
      <c r="A544" s="20"/>
      <c r="B544" s="20"/>
      <c r="C544" s="20"/>
      <c r="D544" s="20"/>
      <c r="E544" s="20"/>
      <c r="F544" s="20"/>
      <c r="G544" s="52"/>
      <c r="H544" s="20"/>
      <c r="I544" s="20"/>
      <c r="J544" s="20"/>
      <c r="K544" s="20"/>
      <c r="L544" s="20"/>
      <c r="M544" s="20"/>
      <c r="N544" s="20"/>
      <c r="O544" s="20"/>
      <c r="P544" s="20"/>
      <c r="Q544" s="20"/>
      <c r="R544" s="20"/>
      <c r="S544" s="20"/>
      <c r="T544" s="20"/>
      <c r="U544" s="20"/>
      <c r="V544" s="20"/>
      <c r="W544" s="20"/>
      <c r="X544" s="20"/>
      <c r="Y544" s="20"/>
      <c r="Z544" s="20"/>
      <c r="AA544" s="20"/>
      <c r="AB544" s="20"/>
      <c r="AC544" s="20"/>
      <c r="AD544" s="20"/>
      <c r="AE544" s="20"/>
      <c r="AF544" s="20"/>
      <c r="AG544" s="20"/>
      <c r="AH544" s="20"/>
      <c r="AI544" s="20"/>
      <c r="AJ544" s="20"/>
      <c r="AK544" s="20"/>
      <c r="AL544" s="20"/>
      <c r="AM544" s="20"/>
      <c r="AN544" s="20"/>
      <c r="AO544" s="20"/>
      <c r="AP544" s="20"/>
      <c r="AQ544" s="20"/>
      <c r="AR544" s="20"/>
      <c r="AS544" s="20"/>
      <c r="AT544" s="20"/>
      <c r="AU544" s="20"/>
      <c r="AV544" s="20"/>
      <c r="AW544" s="20"/>
      <c r="AX544" s="20"/>
      <c r="AY544" s="20"/>
      <c r="AZ544" s="20"/>
      <c r="BA544" s="20"/>
      <c r="BB544" s="20"/>
      <c r="BC544" s="20"/>
    </row>
    <row r="545" ht="13.5" customHeight="1" spans="1:55">
      <c r="A545" s="20"/>
      <c r="B545" s="20"/>
      <c r="C545" s="20"/>
      <c r="D545" s="20"/>
      <c r="E545" s="20"/>
      <c r="F545" s="20"/>
      <c r="G545" s="52"/>
      <c r="H545" s="20"/>
      <c r="I545" s="20"/>
      <c r="J545" s="20"/>
      <c r="K545" s="20"/>
      <c r="L545" s="20"/>
      <c r="M545" s="20"/>
      <c r="N545" s="20"/>
      <c r="O545" s="20"/>
      <c r="P545" s="20"/>
      <c r="Q545" s="20"/>
      <c r="R545" s="20"/>
      <c r="S545" s="20"/>
      <c r="T545" s="20"/>
      <c r="U545" s="20"/>
      <c r="V545" s="20"/>
      <c r="W545" s="20"/>
      <c r="X545" s="20"/>
      <c r="Y545" s="20"/>
      <c r="Z545" s="20"/>
      <c r="AA545" s="20"/>
      <c r="AB545" s="20"/>
      <c r="AC545" s="20"/>
      <c r="AD545" s="20"/>
      <c r="AE545" s="20"/>
      <c r="AF545" s="20"/>
      <c r="AG545" s="20"/>
      <c r="AH545" s="20"/>
      <c r="AI545" s="20"/>
      <c r="AJ545" s="20"/>
      <c r="AK545" s="20"/>
      <c r="AL545" s="20"/>
      <c r="AM545" s="20"/>
      <c r="AN545" s="20"/>
      <c r="AO545" s="20"/>
      <c r="AP545" s="20"/>
      <c r="AQ545" s="20"/>
      <c r="AR545" s="20"/>
      <c r="AS545" s="20"/>
      <c r="AT545" s="20"/>
      <c r="AU545" s="20"/>
      <c r="AV545" s="20"/>
      <c r="AW545" s="20"/>
      <c r="AX545" s="20"/>
      <c r="AY545" s="20"/>
      <c r="AZ545" s="20"/>
      <c r="BA545" s="20"/>
      <c r="BB545" s="20"/>
      <c r="BC545" s="20"/>
    </row>
    <row r="546" ht="13.5" customHeight="1" spans="1:55">
      <c r="A546" s="20"/>
      <c r="B546" s="20"/>
      <c r="C546" s="20"/>
      <c r="D546" s="20"/>
      <c r="E546" s="20"/>
      <c r="F546" s="20"/>
      <c r="G546" s="52"/>
      <c r="H546" s="20"/>
      <c r="I546" s="20"/>
      <c r="J546" s="20"/>
      <c r="K546" s="20"/>
      <c r="L546" s="20"/>
      <c r="M546" s="20"/>
      <c r="N546" s="20"/>
      <c r="O546" s="20"/>
      <c r="P546" s="20"/>
      <c r="Q546" s="20"/>
      <c r="R546" s="20"/>
      <c r="S546" s="20"/>
      <c r="T546" s="20"/>
      <c r="U546" s="20"/>
      <c r="V546" s="20"/>
      <c r="W546" s="20"/>
      <c r="X546" s="20"/>
      <c r="Y546" s="20"/>
      <c r="Z546" s="20"/>
      <c r="AA546" s="20"/>
      <c r="AB546" s="20"/>
      <c r="AC546" s="20"/>
      <c r="AD546" s="20"/>
      <c r="AE546" s="20"/>
      <c r="AF546" s="20"/>
      <c r="AG546" s="20"/>
      <c r="AH546" s="20"/>
      <c r="AI546" s="20"/>
      <c r="AJ546" s="20"/>
      <c r="AK546" s="20"/>
      <c r="AL546" s="20"/>
      <c r="AM546" s="20"/>
      <c r="AN546" s="20"/>
      <c r="AO546" s="20"/>
      <c r="AP546" s="20"/>
      <c r="AQ546" s="20"/>
      <c r="AR546" s="20"/>
      <c r="AS546" s="20"/>
      <c r="AT546" s="20"/>
      <c r="AU546" s="20"/>
      <c r="AV546" s="20"/>
      <c r="AW546" s="20"/>
      <c r="AX546" s="20"/>
      <c r="AY546" s="20"/>
      <c r="AZ546" s="20"/>
      <c r="BA546" s="20"/>
      <c r="BB546" s="20"/>
      <c r="BC546" s="20"/>
    </row>
    <row r="547" ht="13.5" customHeight="1" spans="1:55">
      <c r="A547" s="20"/>
      <c r="B547" s="20"/>
      <c r="C547" s="20"/>
      <c r="D547" s="20"/>
      <c r="E547" s="20"/>
      <c r="F547" s="20"/>
      <c r="G547" s="52"/>
      <c r="H547" s="20"/>
      <c r="I547" s="20"/>
      <c r="J547" s="20"/>
      <c r="K547" s="20"/>
      <c r="L547" s="20"/>
      <c r="M547" s="20"/>
      <c r="N547" s="20"/>
      <c r="O547" s="20"/>
      <c r="P547" s="20"/>
      <c r="Q547" s="20"/>
      <c r="R547" s="20"/>
      <c r="S547" s="20"/>
      <c r="T547" s="20"/>
      <c r="U547" s="20"/>
      <c r="V547" s="20"/>
      <c r="W547" s="20"/>
      <c r="X547" s="20"/>
      <c r="Y547" s="20"/>
      <c r="Z547" s="20"/>
      <c r="AA547" s="20"/>
      <c r="AB547" s="20"/>
      <c r="AC547" s="20"/>
      <c r="AD547" s="20"/>
      <c r="AE547" s="20"/>
      <c r="AF547" s="20"/>
      <c r="AG547" s="20"/>
      <c r="AH547" s="20"/>
      <c r="AI547" s="20"/>
      <c r="AJ547" s="20"/>
      <c r="AK547" s="20"/>
      <c r="AL547" s="20"/>
      <c r="AM547" s="20"/>
      <c r="AN547" s="20"/>
      <c r="AO547" s="20"/>
      <c r="AP547" s="20"/>
      <c r="AQ547" s="20"/>
      <c r="AR547" s="20"/>
      <c r="AS547" s="20"/>
      <c r="AT547" s="20"/>
      <c r="AU547" s="20"/>
      <c r="AV547" s="20"/>
      <c r="AW547" s="20"/>
      <c r="AX547" s="20"/>
      <c r="AY547" s="20"/>
      <c r="AZ547" s="20"/>
      <c r="BA547" s="20"/>
      <c r="BB547" s="20"/>
      <c r="BC547" s="20"/>
    </row>
    <row r="548" ht="13.5" customHeight="1" spans="1:55">
      <c r="A548" s="20"/>
      <c r="B548" s="20"/>
      <c r="C548" s="20"/>
      <c r="D548" s="20"/>
      <c r="E548" s="20"/>
      <c r="F548" s="20"/>
      <c r="G548" s="52"/>
      <c r="H548" s="20"/>
      <c r="I548" s="20"/>
      <c r="J548" s="20"/>
      <c r="K548" s="20"/>
      <c r="L548" s="20"/>
      <c r="M548" s="20"/>
      <c r="N548" s="20"/>
      <c r="O548" s="20"/>
      <c r="P548" s="20"/>
      <c r="Q548" s="20"/>
      <c r="R548" s="20"/>
      <c r="S548" s="20"/>
      <c r="T548" s="20"/>
      <c r="U548" s="20"/>
      <c r="V548" s="20"/>
      <c r="W548" s="20"/>
      <c r="X548" s="20"/>
      <c r="Y548" s="20"/>
      <c r="Z548" s="20"/>
      <c r="AA548" s="20"/>
      <c r="AB548" s="20"/>
      <c r="AC548" s="20"/>
      <c r="AD548" s="20"/>
      <c r="AE548" s="20"/>
      <c r="AF548" s="20"/>
      <c r="AG548" s="20"/>
      <c r="AH548" s="20"/>
      <c r="AI548" s="20"/>
      <c r="AJ548" s="20"/>
      <c r="AK548" s="20"/>
      <c r="AL548" s="20"/>
      <c r="AM548" s="20"/>
      <c r="AN548" s="20"/>
      <c r="AO548" s="20"/>
      <c r="AP548" s="20"/>
      <c r="AQ548" s="20"/>
      <c r="AR548" s="20"/>
      <c r="AS548" s="20"/>
      <c r="AT548" s="20"/>
      <c r="AU548" s="20"/>
      <c r="AV548" s="20"/>
      <c r="AW548" s="20"/>
      <c r="AX548" s="20"/>
      <c r="AY548" s="20"/>
      <c r="AZ548" s="20"/>
      <c r="BA548" s="20"/>
      <c r="BB548" s="20"/>
      <c r="BC548" s="20"/>
    </row>
    <row r="549" ht="13.5" customHeight="1" spans="1:55">
      <c r="A549" s="20"/>
      <c r="B549" s="20"/>
      <c r="C549" s="20"/>
      <c r="D549" s="20"/>
      <c r="E549" s="20"/>
      <c r="F549" s="20"/>
      <c r="G549" s="52"/>
      <c r="H549" s="20"/>
      <c r="I549" s="20"/>
      <c r="J549" s="20"/>
      <c r="K549" s="20"/>
      <c r="L549" s="20"/>
      <c r="M549" s="20"/>
      <c r="N549" s="20"/>
      <c r="O549" s="20"/>
      <c r="P549" s="20"/>
      <c r="Q549" s="20"/>
      <c r="R549" s="20"/>
      <c r="S549" s="20"/>
      <c r="T549" s="20"/>
      <c r="U549" s="20"/>
      <c r="V549" s="20"/>
      <c r="W549" s="20"/>
      <c r="X549" s="20"/>
      <c r="Y549" s="20"/>
      <c r="Z549" s="20"/>
      <c r="AA549" s="20"/>
      <c r="AB549" s="20"/>
      <c r="AC549" s="20"/>
      <c r="AD549" s="20"/>
      <c r="AE549" s="20"/>
      <c r="AF549" s="20"/>
      <c r="AG549" s="20"/>
      <c r="AH549" s="20"/>
      <c r="AI549" s="20"/>
      <c r="AJ549" s="20"/>
      <c r="AK549" s="20"/>
      <c r="AL549" s="20"/>
      <c r="AM549" s="20"/>
      <c r="AN549" s="20"/>
      <c r="AO549" s="20"/>
      <c r="AP549" s="20"/>
      <c r="AQ549" s="20"/>
      <c r="AR549" s="20"/>
      <c r="AS549" s="20"/>
      <c r="AT549" s="20"/>
      <c r="AU549" s="20"/>
      <c r="AV549" s="20"/>
      <c r="AW549" s="20"/>
      <c r="AX549" s="20"/>
      <c r="AY549" s="20"/>
      <c r="AZ549" s="20"/>
      <c r="BA549" s="20"/>
      <c r="BB549" s="20"/>
      <c r="BC549" s="20"/>
    </row>
    <row r="550" ht="13.5" customHeight="1" spans="1:55">
      <c r="A550" s="20"/>
      <c r="B550" s="20"/>
      <c r="C550" s="20"/>
      <c r="D550" s="20"/>
      <c r="E550" s="20"/>
      <c r="F550" s="20"/>
      <c r="G550" s="52"/>
      <c r="H550" s="20"/>
      <c r="I550" s="20"/>
      <c r="J550" s="20"/>
      <c r="K550" s="20"/>
      <c r="L550" s="20"/>
      <c r="M550" s="20"/>
      <c r="N550" s="20"/>
      <c r="O550" s="20"/>
      <c r="P550" s="20"/>
      <c r="Q550" s="20"/>
      <c r="R550" s="20"/>
      <c r="S550" s="20"/>
      <c r="T550" s="20"/>
      <c r="U550" s="20"/>
      <c r="V550" s="20"/>
      <c r="W550" s="20"/>
      <c r="X550" s="20"/>
      <c r="Y550" s="20"/>
      <c r="Z550" s="20"/>
      <c r="AA550" s="20"/>
      <c r="AB550" s="20"/>
      <c r="AC550" s="20"/>
      <c r="AD550" s="20"/>
      <c r="AE550" s="20"/>
      <c r="AF550" s="20"/>
      <c r="AG550" s="20"/>
      <c r="AH550" s="20"/>
      <c r="AI550" s="20"/>
      <c r="AJ550" s="20"/>
      <c r="AK550" s="20"/>
      <c r="AL550" s="20"/>
      <c r="AM550" s="20"/>
      <c r="AN550" s="20"/>
      <c r="AO550" s="20"/>
      <c r="AP550" s="20"/>
      <c r="AQ550" s="20"/>
      <c r="AR550" s="20"/>
      <c r="AS550" s="20"/>
      <c r="AT550" s="20"/>
      <c r="AU550" s="20"/>
      <c r="AV550" s="20"/>
      <c r="AW550" s="20"/>
      <c r="AX550" s="20"/>
      <c r="AY550" s="20"/>
      <c r="AZ550" s="20"/>
      <c r="BA550" s="20"/>
      <c r="BB550" s="20"/>
      <c r="BC550" s="20"/>
    </row>
    <row r="551" ht="13.5" customHeight="1" spans="1:55">
      <c r="A551" s="20"/>
      <c r="B551" s="20"/>
      <c r="C551" s="20"/>
      <c r="D551" s="20"/>
      <c r="E551" s="20"/>
      <c r="F551" s="20"/>
      <c r="G551" s="52"/>
      <c r="H551" s="20"/>
      <c r="I551" s="20"/>
      <c r="J551" s="20"/>
      <c r="K551" s="20"/>
      <c r="L551" s="20"/>
      <c r="M551" s="20"/>
      <c r="N551" s="20"/>
      <c r="O551" s="20"/>
      <c r="P551" s="20"/>
      <c r="Q551" s="20"/>
      <c r="R551" s="20"/>
      <c r="S551" s="20"/>
      <c r="T551" s="20"/>
      <c r="U551" s="20"/>
      <c r="V551" s="20"/>
      <c r="W551" s="20"/>
      <c r="X551" s="20"/>
      <c r="Y551" s="20"/>
      <c r="Z551" s="20"/>
      <c r="AA551" s="20"/>
      <c r="AB551" s="20"/>
      <c r="AC551" s="20"/>
      <c r="AD551" s="20"/>
      <c r="AE551" s="20"/>
      <c r="AF551" s="20"/>
      <c r="AG551" s="20"/>
      <c r="AH551" s="20"/>
      <c r="AI551" s="20"/>
      <c r="AJ551" s="20"/>
      <c r="AK551" s="20"/>
      <c r="AL551" s="20"/>
      <c r="AM551" s="20"/>
      <c r="AN551" s="20"/>
      <c r="AO551" s="20"/>
      <c r="AP551" s="20"/>
      <c r="AQ551" s="20"/>
      <c r="AR551" s="20"/>
      <c r="AS551" s="20"/>
      <c r="AT551" s="20"/>
      <c r="AU551" s="20"/>
      <c r="AV551" s="20"/>
      <c r="AW551" s="20"/>
      <c r="AX551" s="20"/>
      <c r="AY551" s="20"/>
      <c r="AZ551" s="20"/>
      <c r="BA551" s="20"/>
      <c r="BB551" s="20"/>
      <c r="BC551" s="20"/>
    </row>
    <row r="552" ht="13.5" customHeight="1" spans="1:55">
      <c r="A552" s="20"/>
      <c r="B552" s="20"/>
      <c r="C552" s="20"/>
      <c r="D552" s="20"/>
      <c r="E552" s="20"/>
      <c r="F552" s="20"/>
      <c r="G552" s="52"/>
      <c r="H552" s="20"/>
      <c r="I552" s="20"/>
      <c r="J552" s="20"/>
      <c r="K552" s="20"/>
      <c r="L552" s="20"/>
      <c r="M552" s="20"/>
      <c r="N552" s="20"/>
      <c r="O552" s="20"/>
      <c r="P552" s="20"/>
      <c r="Q552" s="20"/>
      <c r="R552" s="20"/>
      <c r="S552" s="20"/>
      <c r="T552" s="20"/>
      <c r="U552" s="20"/>
      <c r="V552" s="20"/>
      <c r="W552" s="20"/>
      <c r="X552" s="20"/>
      <c r="Y552" s="20"/>
      <c r="Z552" s="20"/>
      <c r="AA552" s="20"/>
      <c r="AB552" s="20"/>
      <c r="AC552" s="20"/>
      <c r="AD552" s="20"/>
      <c r="AE552" s="20"/>
      <c r="AF552" s="20"/>
      <c r="AG552" s="20"/>
      <c r="AH552" s="20"/>
      <c r="AI552" s="20"/>
      <c r="AJ552" s="20"/>
      <c r="AK552" s="20"/>
      <c r="AL552" s="20"/>
      <c r="AM552" s="20"/>
      <c r="AN552" s="20"/>
      <c r="AO552" s="20"/>
      <c r="AP552" s="20"/>
      <c r="AQ552" s="20"/>
      <c r="AR552" s="20"/>
      <c r="AS552" s="20"/>
      <c r="AT552" s="20"/>
      <c r="AU552" s="20"/>
      <c r="AV552" s="20"/>
      <c r="AW552" s="20"/>
      <c r="AX552" s="20"/>
      <c r="AY552" s="20"/>
      <c r="AZ552" s="20"/>
      <c r="BA552" s="20"/>
      <c r="BB552" s="20"/>
      <c r="BC552" s="20"/>
    </row>
    <row r="553" ht="13.5" customHeight="1" spans="1:55">
      <c r="A553" s="20"/>
      <c r="B553" s="20"/>
      <c r="C553" s="20"/>
      <c r="D553" s="20"/>
      <c r="E553" s="20"/>
      <c r="F553" s="20"/>
      <c r="G553" s="52"/>
      <c r="H553" s="20"/>
      <c r="I553" s="20"/>
      <c r="J553" s="20"/>
      <c r="K553" s="20"/>
      <c r="L553" s="20"/>
      <c r="M553" s="20"/>
      <c r="N553" s="20"/>
      <c r="O553" s="20"/>
      <c r="P553" s="20"/>
      <c r="Q553" s="20"/>
      <c r="R553" s="20"/>
      <c r="S553" s="20"/>
      <c r="T553" s="20"/>
      <c r="U553" s="20"/>
      <c r="V553" s="20"/>
      <c r="W553" s="20"/>
      <c r="X553" s="20"/>
      <c r="Y553" s="20"/>
      <c r="Z553" s="20"/>
      <c r="AA553" s="20"/>
      <c r="AB553" s="20"/>
      <c r="AC553" s="20"/>
      <c r="AD553" s="20"/>
      <c r="AE553" s="20"/>
      <c r="AF553" s="20"/>
      <c r="AG553" s="20"/>
      <c r="AH553" s="20"/>
      <c r="AI553" s="20"/>
      <c r="AJ553" s="20"/>
      <c r="AK553" s="20"/>
      <c r="AL553" s="20"/>
      <c r="AM553" s="20"/>
      <c r="AN553" s="20"/>
      <c r="AO553" s="20"/>
      <c r="AP553" s="20"/>
      <c r="AQ553" s="20"/>
      <c r="AR553" s="20"/>
      <c r="AS553" s="20"/>
      <c r="AT553" s="20"/>
      <c r="AU553" s="20"/>
      <c r="AV553" s="20"/>
      <c r="AW553" s="20"/>
      <c r="AX553" s="20"/>
      <c r="AY553" s="20"/>
      <c r="AZ553" s="20"/>
      <c r="BA553" s="20"/>
      <c r="BB553" s="20"/>
      <c r="BC553" s="20"/>
    </row>
    <row r="554" ht="13.5" customHeight="1" spans="1:55">
      <c r="A554" s="20"/>
      <c r="B554" s="20"/>
      <c r="C554" s="20"/>
      <c r="D554" s="20"/>
      <c r="E554" s="20"/>
      <c r="F554" s="20"/>
      <c r="G554" s="52"/>
      <c r="H554" s="20"/>
      <c r="I554" s="20"/>
      <c r="J554" s="20"/>
      <c r="K554" s="20"/>
      <c r="L554" s="20"/>
      <c r="M554" s="20"/>
      <c r="N554" s="20"/>
      <c r="O554" s="20"/>
      <c r="P554" s="20"/>
      <c r="Q554" s="20"/>
      <c r="R554" s="20"/>
      <c r="S554" s="20"/>
      <c r="T554" s="20"/>
      <c r="U554" s="20"/>
      <c r="V554" s="20"/>
      <c r="W554" s="20"/>
      <c r="X554" s="20"/>
      <c r="Y554" s="20"/>
      <c r="Z554" s="20"/>
      <c r="AA554" s="20"/>
      <c r="AB554" s="20"/>
      <c r="AC554" s="20"/>
      <c r="AD554" s="20"/>
      <c r="AE554" s="20"/>
      <c r="AF554" s="20"/>
      <c r="AG554" s="20"/>
      <c r="AH554" s="20"/>
      <c r="AI554" s="20"/>
      <c r="AJ554" s="20"/>
      <c r="AK554" s="20"/>
      <c r="AL554" s="20"/>
      <c r="AM554" s="20"/>
      <c r="AN554" s="20"/>
      <c r="AO554" s="20"/>
      <c r="AP554" s="20"/>
      <c r="AQ554" s="20"/>
      <c r="AR554" s="20"/>
      <c r="AS554" s="20"/>
      <c r="AT554" s="20"/>
      <c r="AU554" s="20"/>
      <c r="AV554" s="20"/>
      <c r="AW554" s="20"/>
      <c r="AX554" s="20"/>
      <c r="AY554" s="20"/>
      <c r="AZ554" s="20"/>
      <c r="BA554" s="20"/>
      <c r="BB554" s="20"/>
      <c r="BC554" s="20"/>
    </row>
    <row r="555" ht="13.5" customHeight="1" spans="1:55">
      <c r="A555" s="20"/>
      <c r="B555" s="20"/>
      <c r="C555" s="20"/>
      <c r="D555" s="20"/>
      <c r="E555" s="20"/>
      <c r="F555" s="20"/>
      <c r="G555" s="52"/>
      <c r="H555" s="20"/>
      <c r="I555" s="20"/>
      <c r="J555" s="20"/>
      <c r="K555" s="20"/>
      <c r="L555" s="20"/>
      <c r="M555" s="20"/>
      <c r="N555" s="20"/>
      <c r="O555" s="20"/>
      <c r="P555" s="20"/>
      <c r="Q555" s="20"/>
      <c r="R555" s="20"/>
      <c r="S555" s="20"/>
      <c r="T555" s="20"/>
      <c r="U555" s="20"/>
      <c r="V555" s="20"/>
      <c r="W555" s="20"/>
      <c r="X555" s="20"/>
      <c r="Y555" s="20"/>
      <c r="Z555" s="20"/>
      <c r="AA555" s="20"/>
      <c r="AB555" s="20"/>
      <c r="AC555" s="20"/>
      <c r="AD555" s="20"/>
      <c r="AE555" s="20"/>
      <c r="AF555" s="20"/>
      <c r="AG555" s="20"/>
      <c r="AH555" s="20"/>
      <c r="AI555" s="20"/>
      <c r="AJ555" s="20"/>
      <c r="AK555" s="20"/>
      <c r="AL555" s="20"/>
      <c r="AM555" s="20"/>
      <c r="AN555" s="20"/>
      <c r="AO555" s="20"/>
      <c r="AP555" s="20"/>
      <c r="AQ555" s="20"/>
      <c r="AR555" s="20"/>
      <c r="AS555" s="20"/>
      <c r="AT555" s="20"/>
      <c r="AU555" s="20"/>
      <c r="AV555" s="20"/>
      <c r="AW555" s="20"/>
      <c r="AX555" s="20"/>
      <c r="AY555" s="20"/>
      <c r="AZ555" s="20"/>
      <c r="BA555" s="20"/>
      <c r="BB555" s="20"/>
      <c r="BC555" s="20"/>
    </row>
    <row r="556" ht="13.5" customHeight="1" spans="1:55">
      <c r="A556" s="20"/>
      <c r="B556" s="20"/>
      <c r="C556" s="20"/>
      <c r="D556" s="20"/>
      <c r="E556" s="20"/>
      <c r="F556" s="20"/>
      <c r="G556" s="52"/>
      <c r="H556" s="20"/>
      <c r="I556" s="20"/>
      <c r="J556" s="20"/>
      <c r="K556" s="20"/>
      <c r="L556" s="20"/>
      <c r="M556" s="20"/>
      <c r="N556" s="20"/>
      <c r="O556" s="20"/>
      <c r="P556" s="20"/>
      <c r="Q556" s="20"/>
      <c r="R556" s="20"/>
      <c r="S556" s="20"/>
      <c r="T556" s="20"/>
      <c r="U556" s="20"/>
      <c r="V556" s="20"/>
      <c r="W556" s="20"/>
      <c r="X556" s="20"/>
      <c r="Y556" s="20"/>
      <c r="Z556" s="20"/>
      <c r="AA556" s="20"/>
      <c r="AB556" s="20"/>
      <c r="AC556" s="20"/>
      <c r="AD556" s="20"/>
      <c r="AE556" s="20"/>
      <c r="AF556" s="20"/>
      <c r="AG556" s="20"/>
      <c r="AH556" s="20"/>
      <c r="AI556" s="20"/>
      <c r="AJ556" s="20"/>
      <c r="AK556" s="20"/>
      <c r="AL556" s="20"/>
      <c r="AM556" s="20"/>
      <c r="AN556" s="20"/>
      <c r="AO556" s="20"/>
      <c r="AP556" s="20"/>
      <c r="AQ556" s="20"/>
      <c r="AR556" s="20"/>
      <c r="AS556" s="20"/>
      <c r="AT556" s="20"/>
      <c r="AU556" s="20"/>
      <c r="AV556" s="20"/>
      <c r="AW556" s="20"/>
      <c r="AX556" s="20"/>
      <c r="AY556" s="20"/>
      <c r="AZ556" s="20"/>
      <c r="BA556" s="20"/>
      <c r="BB556" s="20"/>
      <c r="BC556" s="20"/>
    </row>
    <row r="557" ht="13.5" customHeight="1" spans="1:55">
      <c r="A557" s="20"/>
      <c r="B557" s="20"/>
      <c r="C557" s="20"/>
      <c r="D557" s="20"/>
      <c r="E557" s="20"/>
      <c r="F557" s="20"/>
      <c r="G557" s="52"/>
      <c r="H557" s="20"/>
      <c r="I557" s="20"/>
      <c r="J557" s="20"/>
      <c r="K557" s="20"/>
      <c r="L557" s="20"/>
      <c r="M557" s="20"/>
      <c r="N557" s="20"/>
      <c r="O557" s="20"/>
      <c r="P557" s="20"/>
      <c r="Q557" s="20"/>
      <c r="R557" s="20"/>
      <c r="S557" s="20"/>
      <c r="T557" s="20"/>
      <c r="U557" s="20"/>
      <c r="V557" s="20"/>
      <c r="W557" s="20"/>
      <c r="X557" s="20"/>
      <c r="Y557" s="20"/>
      <c r="Z557" s="20"/>
      <c r="AA557" s="20"/>
      <c r="AB557" s="20"/>
      <c r="AC557" s="20"/>
      <c r="AD557" s="20"/>
      <c r="AE557" s="20"/>
      <c r="AF557" s="20"/>
      <c r="AG557" s="20"/>
      <c r="AH557" s="20"/>
      <c r="AI557" s="20"/>
      <c r="AJ557" s="20"/>
      <c r="AK557" s="20"/>
      <c r="AL557" s="20"/>
      <c r="AM557" s="20"/>
      <c r="AN557" s="20"/>
      <c r="AO557" s="20"/>
      <c r="AP557" s="20"/>
      <c r="AQ557" s="20"/>
      <c r="AR557" s="20"/>
      <c r="AS557" s="20"/>
      <c r="AT557" s="20"/>
      <c r="AU557" s="20"/>
      <c r="AV557" s="20"/>
      <c r="AW557" s="20"/>
      <c r="AX557" s="20"/>
      <c r="AY557" s="20"/>
      <c r="AZ557" s="20"/>
      <c r="BA557" s="20"/>
      <c r="BB557" s="20"/>
      <c r="BC557" s="20"/>
    </row>
    <row r="558" ht="13.5" customHeight="1" spans="1:55">
      <c r="A558" s="20"/>
      <c r="B558" s="20"/>
      <c r="C558" s="20"/>
      <c r="D558" s="20"/>
      <c r="E558" s="20"/>
      <c r="F558" s="20"/>
      <c r="G558" s="52"/>
      <c r="H558" s="20"/>
      <c r="I558" s="20"/>
      <c r="J558" s="20"/>
      <c r="K558" s="20"/>
      <c r="L558" s="20"/>
      <c r="M558" s="20"/>
      <c r="N558" s="20"/>
      <c r="O558" s="20"/>
      <c r="P558" s="20"/>
      <c r="Q558" s="20"/>
      <c r="R558" s="20"/>
      <c r="S558" s="20"/>
      <c r="T558" s="20"/>
      <c r="U558" s="20"/>
      <c r="V558" s="20"/>
      <c r="W558" s="20"/>
      <c r="X558" s="20"/>
      <c r="Y558" s="20"/>
      <c r="Z558" s="20"/>
      <c r="AA558" s="20"/>
      <c r="AB558" s="20"/>
      <c r="AC558" s="20"/>
      <c r="AD558" s="20"/>
      <c r="AE558" s="20"/>
      <c r="AF558" s="20"/>
      <c r="AG558" s="20"/>
      <c r="AH558" s="20"/>
      <c r="AI558" s="20"/>
      <c r="AJ558" s="20"/>
      <c r="AK558" s="20"/>
      <c r="AL558" s="20"/>
      <c r="AM558" s="20"/>
      <c r="AN558" s="20"/>
      <c r="AO558" s="20"/>
      <c r="AP558" s="20"/>
      <c r="AQ558" s="20"/>
      <c r="AR558" s="20"/>
      <c r="AS558" s="20"/>
      <c r="AT558" s="20"/>
      <c r="AU558" s="20"/>
      <c r="AV558" s="20"/>
      <c r="AW558" s="20"/>
      <c r="AX558" s="20"/>
      <c r="AY558" s="20"/>
      <c r="AZ558" s="20"/>
      <c r="BA558" s="20"/>
      <c r="BB558" s="20"/>
      <c r="BC558" s="20"/>
    </row>
    <row r="559" ht="13.5" customHeight="1" spans="1:55">
      <c r="A559" s="20"/>
      <c r="B559" s="20"/>
      <c r="C559" s="20"/>
      <c r="D559" s="20"/>
      <c r="E559" s="20"/>
      <c r="F559" s="20"/>
      <c r="G559" s="52"/>
      <c r="H559" s="20"/>
      <c r="I559" s="20"/>
      <c r="J559" s="20"/>
      <c r="K559" s="20"/>
      <c r="L559" s="20"/>
      <c r="M559" s="20"/>
      <c r="N559" s="20"/>
      <c r="O559" s="20"/>
      <c r="P559" s="20"/>
      <c r="Q559" s="20"/>
      <c r="R559" s="20"/>
      <c r="S559" s="20"/>
      <c r="T559" s="20"/>
      <c r="U559" s="20"/>
      <c r="V559" s="20"/>
      <c r="W559" s="20"/>
      <c r="X559" s="20"/>
      <c r="Y559" s="20"/>
      <c r="Z559" s="20"/>
      <c r="AA559" s="20"/>
      <c r="AB559" s="20"/>
      <c r="AC559" s="20"/>
      <c r="AD559" s="20"/>
      <c r="AE559" s="20"/>
      <c r="AF559" s="20"/>
      <c r="AG559" s="20"/>
      <c r="AH559" s="20"/>
      <c r="AI559" s="20"/>
      <c r="AJ559" s="20"/>
      <c r="AK559" s="20"/>
      <c r="AL559" s="20"/>
      <c r="AM559" s="20"/>
      <c r="AN559" s="20"/>
      <c r="AO559" s="20"/>
      <c r="AP559" s="20"/>
      <c r="AQ559" s="20"/>
      <c r="AR559" s="20"/>
      <c r="AS559" s="20"/>
      <c r="AT559" s="20"/>
      <c r="AU559" s="20"/>
      <c r="AV559" s="20"/>
      <c r="AW559" s="20"/>
      <c r="AX559" s="20"/>
      <c r="AY559" s="20"/>
      <c r="AZ559" s="20"/>
      <c r="BA559" s="20"/>
      <c r="BB559" s="20"/>
      <c r="BC559" s="20"/>
    </row>
    <row r="560" ht="13.5" customHeight="1" spans="1:55">
      <c r="A560" s="20"/>
      <c r="B560" s="20"/>
      <c r="C560" s="20"/>
      <c r="D560" s="20"/>
      <c r="E560" s="20"/>
      <c r="F560" s="20"/>
      <c r="G560" s="52"/>
      <c r="H560" s="20"/>
      <c r="I560" s="20"/>
      <c r="J560" s="20"/>
      <c r="K560" s="20"/>
      <c r="L560" s="20"/>
      <c r="M560" s="20"/>
      <c r="N560" s="20"/>
      <c r="O560" s="20"/>
      <c r="P560" s="20"/>
      <c r="Q560" s="20"/>
      <c r="R560" s="20"/>
      <c r="S560" s="20"/>
      <c r="T560" s="20"/>
      <c r="U560" s="20"/>
      <c r="V560" s="20"/>
      <c r="W560" s="20"/>
      <c r="X560" s="20"/>
      <c r="Y560" s="20"/>
      <c r="Z560" s="20"/>
      <c r="AA560" s="20"/>
      <c r="AB560" s="20"/>
      <c r="AC560" s="20"/>
      <c r="AD560" s="20"/>
      <c r="AE560" s="20"/>
      <c r="AF560" s="20"/>
      <c r="AG560" s="20"/>
      <c r="AH560" s="20"/>
      <c r="AI560" s="20"/>
      <c r="AJ560" s="20"/>
      <c r="AK560" s="20"/>
      <c r="AL560" s="20"/>
      <c r="AM560" s="20"/>
      <c r="AN560" s="20"/>
      <c r="AO560" s="20"/>
      <c r="AP560" s="20"/>
      <c r="AQ560" s="20"/>
      <c r="AR560" s="20"/>
      <c r="AS560" s="20"/>
      <c r="AT560" s="20"/>
      <c r="AU560" s="20"/>
      <c r="AV560" s="20"/>
      <c r="AW560" s="20"/>
      <c r="AX560" s="20"/>
      <c r="AY560" s="20"/>
      <c r="AZ560" s="20"/>
      <c r="BA560" s="20"/>
      <c r="BB560" s="20"/>
      <c r="BC560" s="20"/>
    </row>
    <row r="561" ht="13.5" customHeight="1" spans="1:55">
      <c r="A561" s="20"/>
      <c r="B561" s="20"/>
      <c r="C561" s="20"/>
      <c r="D561" s="20"/>
      <c r="E561" s="20"/>
      <c r="F561" s="20"/>
      <c r="G561" s="52"/>
      <c r="H561" s="20"/>
      <c r="I561" s="20"/>
      <c r="J561" s="20"/>
      <c r="K561" s="20"/>
      <c r="L561" s="20"/>
      <c r="M561" s="20"/>
      <c r="N561" s="20"/>
      <c r="O561" s="20"/>
      <c r="P561" s="20"/>
      <c r="Q561" s="20"/>
      <c r="R561" s="20"/>
      <c r="S561" s="20"/>
      <c r="T561" s="20"/>
      <c r="U561" s="20"/>
      <c r="V561" s="20"/>
      <c r="W561" s="20"/>
      <c r="X561" s="20"/>
      <c r="Y561" s="20"/>
      <c r="Z561" s="20"/>
      <c r="AA561" s="20"/>
      <c r="AB561" s="20"/>
      <c r="AC561" s="20"/>
      <c r="AD561" s="20"/>
      <c r="AE561" s="20"/>
      <c r="AF561" s="20"/>
      <c r="AG561" s="20"/>
      <c r="AH561" s="20"/>
      <c r="AI561" s="20"/>
      <c r="AJ561" s="20"/>
      <c r="AK561" s="20"/>
      <c r="AL561" s="20"/>
      <c r="AM561" s="20"/>
      <c r="AN561" s="20"/>
      <c r="AO561" s="20"/>
      <c r="AP561" s="20"/>
      <c r="AQ561" s="20"/>
      <c r="AR561" s="20"/>
      <c r="AS561" s="20"/>
      <c r="AT561" s="20"/>
      <c r="AU561" s="20"/>
      <c r="AV561" s="20"/>
      <c r="AW561" s="20"/>
      <c r="AX561" s="20"/>
      <c r="AY561" s="20"/>
      <c r="AZ561" s="20"/>
      <c r="BA561" s="20"/>
      <c r="BB561" s="20"/>
      <c r="BC561" s="20"/>
    </row>
    <row r="562" ht="13.5" customHeight="1" spans="1:55">
      <c r="A562" s="20"/>
      <c r="B562" s="20"/>
      <c r="C562" s="20"/>
      <c r="D562" s="20"/>
      <c r="E562" s="20"/>
      <c r="F562" s="20"/>
      <c r="G562" s="52"/>
      <c r="H562" s="20"/>
      <c r="I562" s="20"/>
      <c r="J562" s="20"/>
      <c r="K562" s="20"/>
      <c r="L562" s="20"/>
      <c r="M562" s="20"/>
      <c r="N562" s="20"/>
      <c r="O562" s="20"/>
      <c r="P562" s="20"/>
      <c r="Q562" s="20"/>
      <c r="R562" s="20"/>
      <c r="S562" s="20"/>
      <c r="T562" s="20"/>
      <c r="U562" s="20"/>
      <c r="V562" s="20"/>
      <c r="W562" s="20"/>
      <c r="X562" s="20"/>
      <c r="Y562" s="20"/>
      <c r="Z562" s="20"/>
      <c r="AA562" s="20"/>
      <c r="AB562" s="20"/>
      <c r="AC562" s="20"/>
      <c r="AD562" s="20"/>
      <c r="AE562" s="20"/>
      <c r="AF562" s="20"/>
      <c r="AG562" s="20"/>
      <c r="AH562" s="20"/>
      <c r="AI562" s="20"/>
      <c r="AJ562" s="20"/>
      <c r="AK562" s="20"/>
      <c r="AL562" s="20"/>
      <c r="AM562" s="20"/>
      <c r="AN562" s="20"/>
      <c r="AO562" s="20"/>
      <c r="AP562" s="20"/>
      <c r="AQ562" s="20"/>
      <c r="AR562" s="20"/>
      <c r="AS562" s="20"/>
      <c r="AT562" s="20"/>
      <c r="AU562" s="20"/>
      <c r="AV562" s="20"/>
      <c r="AW562" s="20"/>
      <c r="AX562" s="20"/>
      <c r="AY562" s="20"/>
      <c r="AZ562" s="20"/>
      <c r="BA562" s="20"/>
      <c r="BB562" s="20"/>
      <c r="BC562" s="20"/>
    </row>
    <row r="563" ht="13.5" customHeight="1" spans="1:55">
      <c r="A563" s="20"/>
      <c r="B563" s="20"/>
      <c r="C563" s="20"/>
      <c r="D563" s="20"/>
      <c r="E563" s="20"/>
      <c r="F563" s="20"/>
      <c r="G563" s="52"/>
      <c r="H563" s="20"/>
      <c r="I563" s="20"/>
      <c r="J563" s="20"/>
      <c r="K563" s="20"/>
      <c r="L563" s="20"/>
      <c r="M563" s="20"/>
      <c r="N563" s="20"/>
      <c r="O563" s="20"/>
      <c r="P563" s="20"/>
      <c r="Q563" s="20"/>
      <c r="R563" s="20"/>
      <c r="S563" s="20"/>
      <c r="T563" s="20"/>
      <c r="U563" s="20"/>
      <c r="V563" s="20"/>
      <c r="W563" s="20"/>
      <c r="X563" s="20"/>
      <c r="Y563" s="20"/>
      <c r="Z563" s="20"/>
      <c r="AA563" s="20"/>
      <c r="AB563" s="20"/>
      <c r="AC563" s="20"/>
      <c r="AD563" s="20"/>
      <c r="AE563" s="20"/>
      <c r="AF563" s="20"/>
      <c r="AG563" s="20"/>
      <c r="AH563" s="20"/>
      <c r="AI563" s="20"/>
      <c r="AJ563" s="20"/>
      <c r="AK563" s="20"/>
      <c r="AL563" s="20"/>
      <c r="AM563" s="20"/>
      <c r="AN563" s="20"/>
      <c r="AO563" s="20"/>
      <c r="AP563" s="20"/>
      <c r="AQ563" s="20"/>
      <c r="AR563" s="20"/>
      <c r="AS563" s="20"/>
      <c r="AT563" s="20"/>
      <c r="AU563" s="20"/>
      <c r="AV563" s="20"/>
      <c r="AW563" s="20"/>
      <c r="AX563" s="20"/>
      <c r="AY563" s="20"/>
      <c r="AZ563" s="20"/>
      <c r="BA563" s="20"/>
      <c r="BB563" s="20"/>
      <c r="BC563" s="20"/>
    </row>
    <row r="564" ht="13.5" customHeight="1" spans="1:55">
      <c r="A564" s="20"/>
      <c r="B564" s="20"/>
      <c r="C564" s="20"/>
      <c r="D564" s="20"/>
      <c r="E564" s="20"/>
      <c r="F564" s="20"/>
      <c r="G564" s="52"/>
      <c r="H564" s="20"/>
      <c r="I564" s="20"/>
      <c r="J564" s="20"/>
      <c r="K564" s="20"/>
      <c r="L564" s="20"/>
      <c r="M564" s="20"/>
      <c r="N564" s="20"/>
      <c r="O564" s="20"/>
      <c r="P564" s="20"/>
      <c r="Q564" s="20"/>
      <c r="R564" s="20"/>
      <c r="S564" s="20"/>
      <c r="T564" s="20"/>
      <c r="U564" s="20"/>
      <c r="V564" s="20"/>
      <c r="W564" s="20"/>
      <c r="X564" s="20"/>
      <c r="Y564" s="20"/>
      <c r="Z564" s="20"/>
      <c r="AA564" s="20"/>
      <c r="AB564" s="20"/>
      <c r="AC564" s="20"/>
      <c r="AD564" s="20"/>
      <c r="AE564" s="20"/>
      <c r="AF564" s="20"/>
      <c r="AG564" s="20"/>
      <c r="AH564" s="20"/>
      <c r="AI564" s="20"/>
      <c r="AJ564" s="20"/>
      <c r="AK564" s="20"/>
      <c r="AL564" s="20"/>
      <c r="AM564" s="20"/>
      <c r="AN564" s="20"/>
      <c r="AO564" s="20"/>
      <c r="AP564" s="20"/>
      <c r="AQ564" s="20"/>
      <c r="AR564" s="20"/>
      <c r="AS564" s="20"/>
      <c r="AT564" s="20"/>
      <c r="AU564" s="20"/>
      <c r="AV564" s="20"/>
      <c r="AW564" s="20"/>
      <c r="AX564" s="20"/>
      <c r="AY564" s="20"/>
      <c r="AZ564" s="20"/>
      <c r="BA564" s="20"/>
      <c r="BB564" s="20"/>
      <c r="BC564" s="20"/>
    </row>
    <row r="565" ht="13.5" customHeight="1" spans="1:55">
      <c r="A565" s="20"/>
      <c r="B565" s="20"/>
      <c r="C565" s="20"/>
      <c r="D565" s="20"/>
      <c r="E565" s="20"/>
      <c r="F565" s="20"/>
      <c r="G565" s="52"/>
      <c r="H565" s="20"/>
      <c r="I565" s="20"/>
      <c r="J565" s="20"/>
      <c r="K565" s="20"/>
      <c r="L565" s="20"/>
      <c r="M565" s="20"/>
      <c r="N565" s="20"/>
      <c r="O565" s="20"/>
      <c r="P565" s="20"/>
      <c r="Q565" s="20"/>
      <c r="R565" s="20"/>
      <c r="S565" s="20"/>
      <c r="T565" s="20"/>
      <c r="U565" s="20"/>
      <c r="V565" s="20"/>
      <c r="W565" s="20"/>
      <c r="X565" s="20"/>
      <c r="Y565" s="20"/>
      <c r="Z565" s="20"/>
      <c r="AA565" s="20"/>
      <c r="AB565" s="20"/>
      <c r="AC565" s="20"/>
      <c r="AD565" s="20"/>
      <c r="AE565" s="20"/>
      <c r="AF565" s="20"/>
      <c r="AG565" s="20"/>
      <c r="AH565" s="20"/>
      <c r="AI565" s="20"/>
      <c r="AJ565" s="20"/>
      <c r="AK565" s="20"/>
      <c r="AL565" s="20"/>
      <c r="AM565" s="20"/>
      <c r="AN565" s="20"/>
      <c r="AO565" s="20"/>
      <c r="AP565" s="20"/>
      <c r="AQ565" s="20"/>
      <c r="AR565" s="20"/>
      <c r="AS565" s="20"/>
      <c r="AT565" s="20"/>
      <c r="AU565" s="20"/>
      <c r="AV565" s="20"/>
      <c r="AW565" s="20"/>
      <c r="AX565" s="20"/>
      <c r="AY565" s="20"/>
      <c r="AZ565" s="20"/>
      <c r="BA565" s="20"/>
      <c r="BB565" s="20"/>
      <c r="BC565" s="20"/>
    </row>
    <row r="566" ht="13.5" customHeight="1" spans="1:55">
      <c r="A566" s="20"/>
      <c r="B566" s="20"/>
      <c r="C566" s="20"/>
      <c r="D566" s="20"/>
      <c r="E566" s="20"/>
      <c r="F566" s="20"/>
      <c r="G566" s="52"/>
      <c r="H566" s="20"/>
      <c r="I566" s="20"/>
      <c r="J566" s="20"/>
      <c r="K566" s="20"/>
      <c r="L566" s="20"/>
      <c r="M566" s="20"/>
      <c r="N566" s="20"/>
      <c r="O566" s="20"/>
      <c r="P566" s="20"/>
      <c r="Q566" s="20"/>
      <c r="R566" s="20"/>
      <c r="S566" s="20"/>
      <c r="T566" s="20"/>
      <c r="U566" s="20"/>
      <c r="V566" s="20"/>
      <c r="W566" s="20"/>
      <c r="X566" s="20"/>
      <c r="Y566" s="20"/>
      <c r="Z566" s="20"/>
      <c r="AA566" s="20"/>
      <c r="AB566" s="20"/>
      <c r="AC566" s="20"/>
      <c r="AD566" s="20"/>
      <c r="AE566" s="20"/>
      <c r="AF566" s="20"/>
      <c r="AG566" s="20"/>
      <c r="AH566" s="20"/>
      <c r="AI566" s="20"/>
      <c r="AJ566" s="20"/>
      <c r="AK566" s="20"/>
      <c r="AL566" s="20"/>
      <c r="AM566" s="20"/>
      <c r="AN566" s="20"/>
      <c r="AO566" s="20"/>
      <c r="AP566" s="20"/>
      <c r="AQ566" s="20"/>
      <c r="AR566" s="20"/>
      <c r="AS566" s="20"/>
      <c r="AT566" s="20"/>
      <c r="AU566" s="20"/>
      <c r="AV566" s="20"/>
      <c r="AW566" s="20"/>
      <c r="AX566" s="20"/>
      <c r="AY566" s="20"/>
      <c r="AZ566" s="20"/>
      <c r="BA566" s="20"/>
      <c r="BB566" s="20"/>
      <c r="BC566" s="20"/>
    </row>
    <row r="567" ht="13.5" customHeight="1" spans="1:55">
      <c r="A567" s="20"/>
      <c r="B567" s="20"/>
      <c r="C567" s="20"/>
      <c r="D567" s="20"/>
      <c r="E567" s="20"/>
      <c r="F567" s="20"/>
      <c r="G567" s="52"/>
      <c r="H567" s="20"/>
      <c r="I567" s="20"/>
      <c r="J567" s="20"/>
      <c r="K567" s="20"/>
      <c r="L567" s="20"/>
      <c r="M567" s="20"/>
      <c r="N567" s="20"/>
      <c r="O567" s="20"/>
      <c r="P567" s="20"/>
      <c r="Q567" s="20"/>
      <c r="R567" s="20"/>
      <c r="S567" s="20"/>
      <c r="T567" s="20"/>
      <c r="U567" s="20"/>
      <c r="V567" s="20"/>
      <c r="W567" s="20"/>
      <c r="X567" s="20"/>
      <c r="Y567" s="20"/>
      <c r="Z567" s="20"/>
      <c r="AA567" s="20"/>
      <c r="AB567" s="20"/>
      <c r="AC567" s="20"/>
      <c r="AD567" s="20"/>
      <c r="AE567" s="20"/>
      <c r="AF567" s="20"/>
      <c r="AG567" s="20"/>
      <c r="AH567" s="20"/>
      <c r="AI567" s="20"/>
      <c r="AJ567" s="20"/>
      <c r="AK567" s="20"/>
      <c r="AL567" s="20"/>
      <c r="AM567" s="20"/>
      <c r="AN567" s="20"/>
      <c r="AO567" s="20"/>
      <c r="AP567" s="20"/>
      <c r="AQ567" s="20"/>
      <c r="AR567" s="20"/>
      <c r="AS567" s="20"/>
      <c r="AT567" s="20"/>
      <c r="AU567" s="20"/>
      <c r="AV567" s="20"/>
      <c r="AW567" s="20"/>
      <c r="AX567" s="20"/>
      <c r="AY567" s="20"/>
      <c r="AZ567" s="20"/>
      <c r="BA567" s="20"/>
      <c r="BB567" s="20"/>
      <c r="BC567" s="20"/>
    </row>
    <row r="568" ht="13.5" customHeight="1" spans="1:55">
      <c r="A568" s="20"/>
      <c r="B568" s="20"/>
      <c r="C568" s="20"/>
      <c r="D568" s="20"/>
      <c r="E568" s="20"/>
      <c r="F568" s="20"/>
      <c r="G568" s="52"/>
      <c r="H568" s="20"/>
      <c r="I568" s="20"/>
      <c r="J568" s="20"/>
      <c r="K568" s="20"/>
      <c r="L568" s="20"/>
      <c r="M568" s="20"/>
      <c r="N568" s="20"/>
      <c r="O568" s="20"/>
      <c r="P568" s="20"/>
      <c r="Q568" s="20"/>
      <c r="R568" s="20"/>
      <c r="S568" s="20"/>
      <c r="T568" s="20"/>
      <c r="U568" s="20"/>
      <c r="V568" s="20"/>
      <c r="W568" s="20"/>
      <c r="X568" s="20"/>
      <c r="Y568" s="20"/>
      <c r="Z568" s="20"/>
      <c r="AA568" s="20"/>
      <c r="AB568" s="20"/>
      <c r="AC568" s="20"/>
      <c r="AD568" s="20"/>
      <c r="AE568" s="20"/>
      <c r="AF568" s="20"/>
      <c r="AG568" s="20"/>
      <c r="AH568" s="20"/>
      <c r="AI568" s="20"/>
      <c r="AJ568" s="20"/>
      <c r="AK568" s="20"/>
      <c r="AL568" s="20"/>
      <c r="AM568" s="20"/>
      <c r="AN568" s="20"/>
      <c r="AO568" s="20"/>
      <c r="AP568" s="20"/>
      <c r="AQ568" s="20"/>
      <c r="AR568" s="20"/>
      <c r="AS568" s="20"/>
      <c r="AT568" s="20"/>
      <c r="AU568" s="20"/>
      <c r="AV568" s="20"/>
      <c r="AW568" s="20"/>
      <c r="AX568" s="20"/>
      <c r="AY568" s="20"/>
      <c r="AZ568" s="20"/>
      <c r="BA568" s="20"/>
      <c r="BB568" s="20"/>
      <c r="BC568" s="20"/>
    </row>
    <row r="569" ht="13.5" customHeight="1" spans="1:55">
      <c r="A569" s="20"/>
      <c r="B569" s="20"/>
      <c r="C569" s="20"/>
      <c r="D569" s="20"/>
      <c r="E569" s="20"/>
      <c r="F569" s="20"/>
      <c r="G569" s="52"/>
      <c r="H569" s="20"/>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row>
    <row r="570" ht="13.5" customHeight="1" spans="1:55">
      <c r="A570" s="20"/>
      <c r="B570" s="20"/>
      <c r="C570" s="20"/>
      <c r="D570" s="20"/>
      <c r="E570" s="20"/>
      <c r="F570" s="20"/>
      <c r="G570" s="52"/>
      <c r="H570" s="20"/>
      <c r="I570" s="20"/>
      <c r="J570" s="20"/>
      <c r="K570" s="20"/>
      <c r="L570" s="20"/>
      <c r="M570" s="20"/>
      <c r="N570" s="20"/>
      <c r="O570" s="20"/>
      <c r="P570" s="20"/>
      <c r="Q570" s="20"/>
      <c r="R570" s="20"/>
      <c r="S570" s="20"/>
      <c r="T570" s="20"/>
      <c r="U570" s="20"/>
      <c r="V570" s="20"/>
      <c r="W570" s="20"/>
      <c r="X570" s="20"/>
      <c r="Y570" s="20"/>
      <c r="Z570" s="20"/>
      <c r="AA570" s="20"/>
      <c r="AB570" s="20"/>
      <c r="AC570" s="20"/>
      <c r="AD570" s="20"/>
      <c r="AE570" s="20"/>
      <c r="AF570" s="20"/>
      <c r="AG570" s="20"/>
      <c r="AH570" s="20"/>
      <c r="AI570" s="20"/>
      <c r="AJ570" s="20"/>
      <c r="AK570" s="20"/>
      <c r="AL570" s="20"/>
      <c r="AM570" s="20"/>
      <c r="AN570" s="20"/>
      <c r="AO570" s="20"/>
      <c r="AP570" s="20"/>
      <c r="AQ570" s="20"/>
      <c r="AR570" s="20"/>
      <c r="AS570" s="20"/>
      <c r="AT570" s="20"/>
      <c r="AU570" s="20"/>
      <c r="AV570" s="20"/>
      <c r="AW570" s="20"/>
      <c r="AX570" s="20"/>
      <c r="AY570" s="20"/>
      <c r="AZ570" s="20"/>
      <c r="BA570" s="20"/>
      <c r="BB570" s="20"/>
      <c r="BC570" s="20"/>
    </row>
    <row r="571" ht="13.5" customHeight="1" spans="1:55">
      <c r="A571" s="20"/>
      <c r="B571" s="20"/>
      <c r="C571" s="20"/>
      <c r="D571" s="20"/>
      <c r="E571" s="20"/>
      <c r="F571" s="20"/>
      <c r="G571" s="52"/>
      <c r="H571" s="20"/>
      <c r="I571" s="20"/>
      <c r="J571" s="20"/>
      <c r="K571" s="20"/>
      <c r="L571" s="20"/>
      <c r="M571" s="20"/>
      <c r="N571" s="20"/>
      <c r="O571" s="20"/>
      <c r="P571" s="20"/>
      <c r="Q571" s="20"/>
      <c r="R571" s="20"/>
      <c r="S571" s="20"/>
      <c r="T571" s="20"/>
      <c r="U571" s="20"/>
      <c r="V571" s="20"/>
      <c r="W571" s="20"/>
      <c r="X571" s="20"/>
      <c r="Y571" s="20"/>
      <c r="Z571" s="20"/>
      <c r="AA571" s="20"/>
      <c r="AB571" s="20"/>
      <c r="AC571" s="20"/>
      <c r="AD571" s="20"/>
      <c r="AE571" s="20"/>
      <c r="AF571" s="20"/>
      <c r="AG571" s="20"/>
      <c r="AH571" s="20"/>
      <c r="AI571" s="20"/>
      <c r="AJ571" s="20"/>
      <c r="AK571" s="20"/>
      <c r="AL571" s="20"/>
      <c r="AM571" s="20"/>
      <c r="AN571" s="20"/>
      <c r="AO571" s="20"/>
      <c r="AP571" s="20"/>
      <c r="AQ571" s="20"/>
      <c r="AR571" s="20"/>
      <c r="AS571" s="20"/>
      <c r="AT571" s="20"/>
      <c r="AU571" s="20"/>
      <c r="AV571" s="20"/>
      <c r="AW571" s="20"/>
      <c r="AX571" s="20"/>
      <c r="AY571" s="20"/>
      <c r="AZ571" s="20"/>
      <c r="BA571" s="20"/>
      <c r="BB571" s="20"/>
      <c r="BC571" s="20"/>
    </row>
    <row r="572" ht="13.5" customHeight="1" spans="1:55">
      <c r="A572" s="20"/>
      <c r="B572" s="20"/>
      <c r="C572" s="20"/>
      <c r="D572" s="20"/>
      <c r="E572" s="20"/>
      <c r="F572" s="20"/>
      <c r="G572" s="52"/>
      <c r="H572" s="20"/>
      <c r="I572" s="20"/>
      <c r="J572" s="20"/>
      <c r="K572" s="20"/>
      <c r="L572" s="20"/>
      <c r="M572" s="20"/>
      <c r="N572" s="20"/>
      <c r="O572" s="20"/>
      <c r="P572" s="20"/>
      <c r="Q572" s="20"/>
      <c r="R572" s="20"/>
      <c r="S572" s="20"/>
      <c r="T572" s="20"/>
      <c r="U572" s="20"/>
      <c r="V572" s="20"/>
      <c r="W572" s="20"/>
      <c r="X572" s="20"/>
      <c r="Y572" s="20"/>
      <c r="Z572" s="20"/>
      <c r="AA572" s="20"/>
      <c r="AB572" s="20"/>
      <c r="AC572" s="20"/>
      <c r="AD572" s="20"/>
      <c r="AE572" s="20"/>
      <c r="AF572" s="20"/>
      <c r="AG572" s="20"/>
      <c r="AH572" s="20"/>
      <c r="AI572" s="20"/>
      <c r="AJ572" s="20"/>
      <c r="AK572" s="20"/>
      <c r="AL572" s="20"/>
      <c r="AM572" s="20"/>
      <c r="AN572" s="20"/>
      <c r="AO572" s="20"/>
      <c r="AP572" s="20"/>
      <c r="AQ572" s="20"/>
      <c r="AR572" s="20"/>
      <c r="AS572" s="20"/>
      <c r="AT572" s="20"/>
      <c r="AU572" s="20"/>
      <c r="AV572" s="20"/>
      <c r="AW572" s="20"/>
      <c r="AX572" s="20"/>
      <c r="AY572" s="20"/>
      <c r="AZ572" s="20"/>
      <c r="BA572" s="20"/>
      <c r="BB572" s="20"/>
      <c r="BC572" s="20"/>
    </row>
    <row r="573" ht="13.5" customHeight="1" spans="1:55">
      <c r="A573" s="20"/>
      <c r="B573" s="20"/>
      <c r="C573" s="20"/>
      <c r="D573" s="20"/>
      <c r="E573" s="20"/>
      <c r="F573" s="20"/>
      <c r="G573" s="52"/>
      <c r="H573" s="20"/>
      <c r="I573" s="20"/>
      <c r="J573" s="20"/>
      <c r="K573" s="20"/>
      <c r="L573" s="20"/>
      <c r="M573" s="20"/>
      <c r="N573" s="20"/>
      <c r="O573" s="20"/>
      <c r="P573" s="20"/>
      <c r="Q573" s="20"/>
      <c r="R573" s="20"/>
      <c r="S573" s="20"/>
      <c r="T573" s="20"/>
      <c r="U573" s="20"/>
      <c r="V573" s="20"/>
      <c r="W573" s="20"/>
      <c r="X573" s="20"/>
      <c r="Y573" s="20"/>
      <c r="Z573" s="20"/>
      <c r="AA573" s="20"/>
      <c r="AB573" s="20"/>
      <c r="AC573" s="20"/>
      <c r="AD573" s="20"/>
      <c r="AE573" s="20"/>
      <c r="AF573" s="20"/>
      <c r="AG573" s="20"/>
      <c r="AH573" s="20"/>
      <c r="AI573" s="20"/>
      <c r="AJ573" s="20"/>
      <c r="AK573" s="20"/>
      <c r="AL573" s="20"/>
      <c r="AM573" s="20"/>
      <c r="AN573" s="20"/>
      <c r="AO573" s="20"/>
      <c r="AP573" s="20"/>
      <c r="AQ573" s="20"/>
      <c r="AR573" s="20"/>
      <c r="AS573" s="20"/>
      <c r="AT573" s="20"/>
      <c r="AU573" s="20"/>
      <c r="AV573" s="20"/>
      <c r="AW573" s="20"/>
      <c r="AX573" s="20"/>
      <c r="AY573" s="20"/>
      <c r="AZ573" s="20"/>
      <c r="BA573" s="20"/>
      <c r="BB573" s="20"/>
      <c r="BC573" s="20"/>
    </row>
    <row r="574" ht="13.5" customHeight="1" spans="1:55">
      <c r="A574" s="20"/>
      <c r="B574" s="20"/>
      <c r="C574" s="20"/>
      <c r="D574" s="20"/>
      <c r="E574" s="20"/>
      <c r="F574" s="20"/>
      <c r="G574" s="52"/>
      <c r="H574" s="20"/>
      <c r="I574" s="20"/>
      <c r="J574" s="20"/>
      <c r="K574" s="20"/>
      <c r="L574" s="20"/>
      <c r="M574" s="20"/>
      <c r="N574" s="20"/>
      <c r="O574" s="20"/>
      <c r="P574" s="20"/>
      <c r="Q574" s="20"/>
      <c r="R574" s="20"/>
      <c r="S574" s="20"/>
      <c r="T574" s="20"/>
      <c r="U574" s="20"/>
      <c r="V574" s="20"/>
      <c r="W574" s="20"/>
      <c r="X574" s="20"/>
      <c r="Y574" s="20"/>
      <c r="Z574" s="20"/>
      <c r="AA574" s="20"/>
      <c r="AB574" s="20"/>
      <c r="AC574" s="20"/>
      <c r="AD574" s="20"/>
      <c r="AE574" s="20"/>
      <c r="AF574" s="20"/>
      <c r="AG574" s="20"/>
      <c r="AH574" s="20"/>
      <c r="AI574" s="20"/>
      <c r="AJ574" s="20"/>
      <c r="AK574" s="20"/>
      <c r="AL574" s="20"/>
      <c r="AM574" s="20"/>
      <c r="AN574" s="20"/>
      <c r="AO574" s="20"/>
      <c r="AP574" s="20"/>
      <c r="AQ574" s="20"/>
      <c r="AR574" s="20"/>
      <c r="AS574" s="20"/>
      <c r="AT574" s="20"/>
      <c r="AU574" s="20"/>
      <c r="AV574" s="20"/>
      <c r="AW574" s="20"/>
      <c r="AX574" s="20"/>
      <c r="AY574" s="20"/>
      <c r="AZ574" s="20"/>
      <c r="BA574" s="20"/>
      <c r="BB574" s="20"/>
      <c r="BC574" s="20"/>
    </row>
    <row r="575" ht="13.5" customHeight="1" spans="1:55">
      <c r="A575" s="20"/>
      <c r="B575" s="20"/>
      <c r="C575" s="20"/>
      <c r="D575" s="20"/>
      <c r="E575" s="20"/>
      <c r="F575" s="20"/>
      <c r="G575" s="52"/>
      <c r="H575" s="20"/>
      <c r="I575" s="20"/>
      <c r="J575" s="20"/>
      <c r="K575" s="20"/>
      <c r="L575" s="20"/>
      <c r="M575" s="20"/>
      <c r="N575" s="20"/>
      <c r="O575" s="20"/>
      <c r="P575" s="20"/>
      <c r="Q575" s="20"/>
      <c r="R575" s="20"/>
      <c r="S575" s="20"/>
      <c r="T575" s="20"/>
      <c r="U575" s="20"/>
      <c r="V575" s="20"/>
      <c r="W575" s="20"/>
      <c r="X575" s="20"/>
      <c r="Y575" s="20"/>
      <c r="Z575" s="20"/>
      <c r="AA575" s="20"/>
      <c r="AB575" s="20"/>
      <c r="AC575" s="20"/>
      <c r="AD575" s="20"/>
      <c r="AE575" s="20"/>
      <c r="AF575" s="20"/>
      <c r="AG575" s="20"/>
      <c r="AH575" s="20"/>
      <c r="AI575" s="20"/>
      <c r="AJ575" s="20"/>
      <c r="AK575" s="20"/>
      <c r="AL575" s="20"/>
      <c r="AM575" s="20"/>
      <c r="AN575" s="20"/>
      <c r="AO575" s="20"/>
      <c r="AP575" s="20"/>
      <c r="AQ575" s="20"/>
      <c r="AR575" s="20"/>
      <c r="AS575" s="20"/>
      <c r="AT575" s="20"/>
      <c r="AU575" s="20"/>
      <c r="AV575" s="20"/>
      <c r="AW575" s="20"/>
      <c r="AX575" s="20"/>
      <c r="AY575" s="20"/>
      <c r="AZ575" s="20"/>
      <c r="BA575" s="20"/>
      <c r="BB575" s="20"/>
      <c r="BC575" s="20"/>
    </row>
    <row r="576" ht="13.5" customHeight="1" spans="1:55">
      <c r="A576" s="20"/>
      <c r="B576" s="20"/>
      <c r="C576" s="20"/>
      <c r="D576" s="20"/>
      <c r="E576" s="20"/>
      <c r="F576" s="20"/>
      <c r="G576" s="52"/>
      <c r="H576" s="20"/>
      <c r="I576" s="20"/>
      <c r="J576" s="20"/>
      <c r="K576" s="20"/>
      <c r="L576" s="20"/>
      <c r="M576" s="20"/>
      <c r="N576" s="20"/>
      <c r="O576" s="20"/>
      <c r="P576" s="20"/>
      <c r="Q576" s="20"/>
      <c r="R576" s="20"/>
      <c r="S576" s="20"/>
      <c r="T576" s="20"/>
      <c r="U576" s="20"/>
      <c r="V576" s="20"/>
      <c r="W576" s="20"/>
      <c r="X576" s="20"/>
      <c r="Y576" s="20"/>
      <c r="Z576" s="20"/>
      <c r="AA576" s="20"/>
      <c r="AB576" s="20"/>
      <c r="AC576" s="20"/>
      <c r="AD576" s="20"/>
      <c r="AE576" s="20"/>
      <c r="AF576" s="20"/>
      <c r="AG576" s="20"/>
      <c r="AH576" s="20"/>
      <c r="AI576" s="20"/>
      <c r="AJ576" s="20"/>
      <c r="AK576" s="20"/>
      <c r="AL576" s="20"/>
      <c r="AM576" s="20"/>
      <c r="AN576" s="20"/>
      <c r="AO576" s="20"/>
      <c r="AP576" s="20"/>
      <c r="AQ576" s="20"/>
      <c r="AR576" s="20"/>
      <c r="AS576" s="20"/>
      <c r="AT576" s="20"/>
      <c r="AU576" s="20"/>
      <c r="AV576" s="20"/>
      <c r="AW576" s="20"/>
      <c r="AX576" s="20"/>
      <c r="AY576" s="20"/>
      <c r="AZ576" s="20"/>
      <c r="BA576" s="20"/>
      <c r="BB576" s="20"/>
      <c r="BC576" s="20"/>
    </row>
    <row r="577" ht="13.5" customHeight="1" spans="1:55">
      <c r="A577" s="20"/>
      <c r="B577" s="20"/>
      <c r="C577" s="20"/>
      <c r="D577" s="20"/>
      <c r="E577" s="20"/>
      <c r="F577" s="20"/>
      <c r="G577" s="52"/>
      <c r="H577" s="20"/>
      <c r="I577" s="20"/>
      <c r="J577" s="20"/>
      <c r="K577" s="20"/>
      <c r="L577" s="20"/>
      <c r="M577" s="20"/>
      <c r="N577" s="20"/>
      <c r="O577" s="20"/>
      <c r="P577" s="20"/>
      <c r="Q577" s="20"/>
      <c r="R577" s="20"/>
      <c r="S577" s="20"/>
      <c r="T577" s="20"/>
      <c r="U577" s="20"/>
      <c r="V577" s="20"/>
      <c r="W577" s="20"/>
      <c r="X577" s="20"/>
      <c r="Y577" s="20"/>
      <c r="Z577" s="20"/>
      <c r="AA577" s="20"/>
      <c r="AB577" s="20"/>
      <c r="AC577" s="20"/>
      <c r="AD577" s="20"/>
      <c r="AE577" s="20"/>
      <c r="AF577" s="20"/>
      <c r="AG577" s="20"/>
      <c r="AH577" s="20"/>
      <c r="AI577" s="20"/>
      <c r="AJ577" s="20"/>
      <c r="AK577" s="20"/>
      <c r="AL577" s="20"/>
      <c r="AM577" s="20"/>
      <c r="AN577" s="20"/>
      <c r="AO577" s="20"/>
      <c r="AP577" s="20"/>
      <c r="AQ577" s="20"/>
      <c r="AR577" s="20"/>
      <c r="AS577" s="20"/>
      <c r="AT577" s="20"/>
      <c r="AU577" s="20"/>
      <c r="AV577" s="20"/>
      <c r="AW577" s="20"/>
      <c r="AX577" s="20"/>
      <c r="AY577" s="20"/>
      <c r="AZ577" s="20"/>
      <c r="BA577" s="20"/>
      <c r="BB577" s="20"/>
      <c r="BC577" s="20"/>
    </row>
    <row r="578" ht="13.5" customHeight="1" spans="1:55">
      <c r="A578" s="20"/>
      <c r="B578" s="20"/>
      <c r="C578" s="20"/>
      <c r="D578" s="20"/>
      <c r="E578" s="20"/>
      <c r="F578" s="20"/>
      <c r="G578" s="52"/>
      <c r="H578" s="20"/>
      <c r="I578" s="20"/>
      <c r="J578" s="20"/>
      <c r="K578" s="20"/>
      <c r="L578" s="20"/>
      <c r="M578" s="20"/>
      <c r="N578" s="20"/>
      <c r="O578" s="20"/>
      <c r="P578" s="20"/>
      <c r="Q578" s="20"/>
      <c r="R578" s="20"/>
      <c r="S578" s="20"/>
      <c r="T578" s="20"/>
      <c r="U578" s="20"/>
      <c r="V578" s="20"/>
      <c r="W578" s="20"/>
      <c r="X578" s="20"/>
      <c r="Y578" s="20"/>
      <c r="Z578" s="20"/>
      <c r="AA578" s="20"/>
      <c r="AB578" s="20"/>
      <c r="AC578" s="20"/>
      <c r="AD578" s="20"/>
      <c r="AE578" s="20"/>
      <c r="AF578" s="20"/>
      <c r="AG578" s="20"/>
      <c r="AH578" s="20"/>
      <c r="AI578" s="20"/>
      <c r="AJ578" s="20"/>
      <c r="AK578" s="20"/>
      <c r="AL578" s="20"/>
      <c r="AM578" s="20"/>
      <c r="AN578" s="20"/>
      <c r="AO578" s="20"/>
      <c r="AP578" s="20"/>
      <c r="AQ578" s="20"/>
      <c r="AR578" s="20"/>
      <c r="AS578" s="20"/>
      <c r="AT578" s="20"/>
      <c r="AU578" s="20"/>
      <c r="AV578" s="20"/>
      <c r="AW578" s="20"/>
      <c r="AX578" s="20"/>
      <c r="AY578" s="20"/>
      <c r="AZ578" s="20"/>
      <c r="BA578" s="20"/>
      <c r="BB578" s="20"/>
      <c r="BC578" s="20"/>
    </row>
    <row r="579" ht="13.5" customHeight="1" spans="1:55">
      <c r="A579" s="20"/>
      <c r="B579" s="20"/>
      <c r="C579" s="20"/>
      <c r="D579" s="20"/>
      <c r="E579" s="20"/>
      <c r="F579" s="20"/>
      <c r="G579" s="52"/>
      <c r="H579" s="20"/>
      <c r="I579" s="20"/>
      <c r="J579" s="20"/>
      <c r="K579" s="20"/>
      <c r="L579" s="20"/>
      <c r="M579" s="20"/>
      <c r="N579" s="20"/>
      <c r="O579" s="20"/>
      <c r="P579" s="20"/>
      <c r="Q579" s="20"/>
      <c r="R579" s="20"/>
      <c r="S579" s="20"/>
      <c r="T579" s="20"/>
      <c r="U579" s="20"/>
      <c r="V579" s="20"/>
      <c r="W579" s="20"/>
      <c r="X579" s="20"/>
      <c r="Y579" s="20"/>
      <c r="Z579" s="20"/>
      <c r="AA579" s="20"/>
      <c r="AB579" s="20"/>
      <c r="AC579" s="20"/>
      <c r="AD579" s="20"/>
      <c r="AE579" s="20"/>
      <c r="AF579" s="20"/>
      <c r="AG579" s="20"/>
      <c r="AH579" s="20"/>
      <c r="AI579" s="20"/>
      <c r="AJ579" s="20"/>
      <c r="AK579" s="20"/>
      <c r="AL579" s="20"/>
      <c r="AM579" s="20"/>
      <c r="AN579" s="20"/>
      <c r="AO579" s="20"/>
      <c r="AP579" s="20"/>
      <c r="AQ579" s="20"/>
      <c r="AR579" s="20"/>
      <c r="AS579" s="20"/>
      <c r="AT579" s="20"/>
      <c r="AU579" s="20"/>
      <c r="AV579" s="20"/>
      <c r="AW579" s="20"/>
      <c r="AX579" s="20"/>
      <c r="AY579" s="20"/>
      <c r="AZ579" s="20"/>
      <c r="BA579" s="20"/>
      <c r="BB579" s="20"/>
      <c r="BC579" s="20"/>
    </row>
    <row r="580" ht="13.5" customHeight="1" spans="1:55">
      <c r="A580" s="20"/>
      <c r="B580" s="20"/>
      <c r="C580" s="20"/>
      <c r="D580" s="20"/>
      <c r="E580" s="20"/>
      <c r="F580" s="20"/>
      <c r="G580" s="52"/>
      <c r="H580" s="20"/>
      <c r="I580" s="20"/>
      <c r="J580" s="20"/>
      <c r="K580" s="20"/>
      <c r="L580" s="20"/>
      <c r="M580" s="20"/>
      <c r="N580" s="20"/>
      <c r="O580" s="20"/>
      <c r="P580" s="20"/>
      <c r="Q580" s="20"/>
      <c r="R580" s="20"/>
      <c r="S580" s="20"/>
      <c r="T580" s="20"/>
      <c r="U580" s="20"/>
      <c r="V580" s="20"/>
      <c r="W580" s="20"/>
      <c r="X580" s="20"/>
      <c r="Y580" s="20"/>
      <c r="Z580" s="20"/>
      <c r="AA580" s="20"/>
      <c r="AB580" s="20"/>
      <c r="AC580" s="20"/>
      <c r="AD580" s="20"/>
      <c r="AE580" s="20"/>
      <c r="AF580" s="20"/>
      <c r="AG580" s="20"/>
      <c r="AH580" s="20"/>
      <c r="AI580" s="20"/>
      <c r="AJ580" s="20"/>
      <c r="AK580" s="20"/>
      <c r="AL580" s="20"/>
      <c r="AM580" s="20"/>
      <c r="AN580" s="20"/>
      <c r="AO580" s="20"/>
      <c r="AP580" s="20"/>
      <c r="AQ580" s="20"/>
      <c r="AR580" s="20"/>
      <c r="AS580" s="20"/>
      <c r="AT580" s="20"/>
      <c r="AU580" s="20"/>
      <c r="AV580" s="20"/>
      <c r="AW580" s="20"/>
      <c r="AX580" s="20"/>
      <c r="AY580" s="20"/>
      <c r="AZ580" s="20"/>
      <c r="BA580" s="20"/>
      <c r="BB580" s="20"/>
      <c r="BC580" s="20"/>
    </row>
    <row r="581" ht="13.5" customHeight="1" spans="1:55">
      <c r="A581" s="20"/>
      <c r="B581" s="20"/>
      <c r="C581" s="20"/>
      <c r="D581" s="20"/>
      <c r="E581" s="20"/>
      <c r="F581" s="20"/>
      <c r="G581" s="52"/>
      <c r="H581" s="20"/>
      <c r="I581" s="20"/>
      <c r="J581" s="20"/>
      <c r="K581" s="20"/>
      <c r="L581" s="20"/>
      <c r="M581" s="20"/>
      <c r="N581" s="20"/>
      <c r="O581" s="20"/>
      <c r="P581" s="20"/>
      <c r="Q581" s="20"/>
      <c r="R581" s="20"/>
      <c r="S581" s="20"/>
      <c r="T581" s="20"/>
      <c r="U581" s="20"/>
      <c r="V581" s="20"/>
      <c r="W581" s="20"/>
      <c r="X581" s="20"/>
      <c r="Y581" s="20"/>
      <c r="Z581" s="20"/>
      <c r="AA581" s="20"/>
      <c r="AB581" s="20"/>
      <c r="AC581" s="20"/>
      <c r="AD581" s="20"/>
      <c r="AE581" s="20"/>
      <c r="AF581" s="20"/>
      <c r="AG581" s="20"/>
      <c r="AH581" s="20"/>
      <c r="AI581" s="20"/>
      <c r="AJ581" s="20"/>
      <c r="AK581" s="20"/>
      <c r="AL581" s="20"/>
      <c r="AM581" s="20"/>
      <c r="AN581" s="20"/>
      <c r="AO581" s="20"/>
      <c r="AP581" s="20"/>
      <c r="AQ581" s="20"/>
      <c r="AR581" s="20"/>
      <c r="AS581" s="20"/>
      <c r="AT581" s="20"/>
      <c r="AU581" s="20"/>
      <c r="AV581" s="20"/>
      <c r="AW581" s="20"/>
      <c r="AX581" s="20"/>
      <c r="AY581" s="20"/>
      <c r="AZ581" s="20"/>
      <c r="BA581" s="20"/>
      <c r="BB581" s="20"/>
      <c r="BC581" s="20"/>
    </row>
    <row r="582" ht="13.5" customHeight="1" spans="1:55">
      <c r="A582" s="20"/>
      <c r="B582" s="20"/>
      <c r="C582" s="20"/>
      <c r="D582" s="20"/>
      <c r="E582" s="20"/>
      <c r="F582" s="20"/>
      <c r="G582" s="52"/>
      <c r="H582" s="20"/>
      <c r="I582" s="20"/>
      <c r="J582" s="20"/>
      <c r="K582" s="20"/>
      <c r="L582" s="20"/>
      <c r="M582" s="20"/>
      <c r="N582" s="20"/>
      <c r="O582" s="20"/>
      <c r="P582" s="20"/>
      <c r="Q582" s="20"/>
      <c r="R582" s="20"/>
      <c r="S582" s="20"/>
      <c r="T582" s="20"/>
      <c r="U582" s="20"/>
      <c r="V582" s="20"/>
      <c r="W582" s="20"/>
      <c r="X582" s="20"/>
      <c r="Y582" s="20"/>
      <c r="Z582" s="20"/>
      <c r="AA582" s="20"/>
      <c r="AB582" s="20"/>
      <c r="AC582" s="20"/>
      <c r="AD582" s="20"/>
      <c r="AE582" s="20"/>
      <c r="AF582" s="20"/>
      <c r="AG582" s="20"/>
      <c r="AH582" s="20"/>
      <c r="AI582" s="20"/>
      <c r="AJ582" s="20"/>
      <c r="AK582" s="20"/>
      <c r="AL582" s="20"/>
      <c r="AM582" s="20"/>
      <c r="AN582" s="20"/>
      <c r="AO582" s="20"/>
      <c r="AP582" s="20"/>
      <c r="AQ582" s="20"/>
      <c r="AR582" s="20"/>
      <c r="AS582" s="20"/>
      <c r="AT582" s="20"/>
      <c r="AU582" s="20"/>
      <c r="AV582" s="20"/>
      <c r="AW582" s="20"/>
      <c r="AX582" s="20"/>
      <c r="AY582" s="20"/>
      <c r="AZ582" s="20"/>
      <c r="BA582" s="20"/>
      <c r="BB582" s="20"/>
      <c r="BC582" s="20"/>
    </row>
    <row r="583" ht="13.5" customHeight="1" spans="1:55">
      <c r="A583" s="20"/>
      <c r="B583" s="20"/>
      <c r="C583" s="20"/>
      <c r="D583" s="20"/>
      <c r="E583" s="20"/>
      <c r="F583" s="20"/>
      <c r="G583" s="52"/>
      <c r="H583" s="20"/>
      <c r="I583" s="20"/>
      <c r="J583" s="20"/>
      <c r="K583" s="20"/>
      <c r="L583" s="20"/>
      <c r="M583" s="20"/>
      <c r="N583" s="20"/>
      <c r="O583" s="20"/>
      <c r="P583" s="20"/>
      <c r="Q583" s="20"/>
      <c r="R583" s="20"/>
      <c r="S583" s="20"/>
      <c r="T583" s="20"/>
      <c r="U583" s="20"/>
      <c r="V583" s="20"/>
      <c r="W583" s="20"/>
      <c r="X583" s="20"/>
      <c r="Y583" s="20"/>
      <c r="Z583" s="20"/>
      <c r="AA583" s="20"/>
      <c r="AB583" s="20"/>
      <c r="AC583" s="20"/>
      <c r="AD583" s="20"/>
      <c r="AE583" s="20"/>
      <c r="AF583" s="20"/>
      <c r="AG583" s="20"/>
      <c r="AH583" s="20"/>
      <c r="AI583" s="20"/>
      <c r="AJ583" s="20"/>
      <c r="AK583" s="20"/>
      <c r="AL583" s="20"/>
      <c r="AM583" s="20"/>
      <c r="AN583" s="20"/>
      <c r="AO583" s="20"/>
      <c r="AP583" s="20"/>
      <c r="AQ583" s="20"/>
      <c r="AR583" s="20"/>
      <c r="AS583" s="20"/>
      <c r="AT583" s="20"/>
      <c r="AU583" s="20"/>
      <c r="AV583" s="20"/>
      <c r="AW583" s="20"/>
      <c r="AX583" s="20"/>
      <c r="AY583" s="20"/>
      <c r="AZ583" s="20"/>
      <c r="BA583" s="20"/>
      <c r="BB583" s="20"/>
      <c r="BC583" s="20"/>
    </row>
    <row r="584" ht="13.5" customHeight="1" spans="1:55">
      <c r="A584" s="20"/>
      <c r="B584" s="20"/>
      <c r="C584" s="20"/>
      <c r="D584" s="20"/>
      <c r="E584" s="20"/>
      <c r="F584" s="20"/>
      <c r="G584" s="52"/>
      <c r="H584" s="20"/>
      <c r="I584" s="20"/>
      <c r="J584" s="20"/>
      <c r="K584" s="20"/>
      <c r="L584" s="20"/>
      <c r="M584" s="20"/>
      <c r="N584" s="20"/>
      <c r="O584" s="20"/>
      <c r="P584" s="20"/>
      <c r="Q584" s="20"/>
      <c r="R584" s="20"/>
      <c r="S584" s="20"/>
      <c r="T584" s="20"/>
      <c r="U584" s="20"/>
      <c r="V584" s="20"/>
      <c r="W584" s="20"/>
      <c r="X584" s="20"/>
      <c r="Y584" s="20"/>
      <c r="Z584" s="20"/>
      <c r="AA584" s="20"/>
      <c r="AB584" s="20"/>
      <c r="AC584" s="20"/>
      <c r="AD584" s="20"/>
      <c r="AE584" s="20"/>
      <c r="AF584" s="20"/>
      <c r="AG584" s="20"/>
      <c r="AH584" s="20"/>
      <c r="AI584" s="20"/>
      <c r="AJ584" s="20"/>
      <c r="AK584" s="20"/>
      <c r="AL584" s="20"/>
      <c r="AM584" s="20"/>
      <c r="AN584" s="20"/>
      <c r="AO584" s="20"/>
      <c r="AP584" s="20"/>
      <c r="AQ584" s="20"/>
      <c r="AR584" s="20"/>
      <c r="AS584" s="20"/>
      <c r="AT584" s="20"/>
      <c r="AU584" s="20"/>
      <c r="AV584" s="20"/>
      <c r="AW584" s="20"/>
      <c r="AX584" s="20"/>
      <c r="AY584" s="20"/>
      <c r="AZ584" s="20"/>
      <c r="BA584" s="20"/>
      <c r="BB584" s="20"/>
      <c r="BC584" s="20"/>
    </row>
    <row r="585" ht="13.5" customHeight="1" spans="1:55">
      <c r="A585" s="20"/>
      <c r="B585" s="20"/>
      <c r="C585" s="20"/>
      <c r="D585" s="20"/>
      <c r="E585" s="20"/>
      <c r="F585" s="20"/>
      <c r="G585" s="52"/>
      <c r="H585" s="20"/>
      <c r="I585" s="20"/>
      <c r="J585" s="20"/>
      <c r="K585" s="20"/>
      <c r="L585" s="20"/>
      <c r="M585" s="20"/>
      <c r="N585" s="20"/>
      <c r="O585" s="20"/>
      <c r="P585" s="20"/>
      <c r="Q585" s="20"/>
      <c r="R585" s="20"/>
      <c r="S585" s="20"/>
      <c r="T585" s="20"/>
      <c r="U585" s="20"/>
      <c r="V585" s="20"/>
      <c r="W585" s="20"/>
      <c r="X585" s="20"/>
      <c r="Y585" s="20"/>
      <c r="Z585" s="20"/>
      <c r="AA585" s="20"/>
      <c r="AB585" s="20"/>
      <c r="AC585" s="20"/>
      <c r="AD585" s="20"/>
      <c r="AE585" s="20"/>
      <c r="AF585" s="20"/>
      <c r="AG585" s="20"/>
      <c r="AH585" s="20"/>
      <c r="AI585" s="20"/>
      <c r="AJ585" s="20"/>
      <c r="AK585" s="20"/>
      <c r="AL585" s="20"/>
      <c r="AM585" s="20"/>
      <c r="AN585" s="20"/>
      <c r="AO585" s="20"/>
      <c r="AP585" s="20"/>
      <c r="AQ585" s="20"/>
      <c r="AR585" s="20"/>
      <c r="AS585" s="20"/>
      <c r="AT585" s="20"/>
      <c r="AU585" s="20"/>
      <c r="AV585" s="20"/>
      <c r="AW585" s="20"/>
      <c r="AX585" s="20"/>
      <c r="AY585" s="20"/>
      <c r="AZ585" s="20"/>
      <c r="BA585" s="20"/>
      <c r="BB585" s="20"/>
      <c r="BC585" s="20"/>
    </row>
    <row r="586" ht="13.5" customHeight="1" spans="1:55">
      <c r="A586" s="20"/>
      <c r="B586" s="20"/>
      <c r="C586" s="20"/>
      <c r="D586" s="20"/>
      <c r="E586" s="20"/>
      <c r="F586" s="20"/>
      <c r="G586" s="52"/>
      <c r="H586" s="20"/>
      <c r="I586" s="20"/>
      <c r="J586" s="20"/>
      <c r="K586" s="20"/>
      <c r="L586" s="20"/>
      <c r="M586" s="20"/>
      <c r="N586" s="20"/>
      <c r="O586" s="20"/>
      <c r="P586" s="20"/>
      <c r="Q586" s="20"/>
      <c r="R586" s="20"/>
      <c r="S586" s="20"/>
      <c r="T586" s="20"/>
      <c r="U586" s="20"/>
      <c r="V586" s="20"/>
      <c r="W586" s="20"/>
      <c r="X586" s="20"/>
      <c r="Y586" s="20"/>
      <c r="Z586" s="20"/>
      <c r="AA586" s="20"/>
      <c r="AB586" s="20"/>
      <c r="AC586" s="20"/>
      <c r="AD586" s="20"/>
      <c r="AE586" s="20"/>
      <c r="AF586" s="20"/>
      <c r="AG586" s="20"/>
      <c r="AH586" s="20"/>
      <c r="AI586" s="20"/>
      <c r="AJ586" s="20"/>
      <c r="AK586" s="20"/>
      <c r="AL586" s="20"/>
      <c r="AM586" s="20"/>
      <c r="AN586" s="20"/>
      <c r="AO586" s="20"/>
      <c r="AP586" s="20"/>
      <c r="AQ586" s="20"/>
      <c r="AR586" s="20"/>
      <c r="AS586" s="20"/>
      <c r="AT586" s="20"/>
      <c r="AU586" s="20"/>
      <c r="AV586" s="20"/>
      <c r="AW586" s="20"/>
      <c r="AX586" s="20"/>
      <c r="AY586" s="20"/>
      <c r="AZ586" s="20"/>
      <c r="BA586" s="20"/>
      <c r="BB586" s="20"/>
      <c r="BC586" s="20"/>
    </row>
    <row r="587" ht="13.5" customHeight="1" spans="1:55">
      <c r="A587" s="20"/>
      <c r="B587" s="20"/>
      <c r="C587" s="20"/>
      <c r="D587" s="20"/>
      <c r="E587" s="20"/>
      <c r="F587" s="20"/>
      <c r="G587" s="52"/>
      <c r="H587" s="20"/>
      <c r="I587" s="20"/>
      <c r="J587" s="20"/>
      <c r="K587" s="20"/>
      <c r="L587" s="20"/>
      <c r="M587" s="20"/>
      <c r="N587" s="20"/>
      <c r="O587" s="20"/>
      <c r="P587" s="20"/>
      <c r="Q587" s="20"/>
      <c r="R587" s="20"/>
      <c r="S587" s="20"/>
      <c r="T587" s="20"/>
      <c r="U587" s="20"/>
      <c r="V587" s="20"/>
      <c r="W587" s="20"/>
      <c r="X587" s="20"/>
      <c r="Y587" s="20"/>
      <c r="Z587" s="20"/>
      <c r="AA587" s="20"/>
      <c r="AB587" s="20"/>
      <c r="AC587" s="20"/>
      <c r="AD587" s="20"/>
      <c r="AE587" s="20"/>
      <c r="AF587" s="20"/>
      <c r="AG587" s="20"/>
      <c r="AH587" s="20"/>
      <c r="AI587" s="20"/>
      <c r="AJ587" s="20"/>
      <c r="AK587" s="20"/>
      <c r="AL587" s="20"/>
      <c r="AM587" s="20"/>
      <c r="AN587" s="20"/>
      <c r="AO587" s="20"/>
      <c r="AP587" s="20"/>
      <c r="AQ587" s="20"/>
      <c r="AR587" s="20"/>
      <c r="AS587" s="20"/>
      <c r="AT587" s="20"/>
      <c r="AU587" s="20"/>
      <c r="AV587" s="20"/>
      <c r="AW587" s="20"/>
      <c r="AX587" s="20"/>
      <c r="AY587" s="20"/>
      <c r="AZ587" s="20"/>
      <c r="BA587" s="20"/>
      <c r="BB587" s="20"/>
      <c r="BC587" s="20"/>
    </row>
    <row r="588" ht="13.5" customHeight="1" spans="1:55">
      <c r="A588" s="20"/>
      <c r="B588" s="20"/>
      <c r="C588" s="20"/>
      <c r="D588" s="20"/>
      <c r="E588" s="20"/>
      <c r="F588" s="20"/>
      <c r="G588" s="52"/>
      <c r="H588" s="20"/>
      <c r="I588" s="20"/>
      <c r="J588" s="20"/>
      <c r="K588" s="20"/>
      <c r="L588" s="20"/>
      <c r="M588" s="20"/>
      <c r="N588" s="20"/>
      <c r="O588" s="20"/>
      <c r="P588" s="20"/>
      <c r="Q588" s="20"/>
      <c r="R588" s="20"/>
      <c r="S588" s="20"/>
      <c r="T588" s="20"/>
      <c r="U588" s="20"/>
      <c r="V588" s="20"/>
      <c r="W588" s="20"/>
      <c r="X588" s="20"/>
      <c r="Y588" s="20"/>
      <c r="Z588" s="20"/>
      <c r="AA588" s="20"/>
      <c r="AB588" s="20"/>
      <c r="AC588" s="20"/>
      <c r="AD588" s="20"/>
      <c r="AE588" s="20"/>
      <c r="AF588" s="20"/>
      <c r="AG588" s="20"/>
      <c r="AH588" s="20"/>
      <c r="AI588" s="20"/>
      <c r="AJ588" s="20"/>
      <c r="AK588" s="20"/>
      <c r="AL588" s="20"/>
      <c r="AM588" s="20"/>
      <c r="AN588" s="20"/>
      <c r="AO588" s="20"/>
      <c r="AP588" s="20"/>
      <c r="AQ588" s="20"/>
      <c r="AR588" s="20"/>
      <c r="AS588" s="20"/>
      <c r="AT588" s="20"/>
      <c r="AU588" s="20"/>
      <c r="AV588" s="20"/>
      <c r="AW588" s="20"/>
      <c r="AX588" s="20"/>
      <c r="AY588" s="20"/>
      <c r="AZ588" s="20"/>
      <c r="BA588" s="20"/>
      <c r="BB588" s="20"/>
      <c r="BC588" s="20"/>
    </row>
    <row r="589" ht="13.5" customHeight="1" spans="1:55">
      <c r="A589" s="20"/>
      <c r="B589" s="20"/>
      <c r="C589" s="20"/>
      <c r="D589" s="20"/>
      <c r="E589" s="20"/>
      <c r="F589" s="20"/>
      <c r="G589" s="52"/>
      <c r="H589" s="20"/>
      <c r="I589" s="20"/>
      <c r="J589" s="20"/>
      <c r="K589" s="20"/>
      <c r="L589" s="20"/>
      <c r="M589" s="20"/>
      <c r="N589" s="20"/>
      <c r="O589" s="20"/>
      <c r="P589" s="20"/>
      <c r="Q589" s="20"/>
      <c r="R589" s="20"/>
      <c r="S589" s="20"/>
      <c r="T589" s="20"/>
      <c r="U589" s="20"/>
      <c r="V589" s="20"/>
      <c r="W589" s="20"/>
      <c r="X589" s="20"/>
      <c r="Y589" s="20"/>
      <c r="Z589" s="20"/>
      <c r="AA589" s="20"/>
      <c r="AB589" s="20"/>
      <c r="AC589" s="20"/>
      <c r="AD589" s="20"/>
      <c r="AE589" s="20"/>
      <c r="AF589" s="20"/>
      <c r="AG589" s="20"/>
      <c r="AH589" s="20"/>
      <c r="AI589" s="20"/>
      <c r="AJ589" s="20"/>
      <c r="AK589" s="20"/>
      <c r="AL589" s="20"/>
      <c r="AM589" s="20"/>
      <c r="AN589" s="20"/>
      <c r="AO589" s="20"/>
      <c r="AP589" s="20"/>
      <c r="AQ589" s="20"/>
      <c r="AR589" s="20"/>
      <c r="AS589" s="20"/>
      <c r="AT589" s="20"/>
      <c r="AU589" s="20"/>
      <c r="AV589" s="20"/>
      <c r="AW589" s="20"/>
      <c r="AX589" s="20"/>
      <c r="AY589" s="20"/>
      <c r="AZ589" s="20"/>
      <c r="BA589" s="20"/>
      <c r="BB589" s="20"/>
      <c r="BC589" s="20"/>
    </row>
    <row r="590" ht="13.5" customHeight="1" spans="1:55">
      <c r="A590" s="20"/>
      <c r="B590" s="20"/>
      <c r="C590" s="20"/>
      <c r="D590" s="20"/>
      <c r="E590" s="20"/>
      <c r="F590" s="20"/>
      <c r="G590" s="52"/>
      <c r="H590" s="20"/>
      <c r="I590" s="20"/>
      <c r="J590" s="20"/>
      <c r="K590" s="20"/>
      <c r="L590" s="20"/>
      <c r="M590" s="20"/>
      <c r="N590" s="20"/>
      <c r="O590" s="20"/>
      <c r="P590" s="20"/>
      <c r="Q590" s="20"/>
      <c r="R590" s="20"/>
      <c r="S590" s="20"/>
      <c r="T590" s="20"/>
      <c r="U590" s="20"/>
      <c r="V590" s="20"/>
      <c r="W590" s="20"/>
      <c r="X590" s="20"/>
      <c r="Y590" s="20"/>
      <c r="Z590" s="20"/>
      <c r="AA590" s="20"/>
      <c r="AB590" s="20"/>
      <c r="AC590" s="20"/>
      <c r="AD590" s="20"/>
      <c r="AE590" s="20"/>
      <c r="AF590" s="20"/>
      <c r="AG590" s="20"/>
      <c r="AH590" s="20"/>
      <c r="AI590" s="20"/>
      <c r="AJ590" s="20"/>
      <c r="AK590" s="20"/>
      <c r="AL590" s="20"/>
      <c r="AM590" s="20"/>
      <c r="AN590" s="20"/>
      <c r="AO590" s="20"/>
      <c r="AP590" s="20"/>
      <c r="AQ590" s="20"/>
      <c r="AR590" s="20"/>
      <c r="AS590" s="20"/>
      <c r="AT590" s="20"/>
      <c r="AU590" s="20"/>
      <c r="AV590" s="20"/>
      <c r="AW590" s="20"/>
      <c r="AX590" s="20"/>
      <c r="AY590" s="20"/>
      <c r="AZ590" s="20"/>
      <c r="BA590" s="20"/>
      <c r="BB590" s="20"/>
      <c r="BC590" s="20"/>
    </row>
    <row r="591" ht="13.5" customHeight="1" spans="1:55">
      <c r="A591" s="20"/>
      <c r="B591" s="20"/>
      <c r="C591" s="20"/>
      <c r="D591" s="20"/>
      <c r="E591" s="20"/>
      <c r="F591" s="20"/>
      <c r="G591" s="52"/>
      <c r="H591" s="20"/>
      <c r="I591" s="20"/>
      <c r="J591" s="20"/>
      <c r="K591" s="20"/>
      <c r="L591" s="20"/>
      <c r="M591" s="20"/>
      <c r="N591" s="20"/>
      <c r="O591" s="20"/>
      <c r="P591" s="20"/>
      <c r="Q591" s="20"/>
      <c r="R591" s="20"/>
      <c r="S591" s="20"/>
      <c r="T591" s="20"/>
      <c r="U591" s="20"/>
      <c r="V591" s="20"/>
      <c r="W591" s="20"/>
      <c r="X591" s="20"/>
      <c r="Y591" s="20"/>
      <c r="Z591" s="20"/>
      <c r="AA591" s="20"/>
      <c r="AB591" s="20"/>
      <c r="AC591" s="20"/>
      <c r="AD591" s="20"/>
      <c r="AE591" s="20"/>
      <c r="AF591" s="20"/>
      <c r="AG591" s="20"/>
      <c r="AH591" s="20"/>
      <c r="AI591" s="20"/>
      <c r="AJ591" s="20"/>
      <c r="AK591" s="20"/>
      <c r="AL591" s="20"/>
      <c r="AM591" s="20"/>
      <c r="AN591" s="20"/>
      <c r="AO591" s="20"/>
      <c r="AP591" s="20"/>
      <c r="AQ591" s="20"/>
      <c r="AR591" s="20"/>
      <c r="AS591" s="20"/>
      <c r="AT591" s="20"/>
      <c r="AU591" s="20"/>
      <c r="AV591" s="20"/>
      <c r="AW591" s="20"/>
      <c r="AX591" s="20"/>
      <c r="AY591" s="20"/>
      <c r="AZ591" s="20"/>
      <c r="BA591" s="20"/>
      <c r="BB591" s="20"/>
      <c r="BC591" s="20"/>
    </row>
    <row r="592" ht="13.5" customHeight="1" spans="1:55">
      <c r="A592" s="20"/>
      <c r="B592" s="20"/>
      <c r="C592" s="20"/>
      <c r="D592" s="20"/>
      <c r="E592" s="20"/>
      <c r="F592" s="20"/>
      <c r="G592" s="52"/>
      <c r="H592" s="20"/>
      <c r="I592" s="20"/>
      <c r="J592" s="20"/>
      <c r="K592" s="20"/>
      <c r="L592" s="20"/>
      <c r="M592" s="20"/>
      <c r="N592" s="20"/>
      <c r="O592" s="20"/>
      <c r="P592" s="20"/>
      <c r="Q592" s="20"/>
      <c r="R592" s="20"/>
      <c r="S592" s="20"/>
      <c r="T592" s="20"/>
      <c r="U592" s="20"/>
      <c r="V592" s="20"/>
      <c r="W592" s="20"/>
      <c r="X592" s="20"/>
      <c r="Y592" s="20"/>
      <c r="Z592" s="20"/>
      <c r="AA592" s="20"/>
      <c r="AB592" s="20"/>
      <c r="AC592" s="20"/>
      <c r="AD592" s="20"/>
      <c r="AE592" s="20"/>
      <c r="AF592" s="20"/>
      <c r="AG592" s="20"/>
      <c r="AH592" s="20"/>
      <c r="AI592" s="20"/>
      <c r="AJ592" s="20"/>
      <c r="AK592" s="20"/>
      <c r="AL592" s="20"/>
      <c r="AM592" s="20"/>
      <c r="AN592" s="20"/>
      <c r="AO592" s="20"/>
      <c r="AP592" s="20"/>
      <c r="AQ592" s="20"/>
      <c r="AR592" s="20"/>
      <c r="AS592" s="20"/>
      <c r="AT592" s="20"/>
      <c r="AU592" s="20"/>
      <c r="AV592" s="20"/>
      <c r="AW592" s="20"/>
      <c r="AX592" s="20"/>
      <c r="AY592" s="20"/>
      <c r="AZ592" s="20"/>
      <c r="BA592" s="20"/>
      <c r="BB592" s="20"/>
      <c r="BC592" s="20"/>
    </row>
    <row r="593" ht="13.5" customHeight="1" spans="1:55">
      <c r="A593" s="20"/>
      <c r="B593" s="20"/>
      <c r="C593" s="20"/>
      <c r="D593" s="20"/>
      <c r="E593" s="20"/>
      <c r="F593" s="20"/>
      <c r="G593" s="52"/>
      <c r="H593" s="20"/>
      <c r="I593" s="20"/>
      <c r="J593" s="20"/>
      <c r="K593" s="20"/>
      <c r="L593" s="20"/>
      <c r="M593" s="20"/>
      <c r="N593" s="20"/>
      <c r="O593" s="20"/>
      <c r="P593" s="20"/>
      <c r="Q593" s="20"/>
      <c r="R593" s="20"/>
      <c r="S593" s="20"/>
      <c r="T593" s="20"/>
      <c r="U593" s="20"/>
      <c r="V593" s="20"/>
      <c r="W593" s="20"/>
      <c r="X593" s="20"/>
      <c r="Y593" s="20"/>
      <c r="Z593" s="20"/>
      <c r="AA593" s="20"/>
      <c r="AB593" s="20"/>
      <c r="AC593" s="20"/>
      <c r="AD593" s="20"/>
      <c r="AE593" s="20"/>
      <c r="AF593" s="20"/>
      <c r="AG593" s="20"/>
      <c r="AH593" s="20"/>
      <c r="AI593" s="20"/>
      <c r="AJ593" s="20"/>
      <c r="AK593" s="20"/>
      <c r="AL593" s="20"/>
      <c r="AM593" s="20"/>
      <c r="AN593" s="20"/>
      <c r="AO593" s="20"/>
      <c r="AP593" s="20"/>
      <c r="AQ593" s="20"/>
      <c r="AR593" s="20"/>
      <c r="AS593" s="20"/>
      <c r="AT593" s="20"/>
      <c r="AU593" s="20"/>
      <c r="AV593" s="20"/>
      <c r="AW593" s="20"/>
      <c r="AX593" s="20"/>
      <c r="AY593" s="20"/>
      <c r="AZ593" s="20"/>
      <c r="BA593" s="20"/>
      <c r="BB593" s="20"/>
      <c r="BC593" s="20"/>
    </row>
    <row r="594" ht="13.5" customHeight="1" spans="1:55">
      <c r="A594" s="20"/>
      <c r="B594" s="20"/>
      <c r="C594" s="20"/>
      <c r="D594" s="20"/>
      <c r="E594" s="20"/>
      <c r="F594" s="20"/>
      <c r="G594" s="52"/>
      <c r="H594" s="20"/>
      <c r="I594" s="20"/>
      <c r="J594" s="20"/>
      <c r="K594" s="20"/>
      <c r="L594" s="20"/>
      <c r="M594" s="20"/>
      <c r="N594" s="20"/>
      <c r="O594" s="20"/>
      <c r="P594" s="20"/>
      <c r="Q594" s="20"/>
      <c r="R594" s="20"/>
      <c r="S594" s="20"/>
      <c r="T594" s="20"/>
      <c r="U594" s="20"/>
      <c r="V594" s="20"/>
      <c r="W594" s="20"/>
      <c r="X594" s="20"/>
      <c r="Y594" s="20"/>
      <c r="Z594" s="20"/>
      <c r="AA594" s="20"/>
      <c r="AB594" s="20"/>
      <c r="AC594" s="20"/>
      <c r="AD594" s="20"/>
      <c r="AE594" s="20"/>
      <c r="AF594" s="20"/>
      <c r="AG594" s="20"/>
      <c r="AH594" s="20"/>
      <c r="AI594" s="20"/>
      <c r="AJ594" s="20"/>
      <c r="AK594" s="20"/>
      <c r="AL594" s="20"/>
      <c r="AM594" s="20"/>
      <c r="AN594" s="20"/>
      <c r="AO594" s="20"/>
      <c r="AP594" s="20"/>
      <c r="AQ594" s="20"/>
      <c r="AR594" s="20"/>
      <c r="AS594" s="20"/>
      <c r="AT594" s="20"/>
      <c r="AU594" s="20"/>
      <c r="AV594" s="20"/>
      <c r="AW594" s="20"/>
      <c r="AX594" s="20"/>
      <c r="AY594" s="20"/>
      <c r="AZ594" s="20"/>
      <c r="BA594" s="20"/>
      <c r="BB594" s="20"/>
      <c r="BC594" s="20"/>
    </row>
    <row r="595" ht="13.5" customHeight="1" spans="1:55">
      <c r="A595" s="20"/>
      <c r="B595" s="20"/>
      <c r="C595" s="20"/>
      <c r="D595" s="20"/>
      <c r="E595" s="20"/>
      <c r="F595" s="20"/>
      <c r="G595" s="52"/>
      <c r="H595" s="20"/>
      <c r="I595" s="20"/>
      <c r="J595" s="20"/>
      <c r="K595" s="20"/>
      <c r="L595" s="20"/>
      <c r="M595" s="20"/>
      <c r="N595" s="20"/>
      <c r="O595" s="20"/>
      <c r="P595" s="20"/>
      <c r="Q595" s="20"/>
      <c r="R595" s="20"/>
      <c r="S595" s="20"/>
      <c r="T595" s="20"/>
      <c r="U595" s="20"/>
      <c r="V595" s="20"/>
      <c r="W595" s="20"/>
      <c r="X595" s="20"/>
      <c r="Y595" s="20"/>
      <c r="Z595" s="20"/>
      <c r="AA595" s="20"/>
      <c r="AB595" s="20"/>
      <c r="AC595" s="20"/>
      <c r="AD595" s="20"/>
      <c r="AE595" s="20"/>
      <c r="AF595" s="20"/>
      <c r="AG595" s="20"/>
      <c r="AH595" s="20"/>
      <c r="AI595" s="20"/>
      <c r="AJ595" s="20"/>
      <c r="AK595" s="20"/>
      <c r="AL595" s="20"/>
      <c r="AM595" s="20"/>
      <c r="AN595" s="20"/>
      <c r="AO595" s="20"/>
      <c r="AP595" s="20"/>
      <c r="AQ595" s="20"/>
      <c r="AR595" s="20"/>
      <c r="AS595" s="20"/>
      <c r="AT595" s="20"/>
      <c r="AU595" s="20"/>
      <c r="AV595" s="20"/>
      <c r="AW595" s="20"/>
      <c r="AX595" s="20"/>
      <c r="AY595" s="20"/>
      <c r="AZ595" s="20"/>
      <c r="BA595" s="20"/>
      <c r="BB595" s="20"/>
      <c r="BC595" s="20"/>
    </row>
    <row r="596" ht="13.5" customHeight="1" spans="1:55">
      <c r="A596" s="20"/>
      <c r="B596" s="20"/>
      <c r="C596" s="20"/>
      <c r="D596" s="20"/>
      <c r="E596" s="20"/>
      <c r="F596" s="20"/>
      <c r="G596" s="52"/>
      <c r="H596" s="20"/>
      <c r="I596" s="20"/>
      <c r="J596" s="20"/>
      <c r="K596" s="20"/>
      <c r="L596" s="20"/>
      <c r="M596" s="20"/>
      <c r="N596" s="20"/>
      <c r="O596" s="20"/>
      <c r="P596" s="20"/>
      <c r="Q596" s="20"/>
      <c r="R596" s="20"/>
      <c r="S596" s="20"/>
      <c r="T596" s="20"/>
      <c r="U596" s="20"/>
      <c r="V596" s="20"/>
      <c r="W596" s="20"/>
      <c r="X596" s="20"/>
      <c r="Y596" s="20"/>
      <c r="Z596" s="20"/>
      <c r="AA596" s="20"/>
      <c r="AB596" s="20"/>
      <c r="AC596" s="20"/>
      <c r="AD596" s="20"/>
      <c r="AE596" s="20"/>
      <c r="AF596" s="20"/>
      <c r="AG596" s="20"/>
      <c r="AH596" s="20"/>
      <c r="AI596" s="20"/>
      <c r="AJ596" s="20"/>
      <c r="AK596" s="20"/>
      <c r="AL596" s="20"/>
      <c r="AM596" s="20"/>
      <c r="AN596" s="20"/>
      <c r="AO596" s="20"/>
      <c r="AP596" s="20"/>
      <c r="AQ596" s="20"/>
      <c r="AR596" s="20"/>
      <c r="AS596" s="20"/>
      <c r="AT596" s="20"/>
      <c r="AU596" s="20"/>
      <c r="AV596" s="20"/>
      <c r="AW596" s="20"/>
      <c r="AX596" s="20"/>
      <c r="AY596" s="20"/>
      <c r="AZ596" s="20"/>
      <c r="BA596" s="20"/>
      <c r="BB596" s="20"/>
      <c r="BC596" s="20"/>
    </row>
    <row r="597" ht="13.5" customHeight="1" spans="1:55">
      <c r="A597" s="20"/>
      <c r="B597" s="20"/>
      <c r="C597" s="20"/>
      <c r="D597" s="20"/>
      <c r="E597" s="20"/>
      <c r="F597" s="20"/>
      <c r="G597" s="52"/>
      <c r="H597" s="20"/>
      <c r="I597" s="20"/>
      <c r="J597" s="20"/>
      <c r="K597" s="20"/>
      <c r="L597" s="20"/>
      <c r="M597" s="20"/>
      <c r="N597" s="20"/>
      <c r="O597" s="20"/>
      <c r="P597" s="20"/>
      <c r="Q597" s="20"/>
      <c r="R597" s="20"/>
      <c r="S597" s="20"/>
      <c r="T597" s="20"/>
      <c r="U597" s="20"/>
      <c r="V597" s="20"/>
      <c r="W597" s="20"/>
      <c r="X597" s="20"/>
      <c r="Y597" s="20"/>
      <c r="Z597" s="20"/>
      <c r="AA597" s="20"/>
      <c r="AB597" s="20"/>
      <c r="AC597" s="20"/>
      <c r="AD597" s="20"/>
      <c r="AE597" s="20"/>
      <c r="AF597" s="20"/>
      <c r="AG597" s="20"/>
      <c r="AH597" s="20"/>
      <c r="AI597" s="20"/>
      <c r="AJ597" s="20"/>
      <c r="AK597" s="20"/>
      <c r="AL597" s="20"/>
      <c r="AM597" s="20"/>
      <c r="AN597" s="20"/>
      <c r="AO597" s="20"/>
      <c r="AP597" s="20"/>
      <c r="AQ597" s="20"/>
      <c r="AR597" s="20"/>
      <c r="AS597" s="20"/>
      <c r="AT597" s="20"/>
      <c r="AU597" s="20"/>
      <c r="AV597" s="20"/>
      <c r="AW597" s="20"/>
      <c r="AX597" s="20"/>
      <c r="AY597" s="20"/>
      <c r="AZ597" s="20"/>
      <c r="BA597" s="20"/>
      <c r="BB597" s="20"/>
      <c r="BC597" s="20"/>
    </row>
    <row r="598" ht="13.5" customHeight="1" spans="1:55">
      <c r="A598" s="20"/>
      <c r="B598" s="20"/>
      <c r="C598" s="20"/>
      <c r="D598" s="20"/>
      <c r="E598" s="20"/>
      <c r="F598" s="20"/>
      <c r="G598" s="52"/>
      <c r="H598" s="20"/>
      <c r="I598" s="20"/>
      <c r="J598" s="20"/>
      <c r="K598" s="20"/>
      <c r="L598" s="20"/>
      <c r="M598" s="20"/>
      <c r="N598" s="20"/>
      <c r="O598" s="20"/>
      <c r="P598" s="20"/>
      <c r="Q598" s="20"/>
      <c r="R598" s="20"/>
      <c r="S598" s="20"/>
      <c r="T598" s="20"/>
      <c r="U598" s="20"/>
      <c r="V598" s="20"/>
      <c r="W598" s="20"/>
      <c r="X598" s="20"/>
      <c r="Y598" s="20"/>
      <c r="Z598" s="20"/>
      <c r="AA598" s="20"/>
      <c r="AB598" s="20"/>
      <c r="AC598" s="20"/>
      <c r="AD598" s="20"/>
      <c r="AE598" s="20"/>
      <c r="AF598" s="20"/>
      <c r="AG598" s="20"/>
      <c r="AH598" s="20"/>
      <c r="AI598" s="20"/>
      <c r="AJ598" s="20"/>
      <c r="AK598" s="20"/>
      <c r="AL598" s="20"/>
      <c r="AM598" s="20"/>
      <c r="AN598" s="20"/>
      <c r="AO598" s="20"/>
      <c r="AP598" s="20"/>
      <c r="AQ598" s="20"/>
      <c r="AR598" s="20"/>
      <c r="AS598" s="20"/>
      <c r="AT598" s="20"/>
      <c r="AU598" s="20"/>
      <c r="AV598" s="20"/>
      <c r="AW598" s="20"/>
      <c r="AX598" s="20"/>
      <c r="AY598" s="20"/>
      <c r="AZ598" s="20"/>
      <c r="BA598" s="20"/>
      <c r="BB598" s="20"/>
      <c r="BC598" s="20"/>
    </row>
    <row r="599" ht="13.5" customHeight="1" spans="1:55">
      <c r="A599" s="20"/>
      <c r="B599" s="20"/>
      <c r="C599" s="20"/>
      <c r="D599" s="20"/>
      <c r="E599" s="20"/>
      <c r="F599" s="20"/>
      <c r="G599" s="52"/>
      <c r="H599" s="20"/>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row>
    <row r="600" ht="13.5" customHeight="1" spans="1:55">
      <c r="A600" s="20"/>
      <c r="B600" s="20"/>
      <c r="C600" s="20"/>
      <c r="D600" s="20"/>
      <c r="E600" s="20"/>
      <c r="F600" s="20"/>
      <c r="G600" s="52"/>
      <c r="H600" s="20"/>
      <c r="I600" s="20"/>
      <c r="J600" s="20"/>
      <c r="K600" s="20"/>
      <c r="L600" s="20"/>
      <c r="M600" s="20"/>
      <c r="N600" s="20"/>
      <c r="O600" s="20"/>
      <c r="P600" s="20"/>
      <c r="Q600" s="20"/>
      <c r="R600" s="20"/>
      <c r="S600" s="20"/>
      <c r="T600" s="20"/>
      <c r="U600" s="20"/>
      <c r="V600" s="20"/>
      <c r="W600" s="20"/>
      <c r="X600" s="20"/>
      <c r="Y600" s="20"/>
      <c r="Z600" s="20"/>
      <c r="AA600" s="20"/>
      <c r="AB600" s="20"/>
      <c r="AC600" s="20"/>
      <c r="AD600" s="20"/>
      <c r="AE600" s="20"/>
      <c r="AF600" s="20"/>
      <c r="AG600" s="20"/>
      <c r="AH600" s="20"/>
      <c r="AI600" s="20"/>
      <c r="AJ600" s="20"/>
      <c r="AK600" s="20"/>
      <c r="AL600" s="20"/>
      <c r="AM600" s="20"/>
      <c r="AN600" s="20"/>
      <c r="AO600" s="20"/>
      <c r="AP600" s="20"/>
      <c r="AQ600" s="20"/>
      <c r="AR600" s="20"/>
      <c r="AS600" s="20"/>
      <c r="AT600" s="20"/>
      <c r="AU600" s="20"/>
      <c r="AV600" s="20"/>
      <c r="AW600" s="20"/>
      <c r="AX600" s="20"/>
      <c r="AY600" s="20"/>
      <c r="AZ600" s="20"/>
      <c r="BA600" s="20"/>
      <c r="BB600" s="20"/>
      <c r="BC600" s="20"/>
    </row>
    <row r="601" ht="13.5" customHeight="1" spans="1:55">
      <c r="A601" s="20"/>
      <c r="B601" s="20"/>
      <c r="C601" s="20"/>
      <c r="D601" s="20"/>
      <c r="E601" s="20"/>
      <c r="F601" s="20"/>
      <c r="G601" s="52"/>
      <c r="H601" s="20"/>
      <c r="I601" s="20"/>
      <c r="J601" s="20"/>
      <c r="K601" s="20"/>
      <c r="L601" s="20"/>
      <c r="M601" s="20"/>
      <c r="N601" s="20"/>
      <c r="O601" s="20"/>
      <c r="P601" s="20"/>
      <c r="Q601" s="20"/>
      <c r="R601" s="20"/>
      <c r="S601" s="20"/>
      <c r="T601" s="20"/>
      <c r="U601" s="20"/>
      <c r="V601" s="20"/>
      <c r="W601" s="20"/>
      <c r="X601" s="20"/>
      <c r="Y601" s="20"/>
      <c r="Z601" s="20"/>
      <c r="AA601" s="20"/>
      <c r="AB601" s="20"/>
      <c r="AC601" s="20"/>
      <c r="AD601" s="20"/>
      <c r="AE601" s="20"/>
      <c r="AF601" s="20"/>
      <c r="AG601" s="20"/>
      <c r="AH601" s="20"/>
      <c r="AI601" s="20"/>
      <c r="AJ601" s="20"/>
      <c r="AK601" s="20"/>
      <c r="AL601" s="20"/>
      <c r="AM601" s="20"/>
      <c r="AN601" s="20"/>
      <c r="AO601" s="20"/>
      <c r="AP601" s="20"/>
      <c r="AQ601" s="20"/>
      <c r="AR601" s="20"/>
      <c r="AS601" s="20"/>
      <c r="AT601" s="20"/>
      <c r="AU601" s="20"/>
      <c r="AV601" s="20"/>
      <c r="AW601" s="20"/>
      <c r="AX601" s="20"/>
      <c r="AY601" s="20"/>
      <c r="AZ601" s="20"/>
      <c r="BA601" s="20"/>
      <c r="BB601" s="20"/>
      <c r="BC601" s="20"/>
    </row>
    <row r="602" ht="13.5" customHeight="1" spans="1:55">
      <c r="A602" s="20"/>
      <c r="B602" s="20"/>
      <c r="C602" s="20"/>
      <c r="D602" s="20"/>
      <c r="E602" s="20"/>
      <c r="F602" s="20"/>
      <c r="G602" s="52"/>
      <c r="H602" s="20"/>
      <c r="I602" s="20"/>
      <c r="J602" s="20"/>
      <c r="K602" s="20"/>
      <c r="L602" s="20"/>
      <c r="M602" s="20"/>
      <c r="N602" s="20"/>
      <c r="O602" s="20"/>
      <c r="P602" s="20"/>
      <c r="Q602" s="20"/>
      <c r="R602" s="20"/>
      <c r="S602" s="20"/>
      <c r="T602" s="20"/>
      <c r="U602" s="20"/>
      <c r="V602" s="20"/>
      <c r="W602" s="20"/>
      <c r="X602" s="20"/>
      <c r="Y602" s="20"/>
      <c r="Z602" s="20"/>
      <c r="AA602" s="20"/>
      <c r="AB602" s="20"/>
      <c r="AC602" s="20"/>
      <c r="AD602" s="20"/>
      <c r="AE602" s="20"/>
      <c r="AF602" s="20"/>
      <c r="AG602" s="20"/>
      <c r="AH602" s="20"/>
      <c r="AI602" s="20"/>
      <c r="AJ602" s="20"/>
      <c r="AK602" s="20"/>
      <c r="AL602" s="20"/>
      <c r="AM602" s="20"/>
      <c r="AN602" s="20"/>
      <c r="AO602" s="20"/>
      <c r="AP602" s="20"/>
      <c r="AQ602" s="20"/>
      <c r="AR602" s="20"/>
      <c r="AS602" s="20"/>
      <c r="AT602" s="20"/>
      <c r="AU602" s="20"/>
      <c r="AV602" s="20"/>
      <c r="AW602" s="20"/>
      <c r="AX602" s="20"/>
      <c r="AY602" s="20"/>
      <c r="AZ602" s="20"/>
      <c r="BA602" s="20"/>
      <c r="BB602" s="20"/>
      <c r="BC602" s="20"/>
    </row>
    <row r="603" ht="13.5" customHeight="1" spans="1:55">
      <c r="A603" s="20"/>
      <c r="B603" s="20"/>
      <c r="C603" s="20"/>
      <c r="D603" s="20"/>
      <c r="E603" s="20"/>
      <c r="F603" s="20"/>
      <c r="G603" s="52"/>
      <c r="H603" s="20"/>
      <c r="I603" s="20"/>
      <c r="J603" s="20"/>
      <c r="K603" s="20"/>
      <c r="L603" s="20"/>
      <c r="M603" s="20"/>
      <c r="N603" s="20"/>
      <c r="O603" s="20"/>
      <c r="P603" s="20"/>
      <c r="Q603" s="20"/>
      <c r="R603" s="20"/>
      <c r="S603" s="20"/>
      <c r="T603" s="20"/>
      <c r="U603" s="20"/>
      <c r="V603" s="20"/>
      <c r="W603" s="20"/>
      <c r="X603" s="20"/>
      <c r="Y603" s="20"/>
      <c r="Z603" s="20"/>
      <c r="AA603" s="20"/>
      <c r="AB603" s="20"/>
      <c r="AC603" s="20"/>
      <c r="AD603" s="20"/>
      <c r="AE603" s="20"/>
      <c r="AF603" s="20"/>
      <c r="AG603" s="20"/>
      <c r="AH603" s="20"/>
      <c r="AI603" s="20"/>
      <c r="AJ603" s="20"/>
      <c r="AK603" s="20"/>
      <c r="AL603" s="20"/>
      <c r="AM603" s="20"/>
      <c r="AN603" s="20"/>
      <c r="AO603" s="20"/>
      <c r="AP603" s="20"/>
      <c r="AQ603" s="20"/>
      <c r="AR603" s="20"/>
      <c r="AS603" s="20"/>
      <c r="AT603" s="20"/>
      <c r="AU603" s="20"/>
      <c r="AV603" s="20"/>
      <c r="AW603" s="20"/>
      <c r="AX603" s="20"/>
      <c r="AY603" s="20"/>
      <c r="AZ603" s="20"/>
      <c r="BA603" s="20"/>
      <c r="BB603" s="20"/>
      <c r="BC603" s="20"/>
    </row>
    <row r="604" ht="13.5" customHeight="1" spans="1:55">
      <c r="A604" s="20"/>
      <c r="B604" s="20"/>
      <c r="C604" s="20"/>
      <c r="D604" s="20"/>
      <c r="E604" s="20"/>
      <c r="F604" s="20"/>
      <c r="G604" s="52"/>
      <c r="H604" s="20"/>
      <c r="I604" s="20"/>
      <c r="J604" s="20"/>
      <c r="K604" s="20"/>
      <c r="L604" s="20"/>
      <c r="M604" s="20"/>
      <c r="N604" s="20"/>
      <c r="O604" s="20"/>
      <c r="P604" s="20"/>
      <c r="Q604" s="20"/>
      <c r="R604" s="20"/>
      <c r="S604" s="20"/>
      <c r="T604" s="20"/>
      <c r="U604" s="20"/>
      <c r="V604" s="20"/>
      <c r="W604" s="20"/>
      <c r="X604" s="20"/>
      <c r="Y604" s="20"/>
      <c r="Z604" s="20"/>
      <c r="AA604" s="20"/>
      <c r="AB604" s="20"/>
      <c r="AC604" s="20"/>
      <c r="AD604" s="20"/>
      <c r="AE604" s="20"/>
      <c r="AF604" s="20"/>
      <c r="AG604" s="20"/>
      <c r="AH604" s="20"/>
      <c r="AI604" s="20"/>
      <c r="AJ604" s="20"/>
      <c r="AK604" s="20"/>
      <c r="AL604" s="20"/>
      <c r="AM604" s="20"/>
      <c r="AN604" s="20"/>
      <c r="AO604" s="20"/>
      <c r="AP604" s="20"/>
      <c r="AQ604" s="20"/>
      <c r="AR604" s="20"/>
      <c r="AS604" s="20"/>
      <c r="AT604" s="20"/>
      <c r="AU604" s="20"/>
      <c r="AV604" s="20"/>
      <c r="AW604" s="20"/>
      <c r="AX604" s="20"/>
      <c r="AY604" s="20"/>
      <c r="AZ604" s="20"/>
      <c r="BA604" s="20"/>
      <c r="BB604" s="20"/>
      <c r="BC604" s="20"/>
    </row>
    <row r="605" ht="13.5" customHeight="1" spans="1:55">
      <c r="A605" s="20"/>
      <c r="B605" s="20"/>
      <c r="C605" s="20"/>
      <c r="D605" s="20"/>
      <c r="E605" s="20"/>
      <c r="F605" s="20"/>
      <c r="G605" s="52"/>
      <c r="H605" s="20"/>
      <c r="I605" s="20"/>
      <c r="J605" s="20"/>
      <c r="K605" s="20"/>
      <c r="L605" s="20"/>
      <c r="M605" s="20"/>
      <c r="N605" s="20"/>
      <c r="O605" s="20"/>
      <c r="P605" s="20"/>
      <c r="Q605" s="20"/>
      <c r="R605" s="20"/>
      <c r="S605" s="20"/>
      <c r="T605" s="20"/>
      <c r="U605" s="20"/>
      <c r="V605" s="20"/>
      <c r="W605" s="20"/>
      <c r="X605" s="20"/>
      <c r="Y605" s="20"/>
      <c r="Z605" s="20"/>
      <c r="AA605" s="20"/>
      <c r="AB605" s="20"/>
      <c r="AC605" s="20"/>
      <c r="AD605" s="20"/>
      <c r="AE605" s="20"/>
      <c r="AF605" s="20"/>
      <c r="AG605" s="20"/>
      <c r="AH605" s="20"/>
      <c r="AI605" s="20"/>
      <c r="AJ605" s="20"/>
      <c r="AK605" s="20"/>
      <c r="AL605" s="20"/>
      <c r="AM605" s="20"/>
      <c r="AN605" s="20"/>
      <c r="AO605" s="20"/>
      <c r="AP605" s="20"/>
      <c r="AQ605" s="20"/>
      <c r="AR605" s="20"/>
      <c r="AS605" s="20"/>
      <c r="AT605" s="20"/>
      <c r="AU605" s="20"/>
      <c r="AV605" s="20"/>
      <c r="AW605" s="20"/>
      <c r="AX605" s="20"/>
      <c r="AY605" s="20"/>
      <c r="AZ605" s="20"/>
      <c r="BA605" s="20"/>
      <c r="BB605" s="20"/>
      <c r="BC605" s="20"/>
    </row>
    <row r="606" ht="13.5" customHeight="1" spans="1:55">
      <c r="A606" s="20"/>
      <c r="B606" s="20"/>
      <c r="C606" s="20"/>
      <c r="D606" s="20"/>
      <c r="E606" s="20"/>
      <c r="F606" s="20"/>
      <c r="G606" s="52"/>
      <c r="H606" s="20"/>
      <c r="I606" s="20"/>
      <c r="J606" s="20"/>
      <c r="K606" s="20"/>
      <c r="L606" s="20"/>
      <c r="M606" s="20"/>
      <c r="N606" s="20"/>
      <c r="O606" s="20"/>
      <c r="P606" s="20"/>
      <c r="Q606" s="20"/>
      <c r="R606" s="20"/>
      <c r="S606" s="20"/>
      <c r="T606" s="20"/>
      <c r="U606" s="20"/>
      <c r="V606" s="20"/>
      <c r="W606" s="20"/>
      <c r="X606" s="20"/>
      <c r="Y606" s="20"/>
      <c r="Z606" s="20"/>
      <c r="AA606" s="20"/>
      <c r="AB606" s="20"/>
      <c r="AC606" s="20"/>
      <c r="AD606" s="20"/>
      <c r="AE606" s="20"/>
      <c r="AF606" s="20"/>
      <c r="AG606" s="20"/>
      <c r="AH606" s="20"/>
      <c r="AI606" s="20"/>
      <c r="AJ606" s="20"/>
      <c r="AK606" s="20"/>
      <c r="AL606" s="20"/>
      <c r="AM606" s="20"/>
      <c r="AN606" s="20"/>
      <c r="AO606" s="20"/>
      <c r="AP606" s="20"/>
      <c r="AQ606" s="20"/>
      <c r="AR606" s="20"/>
      <c r="AS606" s="20"/>
      <c r="AT606" s="20"/>
      <c r="AU606" s="20"/>
      <c r="AV606" s="20"/>
      <c r="AW606" s="20"/>
      <c r="AX606" s="20"/>
      <c r="AY606" s="20"/>
      <c r="AZ606" s="20"/>
      <c r="BA606" s="20"/>
      <c r="BB606" s="20"/>
      <c r="BC606" s="20"/>
    </row>
    <row r="607" ht="13.5" customHeight="1" spans="1:55">
      <c r="A607" s="20"/>
      <c r="B607" s="20"/>
      <c r="C607" s="20"/>
      <c r="D607" s="20"/>
      <c r="E607" s="20"/>
      <c r="F607" s="20"/>
      <c r="G607" s="52"/>
      <c r="H607" s="20"/>
      <c r="I607" s="20"/>
      <c r="J607" s="20"/>
      <c r="K607" s="20"/>
      <c r="L607" s="20"/>
      <c r="M607" s="20"/>
      <c r="N607" s="20"/>
      <c r="O607" s="20"/>
      <c r="P607" s="20"/>
      <c r="Q607" s="20"/>
      <c r="R607" s="20"/>
      <c r="S607" s="20"/>
      <c r="T607" s="20"/>
      <c r="U607" s="20"/>
      <c r="V607" s="20"/>
      <c r="W607" s="20"/>
      <c r="X607" s="20"/>
      <c r="Y607" s="20"/>
      <c r="Z607" s="20"/>
      <c r="AA607" s="20"/>
      <c r="AB607" s="20"/>
      <c r="AC607" s="20"/>
      <c r="AD607" s="20"/>
      <c r="AE607" s="20"/>
      <c r="AF607" s="20"/>
      <c r="AG607" s="20"/>
      <c r="AH607" s="20"/>
      <c r="AI607" s="20"/>
      <c r="AJ607" s="20"/>
      <c r="AK607" s="20"/>
      <c r="AL607" s="20"/>
      <c r="AM607" s="20"/>
      <c r="AN607" s="20"/>
      <c r="AO607" s="20"/>
      <c r="AP607" s="20"/>
      <c r="AQ607" s="20"/>
      <c r="AR607" s="20"/>
      <c r="AS607" s="20"/>
      <c r="AT607" s="20"/>
      <c r="AU607" s="20"/>
      <c r="AV607" s="20"/>
      <c r="AW607" s="20"/>
      <c r="AX607" s="20"/>
      <c r="AY607" s="20"/>
      <c r="AZ607" s="20"/>
      <c r="BA607" s="20"/>
      <c r="BB607" s="20"/>
      <c r="BC607" s="20"/>
    </row>
    <row r="608" ht="13.5" customHeight="1" spans="1:55">
      <c r="A608" s="20"/>
      <c r="B608" s="20"/>
      <c r="C608" s="20"/>
      <c r="D608" s="20"/>
      <c r="E608" s="20"/>
      <c r="F608" s="20"/>
      <c r="G608" s="52"/>
      <c r="H608" s="20"/>
      <c r="I608" s="20"/>
      <c r="J608" s="20"/>
      <c r="K608" s="20"/>
      <c r="L608" s="20"/>
      <c r="M608" s="20"/>
      <c r="N608" s="20"/>
      <c r="O608" s="20"/>
      <c r="P608" s="20"/>
      <c r="Q608" s="20"/>
      <c r="R608" s="20"/>
      <c r="S608" s="20"/>
      <c r="T608" s="20"/>
      <c r="U608" s="20"/>
      <c r="V608" s="20"/>
      <c r="W608" s="20"/>
      <c r="X608" s="20"/>
      <c r="Y608" s="20"/>
      <c r="Z608" s="20"/>
      <c r="AA608" s="20"/>
      <c r="AB608" s="20"/>
      <c r="AC608" s="20"/>
      <c r="AD608" s="20"/>
      <c r="AE608" s="20"/>
      <c r="AF608" s="20"/>
      <c r="AG608" s="20"/>
      <c r="AH608" s="20"/>
      <c r="AI608" s="20"/>
      <c r="AJ608" s="20"/>
      <c r="AK608" s="20"/>
      <c r="AL608" s="20"/>
      <c r="AM608" s="20"/>
      <c r="AN608" s="20"/>
      <c r="AO608" s="20"/>
      <c r="AP608" s="20"/>
      <c r="AQ608" s="20"/>
      <c r="AR608" s="20"/>
      <c r="AS608" s="20"/>
      <c r="AT608" s="20"/>
      <c r="AU608" s="20"/>
      <c r="AV608" s="20"/>
      <c r="AW608" s="20"/>
      <c r="AX608" s="20"/>
      <c r="AY608" s="20"/>
      <c r="AZ608" s="20"/>
      <c r="BA608" s="20"/>
      <c r="BB608" s="20"/>
      <c r="BC608" s="20"/>
    </row>
    <row r="609" ht="13.5" customHeight="1" spans="1:55">
      <c r="A609" s="20"/>
      <c r="B609" s="20"/>
      <c r="C609" s="20"/>
      <c r="D609" s="20"/>
      <c r="E609" s="20"/>
      <c r="F609" s="20"/>
      <c r="G609" s="52"/>
      <c r="H609" s="20"/>
      <c r="I609" s="20"/>
      <c r="J609" s="20"/>
      <c r="K609" s="20"/>
      <c r="L609" s="20"/>
      <c r="M609" s="20"/>
      <c r="N609" s="20"/>
      <c r="O609" s="20"/>
      <c r="P609" s="20"/>
      <c r="Q609" s="20"/>
      <c r="R609" s="20"/>
      <c r="S609" s="20"/>
      <c r="T609" s="20"/>
      <c r="U609" s="20"/>
      <c r="V609" s="20"/>
      <c r="W609" s="20"/>
      <c r="X609" s="20"/>
      <c r="Y609" s="20"/>
      <c r="Z609" s="20"/>
      <c r="AA609" s="20"/>
      <c r="AB609" s="20"/>
      <c r="AC609" s="20"/>
      <c r="AD609" s="20"/>
      <c r="AE609" s="20"/>
      <c r="AF609" s="20"/>
      <c r="AG609" s="20"/>
      <c r="AH609" s="20"/>
      <c r="AI609" s="20"/>
      <c r="AJ609" s="20"/>
      <c r="AK609" s="20"/>
      <c r="AL609" s="20"/>
      <c r="AM609" s="20"/>
      <c r="AN609" s="20"/>
      <c r="AO609" s="20"/>
      <c r="AP609" s="20"/>
      <c r="AQ609" s="20"/>
      <c r="AR609" s="20"/>
      <c r="AS609" s="20"/>
      <c r="AT609" s="20"/>
      <c r="AU609" s="20"/>
      <c r="AV609" s="20"/>
      <c r="AW609" s="20"/>
      <c r="AX609" s="20"/>
      <c r="AY609" s="20"/>
      <c r="AZ609" s="20"/>
      <c r="BA609" s="20"/>
      <c r="BB609" s="20"/>
      <c r="BC609" s="20"/>
    </row>
    <row r="610" ht="13.5" customHeight="1" spans="1:55">
      <c r="A610" s="20"/>
      <c r="B610" s="20"/>
      <c r="C610" s="20"/>
      <c r="D610" s="20"/>
      <c r="E610" s="20"/>
      <c r="F610" s="20"/>
      <c r="G610" s="52"/>
      <c r="H610" s="20"/>
      <c r="I610" s="20"/>
      <c r="J610" s="20"/>
      <c r="K610" s="20"/>
      <c r="L610" s="20"/>
      <c r="M610" s="20"/>
      <c r="N610" s="20"/>
      <c r="O610" s="20"/>
      <c r="P610" s="20"/>
      <c r="Q610" s="20"/>
      <c r="R610" s="20"/>
      <c r="S610" s="20"/>
      <c r="T610" s="20"/>
      <c r="U610" s="20"/>
      <c r="V610" s="20"/>
      <c r="W610" s="20"/>
      <c r="X610" s="20"/>
      <c r="Y610" s="20"/>
      <c r="Z610" s="20"/>
      <c r="AA610" s="20"/>
      <c r="AB610" s="20"/>
      <c r="AC610" s="20"/>
      <c r="AD610" s="20"/>
      <c r="AE610" s="20"/>
      <c r="AF610" s="20"/>
      <c r="AG610" s="20"/>
      <c r="AH610" s="20"/>
      <c r="AI610" s="20"/>
      <c r="AJ610" s="20"/>
      <c r="AK610" s="20"/>
      <c r="AL610" s="20"/>
      <c r="AM610" s="20"/>
      <c r="AN610" s="20"/>
      <c r="AO610" s="20"/>
      <c r="AP610" s="20"/>
      <c r="AQ610" s="20"/>
      <c r="AR610" s="20"/>
      <c r="AS610" s="20"/>
      <c r="AT610" s="20"/>
      <c r="AU610" s="20"/>
      <c r="AV610" s="20"/>
      <c r="AW610" s="20"/>
      <c r="AX610" s="20"/>
      <c r="AY610" s="20"/>
      <c r="AZ610" s="20"/>
      <c r="BA610" s="20"/>
      <c r="BB610" s="20"/>
      <c r="BC610" s="20"/>
    </row>
    <row r="611" ht="13.5" customHeight="1" spans="1:55">
      <c r="A611" s="20"/>
      <c r="B611" s="20"/>
      <c r="C611" s="20"/>
      <c r="D611" s="20"/>
      <c r="E611" s="20"/>
      <c r="F611" s="20"/>
      <c r="G611" s="52"/>
      <c r="H611" s="20"/>
      <c r="I611" s="20"/>
      <c r="J611" s="20"/>
      <c r="K611" s="20"/>
      <c r="L611" s="20"/>
      <c r="M611" s="20"/>
      <c r="N611" s="20"/>
      <c r="O611" s="20"/>
      <c r="P611" s="20"/>
      <c r="Q611" s="20"/>
      <c r="R611" s="20"/>
      <c r="S611" s="20"/>
      <c r="T611" s="20"/>
      <c r="U611" s="20"/>
      <c r="V611" s="20"/>
      <c r="W611" s="20"/>
      <c r="X611" s="20"/>
      <c r="Y611" s="20"/>
      <c r="Z611" s="20"/>
      <c r="AA611" s="20"/>
      <c r="AB611" s="20"/>
      <c r="AC611" s="20"/>
      <c r="AD611" s="20"/>
      <c r="AE611" s="20"/>
      <c r="AF611" s="20"/>
      <c r="AG611" s="20"/>
      <c r="AH611" s="20"/>
      <c r="AI611" s="20"/>
      <c r="AJ611" s="20"/>
      <c r="AK611" s="20"/>
      <c r="AL611" s="20"/>
      <c r="AM611" s="20"/>
      <c r="AN611" s="20"/>
      <c r="AO611" s="20"/>
      <c r="AP611" s="20"/>
      <c r="AQ611" s="20"/>
      <c r="AR611" s="20"/>
      <c r="AS611" s="20"/>
      <c r="AT611" s="20"/>
      <c r="AU611" s="20"/>
      <c r="AV611" s="20"/>
      <c r="AW611" s="20"/>
      <c r="AX611" s="20"/>
      <c r="AY611" s="20"/>
      <c r="AZ611" s="20"/>
      <c r="BA611" s="20"/>
      <c r="BB611" s="20"/>
      <c r="BC611" s="20"/>
    </row>
    <row r="612" ht="13.5" customHeight="1" spans="1:55">
      <c r="A612" s="20"/>
      <c r="B612" s="20"/>
      <c r="C612" s="20"/>
      <c r="D612" s="20"/>
      <c r="E612" s="20"/>
      <c r="F612" s="20"/>
      <c r="G612" s="52"/>
      <c r="H612" s="20"/>
      <c r="I612" s="20"/>
      <c r="J612" s="20"/>
      <c r="K612" s="20"/>
      <c r="L612" s="20"/>
      <c r="M612" s="20"/>
      <c r="N612" s="20"/>
      <c r="O612" s="20"/>
      <c r="P612" s="20"/>
      <c r="Q612" s="20"/>
      <c r="R612" s="20"/>
      <c r="S612" s="20"/>
      <c r="T612" s="20"/>
      <c r="U612" s="20"/>
      <c r="V612" s="20"/>
      <c r="W612" s="20"/>
      <c r="X612" s="20"/>
      <c r="Y612" s="20"/>
      <c r="Z612" s="20"/>
      <c r="AA612" s="20"/>
      <c r="AB612" s="20"/>
      <c r="AC612" s="20"/>
      <c r="AD612" s="20"/>
      <c r="AE612" s="20"/>
      <c r="AF612" s="20"/>
      <c r="AG612" s="20"/>
      <c r="AH612" s="20"/>
      <c r="AI612" s="20"/>
      <c r="AJ612" s="20"/>
      <c r="AK612" s="20"/>
      <c r="AL612" s="20"/>
      <c r="AM612" s="20"/>
      <c r="AN612" s="20"/>
      <c r="AO612" s="20"/>
      <c r="AP612" s="20"/>
      <c r="AQ612" s="20"/>
      <c r="AR612" s="20"/>
      <c r="AS612" s="20"/>
      <c r="AT612" s="20"/>
      <c r="AU612" s="20"/>
      <c r="AV612" s="20"/>
      <c r="AW612" s="20"/>
      <c r="AX612" s="20"/>
      <c r="AY612" s="20"/>
      <c r="AZ612" s="20"/>
      <c r="BA612" s="20"/>
      <c r="BB612" s="20"/>
      <c r="BC612" s="20"/>
    </row>
    <row r="613" ht="13.5" customHeight="1" spans="1:55">
      <c r="A613" s="20"/>
      <c r="B613" s="20"/>
      <c r="C613" s="20"/>
      <c r="D613" s="20"/>
      <c r="E613" s="20"/>
      <c r="F613" s="20"/>
      <c r="G613" s="52"/>
      <c r="H613" s="20"/>
      <c r="I613" s="20"/>
      <c r="J613" s="20"/>
      <c r="K613" s="20"/>
      <c r="L613" s="20"/>
      <c r="M613" s="20"/>
      <c r="N613" s="20"/>
      <c r="O613" s="20"/>
      <c r="P613" s="20"/>
      <c r="Q613" s="20"/>
      <c r="R613" s="20"/>
      <c r="S613" s="20"/>
      <c r="T613" s="20"/>
      <c r="U613" s="20"/>
      <c r="V613" s="20"/>
      <c r="W613" s="20"/>
      <c r="X613" s="20"/>
      <c r="Y613" s="20"/>
      <c r="Z613" s="20"/>
      <c r="AA613" s="20"/>
      <c r="AB613" s="20"/>
      <c r="AC613" s="20"/>
      <c r="AD613" s="20"/>
      <c r="AE613" s="20"/>
      <c r="AF613" s="20"/>
      <c r="AG613" s="20"/>
      <c r="AH613" s="20"/>
      <c r="AI613" s="20"/>
      <c r="AJ613" s="20"/>
      <c r="AK613" s="20"/>
      <c r="AL613" s="20"/>
      <c r="AM613" s="20"/>
      <c r="AN613" s="20"/>
      <c r="AO613" s="20"/>
      <c r="AP613" s="20"/>
      <c r="AQ613" s="20"/>
      <c r="AR613" s="20"/>
      <c r="AS613" s="20"/>
      <c r="AT613" s="20"/>
      <c r="AU613" s="20"/>
      <c r="AV613" s="20"/>
      <c r="AW613" s="20"/>
      <c r="AX613" s="20"/>
      <c r="AY613" s="20"/>
      <c r="AZ613" s="20"/>
      <c r="BA613" s="20"/>
      <c r="BB613" s="20"/>
      <c r="BC613" s="20"/>
    </row>
    <row r="614" ht="13.5" customHeight="1" spans="1:55">
      <c r="A614" s="20"/>
      <c r="B614" s="20"/>
      <c r="C614" s="20"/>
      <c r="D614" s="20"/>
      <c r="E614" s="20"/>
      <c r="F614" s="20"/>
      <c r="G614" s="52"/>
      <c r="H614" s="20"/>
      <c r="I614" s="20"/>
      <c r="J614" s="20"/>
      <c r="K614" s="20"/>
      <c r="L614" s="20"/>
      <c r="M614" s="20"/>
      <c r="N614" s="20"/>
      <c r="O614" s="20"/>
      <c r="P614" s="20"/>
      <c r="Q614" s="20"/>
      <c r="R614" s="20"/>
      <c r="S614" s="20"/>
      <c r="T614" s="20"/>
      <c r="U614" s="20"/>
      <c r="V614" s="20"/>
      <c r="W614" s="20"/>
      <c r="X614" s="20"/>
      <c r="Y614" s="20"/>
      <c r="Z614" s="20"/>
      <c r="AA614" s="20"/>
      <c r="AB614" s="20"/>
      <c r="AC614" s="20"/>
      <c r="AD614" s="20"/>
      <c r="AE614" s="20"/>
      <c r="AF614" s="20"/>
      <c r="AG614" s="20"/>
      <c r="AH614" s="20"/>
      <c r="AI614" s="20"/>
      <c r="AJ614" s="20"/>
      <c r="AK614" s="20"/>
      <c r="AL614" s="20"/>
      <c r="AM614" s="20"/>
      <c r="AN614" s="20"/>
      <c r="AO614" s="20"/>
      <c r="AP614" s="20"/>
      <c r="AQ614" s="20"/>
      <c r="AR614" s="20"/>
      <c r="AS614" s="20"/>
      <c r="AT614" s="20"/>
      <c r="AU614" s="20"/>
      <c r="AV614" s="20"/>
      <c r="AW614" s="20"/>
      <c r="AX614" s="20"/>
      <c r="AY614" s="20"/>
      <c r="AZ614" s="20"/>
      <c r="BA614" s="20"/>
      <c r="BB614" s="20"/>
      <c r="BC614" s="20"/>
    </row>
    <row r="615" ht="13.5" customHeight="1" spans="1:55">
      <c r="A615" s="20"/>
      <c r="B615" s="20"/>
      <c r="C615" s="20"/>
      <c r="D615" s="20"/>
      <c r="E615" s="20"/>
      <c r="F615" s="20"/>
      <c r="G615" s="52"/>
      <c r="H615" s="20"/>
      <c r="I615" s="20"/>
      <c r="J615" s="20"/>
      <c r="K615" s="20"/>
      <c r="L615" s="20"/>
      <c r="M615" s="20"/>
      <c r="N615" s="20"/>
      <c r="O615" s="20"/>
      <c r="P615" s="20"/>
      <c r="Q615" s="20"/>
      <c r="R615" s="20"/>
      <c r="S615" s="20"/>
      <c r="T615" s="20"/>
      <c r="U615" s="20"/>
      <c r="V615" s="20"/>
      <c r="W615" s="20"/>
      <c r="X615" s="20"/>
      <c r="Y615" s="20"/>
      <c r="Z615" s="20"/>
      <c r="AA615" s="20"/>
      <c r="AB615" s="20"/>
      <c r="AC615" s="20"/>
      <c r="AD615" s="20"/>
      <c r="AE615" s="20"/>
      <c r="AF615" s="20"/>
      <c r="AG615" s="20"/>
      <c r="AH615" s="20"/>
      <c r="AI615" s="20"/>
      <c r="AJ615" s="20"/>
      <c r="AK615" s="20"/>
      <c r="AL615" s="20"/>
      <c r="AM615" s="20"/>
      <c r="AN615" s="20"/>
      <c r="AO615" s="20"/>
      <c r="AP615" s="20"/>
      <c r="AQ615" s="20"/>
      <c r="AR615" s="20"/>
      <c r="AS615" s="20"/>
      <c r="AT615" s="20"/>
      <c r="AU615" s="20"/>
      <c r="AV615" s="20"/>
      <c r="AW615" s="20"/>
      <c r="AX615" s="20"/>
      <c r="AY615" s="20"/>
      <c r="AZ615" s="20"/>
      <c r="BA615" s="20"/>
      <c r="BB615" s="20"/>
      <c r="BC615" s="20"/>
    </row>
    <row r="616" ht="13.5" customHeight="1" spans="1:55">
      <c r="A616" s="20"/>
      <c r="B616" s="20"/>
      <c r="C616" s="20"/>
      <c r="D616" s="20"/>
      <c r="E616" s="20"/>
      <c r="F616" s="20"/>
      <c r="G616" s="52"/>
      <c r="H616" s="20"/>
      <c r="I616" s="20"/>
      <c r="J616" s="20"/>
      <c r="K616" s="20"/>
      <c r="L616" s="20"/>
      <c r="M616" s="20"/>
      <c r="N616" s="20"/>
      <c r="O616" s="20"/>
      <c r="P616" s="20"/>
      <c r="Q616" s="20"/>
      <c r="R616" s="20"/>
      <c r="S616" s="20"/>
      <c r="T616" s="20"/>
      <c r="U616" s="20"/>
      <c r="V616" s="20"/>
      <c r="W616" s="20"/>
      <c r="X616" s="20"/>
      <c r="Y616" s="20"/>
      <c r="Z616" s="20"/>
      <c r="AA616" s="20"/>
      <c r="AB616" s="20"/>
      <c r="AC616" s="20"/>
      <c r="AD616" s="20"/>
      <c r="AE616" s="20"/>
      <c r="AF616" s="20"/>
      <c r="AG616" s="20"/>
      <c r="AH616" s="20"/>
      <c r="AI616" s="20"/>
      <c r="AJ616" s="20"/>
      <c r="AK616" s="20"/>
      <c r="AL616" s="20"/>
      <c r="AM616" s="20"/>
      <c r="AN616" s="20"/>
      <c r="AO616" s="20"/>
      <c r="AP616" s="20"/>
      <c r="AQ616" s="20"/>
      <c r="AR616" s="20"/>
      <c r="AS616" s="20"/>
      <c r="AT616" s="20"/>
      <c r="AU616" s="20"/>
      <c r="AV616" s="20"/>
      <c r="AW616" s="20"/>
      <c r="AX616" s="20"/>
      <c r="AY616" s="20"/>
      <c r="AZ616" s="20"/>
      <c r="BA616" s="20"/>
      <c r="BB616" s="20"/>
      <c r="BC616" s="20"/>
    </row>
    <row r="617" ht="13.5" customHeight="1" spans="1:55">
      <c r="A617" s="20"/>
      <c r="B617" s="20"/>
      <c r="C617" s="20"/>
      <c r="D617" s="20"/>
      <c r="E617" s="20"/>
      <c r="F617" s="20"/>
      <c r="G617" s="52"/>
      <c r="H617" s="20"/>
      <c r="I617" s="20"/>
      <c r="J617" s="20"/>
      <c r="K617" s="20"/>
      <c r="L617" s="20"/>
      <c r="M617" s="20"/>
      <c r="N617" s="20"/>
      <c r="O617" s="20"/>
      <c r="P617" s="20"/>
      <c r="Q617" s="20"/>
      <c r="R617" s="20"/>
      <c r="S617" s="20"/>
      <c r="T617" s="20"/>
      <c r="U617" s="20"/>
      <c r="V617" s="20"/>
      <c r="W617" s="20"/>
      <c r="X617" s="20"/>
      <c r="Y617" s="20"/>
      <c r="Z617" s="20"/>
      <c r="AA617" s="20"/>
      <c r="AB617" s="20"/>
      <c r="AC617" s="20"/>
      <c r="AD617" s="20"/>
      <c r="AE617" s="20"/>
      <c r="AF617" s="20"/>
      <c r="AG617" s="20"/>
      <c r="AH617" s="20"/>
      <c r="AI617" s="20"/>
      <c r="AJ617" s="20"/>
      <c r="AK617" s="20"/>
      <c r="AL617" s="20"/>
      <c r="AM617" s="20"/>
      <c r="AN617" s="20"/>
      <c r="AO617" s="20"/>
      <c r="AP617" s="20"/>
      <c r="AQ617" s="20"/>
      <c r="AR617" s="20"/>
      <c r="AS617" s="20"/>
      <c r="AT617" s="20"/>
      <c r="AU617" s="20"/>
      <c r="AV617" s="20"/>
      <c r="AW617" s="20"/>
      <c r="AX617" s="20"/>
      <c r="AY617" s="20"/>
      <c r="AZ617" s="20"/>
      <c r="BA617" s="20"/>
      <c r="BB617" s="20"/>
      <c r="BC617" s="20"/>
    </row>
    <row r="618" ht="13.5" customHeight="1" spans="1:55">
      <c r="A618" s="20"/>
      <c r="B618" s="20"/>
      <c r="C618" s="20"/>
      <c r="D618" s="20"/>
      <c r="E618" s="20"/>
      <c r="F618" s="20"/>
      <c r="G618" s="52"/>
      <c r="H618" s="20"/>
      <c r="I618" s="20"/>
      <c r="J618" s="20"/>
      <c r="K618" s="20"/>
      <c r="L618" s="20"/>
      <c r="M618" s="20"/>
      <c r="N618" s="20"/>
      <c r="O618" s="20"/>
      <c r="P618" s="20"/>
      <c r="Q618" s="20"/>
      <c r="R618" s="20"/>
      <c r="S618" s="20"/>
      <c r="T618" s="20"/>
      <c r="U618" s="20"/>
      <c r="V618" s="20"/>
      <c r="W618" s="20"/>
      <c r="X618" s="20"/>
      <c r="Y618" s="20"/>
      <c r="Z618" s="20"/>
      <c r="AA618" s="20"/>
      <c r="AB618" s="20"/>
      <c r="AC618" s="20"/>
      <c r="AD618" s="20"/>
      <c r="AE618" s="20"/>
      <c r="AF618" s="20"/>
      <c r="AG618" s="20"/>
      <c r="AH618" s="20"/>
      <c r="AI618" s="20"/>
      <c r="AJ618" s="20"/>
      <c r="AK618" s="20"/>
      <c r="AL618" s="20"/>
      <c r="AM618" s="20"/>
      <c r="AN618" s="20"/>
      <c r="AO618" s="20"/>
      <c r="AP618" s="20"/>
      <c r="AQ618" s="20"/>
      <c r="AR618" s="20"/>
      <c r="AS618" s="20"/>
      <c r="AT618" s="20"/>
      <c r="AU618" s="20"/>
      <c r="AV618" s="20"/>
      <c r="AW618" s="20"/>
      <c r="AX618" s="20"/>
      <c r="AY618" s="20"/>
      <c r="AZ618" s="20"/>
      <c r="BA618" s="20"/>
      <c r="BB618" s="20"/>
      <c r="BC618" s="20"/>
    </row>
    <row r="619" ht="13.5" customHeight="1" spans="1:55">
      <c r="A619" s="20"/>
      <c r="B619" s="20"/>
      <c r="C619" s="20"/>
      <c r="D619" s="20"/>
      <c r="E619" s="20"/>
      <c r="F619" s="20"/>
      <c r="G619" s="52"/>
      <c r="H619" s="20"/>
      <c r="I619" s="20"/>
      <c r="J619" s="20"/>
      <c r="K619" s="20"/>
      <c r="L619" s="20"/>
      <c r="M619" s="20"/>
      <c r="N619" s="20"/>
      <c r="O619" s="20"/>
      <c r="P619" s="20"/>
      <c r="Q619" s="20"/>
      <c r="R619" s="20"/>
      <c r="S619" s="20"/>
      <c r="T619" s="20"/>
      <c r="U619" s="20"/>
      <c r="V619" s="20"/>
      <c r="W619" s="20"/>
      <c r="X619" s="20"/>
      <c r="Y619" s="20"/>
      <c r="Z619" s="20"/>
      <c r="AA619" s="20"/>
      <c r="AB619" s="20"/>
      <c r="AC619" s="20"/>
      <c r="AD619" s="20"/>
      <c r="AE619" s="20"/>
      <c r="AF619" s="20"/>
      <c r="AG619" s="20"/>
      <c r="AH619" s="20"/>
      <c r="AI619" s="20"/>
      <c r="AJ619" s="20"/>
      <c r="AK619" s="20"/>
      <c r="AL619" s="20"/>
      <c r="AM619" s="20"/>
      <c r="AN619" s="20"/>
      <c r="AO619" s="20"/>
      <c r="AP619" s="20"/>
      <c r="AQ619" s="20"/>
      <c r="AR619" s="20"/>
      <c r="AS619" s="20"/>
      <c r="AT619" s="20"/>
      <c r="AU619" s="20"/>
      <c r="AV619" s="20"/>
      <c r="AW619" s="20"/>
      <c r="AX619" s="20"/>
      <c r="AY619" s="20"/>
      <c r="AZ619" s="20"/>
      <c r="BA619" s="20"/>
      <c r="BB619" s="20"/>
      <c r="BC619" s="20"/>
    </row>
    <row r="620" ht="13.5" customHeight="1" spans="1:55">
      <c r="A620" s="20"/>
      <c r="B620" s="20"/>
      <c r="C620" s="20"/>
      <c r="D620" s="20"/>
      <c r="E620" s="20"/>
      <c r="F620" s="20"/>
      <c r="G620" s="52"/>
      <c r="H620" s="20"/>
      <c r="I620" s="20"/>
      <c r="J620" s="20"/>
      <c r="K620" s="20"/>
      <c r="L620" s="20"/>
      <c r="M620" s="20"/>
      <c r="N620" s="20"/>
      <c r="O620" s="20"/>
      <c r="P620" s="20"/>
      <c r="Q620" s="20"/>
      <c r="R620" s="20"/>
      <c r="S620" s="20"/>
      <c r="T620" s="20"/>
      <c r="U620" s="20"/>
      <c r="V620" s="20"/>
      <c r="W620" s="20"/>
      <c r="X620" s="20"/>
      <c r="Y620" s="20"/>
      <c r="Z620" s="20"/>
      <c r="AA620" s="20"/>
      <c r="AB620" s="20"/>
      <c r="AC620" s="20"/>
      <c r="AD620" s="20"/>
      <c r="AE620" s="20"/>
      <c r="AF620" s="20"/>
      <c r="AG620" s="20"/>
      <c r="AH620" s="20"/>
      <c r="AI620" s="20"/>
      <c r="AJ620" s="20"/>
      <c r="AK620" s="20"/>
      <c r="AL620" s="20"/>
      <c r="AM620" s="20"/>
      <c r="AN620" s="20"/>
      <c r="AO620" s="20"/>
      <c r="AP620" s="20"/>
      <c r="AQ620" s="20"/>
      <c r="AR620" s="20"/>
      <c r="AS620" s="20"/>
      <c r="AT620" s="20"/>
      <c r="AU620" s="20"/>
      <c r="AV620" s="20"/>
      <c r="AW620" s="20"/>
      <c r="AX620" s="20"/>
      <c r="AY620" s="20"/>
      <c r="AZ620" s="20"/>
      <c r="BA620" s="20"/>
      <c r="BB620" s="20"/>
      <c r="BC620" s="20"/>
    </row>
    <row r="621" ht="13.5" customHeight="1" spans="1:55">
      <c r="A621" s="20"/>
      <c r="B621" s="20"/>
      <c r="C621" s="20"/>
      <c r="D621" s="20"/>
      <c r="E621" s="20"/>
      <c r="F621" s="20"/>
      <c r="G621" s="52"/>
      <c r="H621" s="20"/>
      <c r="I621" s="20"/>
      <c r="J621" s="20"/>
      <c r="K621" s="20"/>
      <c r="L621" s="20"/>
      <c r="M621" s="20"/>
      <c r="N621" s="20"/>
      <c r="O621" s="20"/>
      <c r="P621" s="20"/>
      <c r="Q621" s="20"/>
      <c r="R621" s="20"/>
      <c r="S621" s="20"/>
      <c r="T621" s="20"/>
      <c r="U621" s="20"/>
      <c r="V621" s="20"/>
      <c r="W621" s="20"/>
      <c r="X621" s="20"/>
      <c r="Y621" s="20"/>
      <c r="Z621" s="20"/>
      <c r="AA621" s="20"/>
      <c r="AB621" s="20"/>
      <c r="AC621" s="20"/>
      <c r="AD621" s="20"/>
      <c r="AE621" s="20"/>
      <c r="AF621" s="20"/>
      <c r="AG621" s="20"/>
      <c r="AH621" s="20"/>
      <c r="AI621" s="20"/>
      <c r="AJ621" s="20"/>
      <c r="AK621" s="20"/>
      <c r="AL621" s="20"/>
      <c r="AM621" s="20"/>
      <c r="AN621" s="20"/>
      <c r="AO621" s="20"/>
      <c r="AP621" s="20"/>
      <c r="AQ621" s="20"/>
      <c r="AR621" s="20"/>
      <c r="AS621" s="20"/>
      <c r="AT621" s="20"/>
      <c r="AU621" s="20"/>
      <c r="AV621" s="20"/>
      <c r="AW621" s="20"/>
      <c r="AX621" s="20"/>
      <c r="AY621" s="20"/>
      <c r="AZ621" s="20"/>
      <c r="BA621" s="20"/>
      <c r="BB621" s="20"/>
      <c r="BC621" s="20"/>
    </row>
    <row r="622" ht="13.5" customHeight="1" spans="1:55">
      <c r="A622" s="20"/>
      <c r="B622" s="20"/>
      <c r="C622" s="20"/>
      <c r="D622" s="20"/>
      <c r="E622" s="20"/>
      <c r="F622" s="20"/>
      <c r="G622" s="52"/>
      <c r="H622" s="20"/>
      <c r="I622" s="20"/>
      <c r="J622" s="20"/>
      <c r="K622" s="20"/>
      <c r="L622" s="20"/>
      <c r="M622" s="20"/>
      <c r="N622" s="20"/>
      <c r="O622" s="20"/>
      <c r="P622" s="20"/>
      <c r="Q622" s="20"/>
      <c r="R622" s="20"/>
      <c r="S622" s="20"/>
      <c r="T622" s="20"/>
      <c r="U622" s="20"/>
      <c r="V622" s="20"/>
      <c r="W622" s="20"/>
      <c r="X622" s="20"/>
      <c r="Y622" s="20"/>
      <c r="Z622" s="20"/>
      <c r="AA622" s="20"/>
      <c r="AB622" s="20"/>
      <c r="AC622" s="20"/>
      <c r="AD622" s="20"/>
      <c r="AE622" s="20"/>
      <c r="AF622" s="20"/>
      <c r="AG622" s="20"/>
      <c r="AH622" s="20"/>
      <c r="AI622" s="20"/>
      <c r="AJ622" s="20"/>
      <c r="AK622" s="20"/>
      <c r="AL622" s="20"/>
      <c r="AM622" s="20"/>
      <c r="AN622" s="20"/>
      <c r="AO622" s="20"/>
      <c r="AP622" s="20"/>
      <c r="AQ622" s="20"/>
      <c r="AR622" s="20"/>
      <c r="AS622" s="20"/>
      <c r="AT622" s="20"/>
      <c r="AU622" s="20"/>
      <c r="AV622" s="20"/>
      <c r="AW622" s="20"/>
      <c r="AX622" s="20"/>
      <c r="AY622" s="20"/>
      <c r="AZ622" s="20"/>
      <c r="BA622" s="20"/>
      <c r="BB622" s="20"/>
      <c r="BC622" s="20"/>
    </row>
    <row r="623" ht="13.5" customHeight="1" spans="1:55">
      <c r="A623" s="20"/>
      <c r="B623" s="20"/>
      <c r="C623" s="20"/>
      <c r="D623" s="20"/>
      <c r="E623" s="20"/>
      <c r="F623" s="20"/>
      <c r="G623" s="52"/>
      <c r="H623" s="20"/>
      <c r="I623" s="20"/>
      <c r="J623" s="20"/>
      <c r="K623" s="20"/>
      <c r="L623" s="20"/>
      <c r="M623" s="20"/>
      <c r="N623" s="20"/>
      <c r="O623" s="20"/>
      <c r="P623" s="20"/>
      <c r="Q623" s="20"/>
      <c r="R623" s="20"/>
      <c r="S623" s="20"/>
      <c r="T623" s="20"/>
      <c r="U623" s="20"/>
      <c r="V623" s="20"/>
      <c r="W623" s="20"/>
      <c r="X623" s="20"/>
      <c r="Y623" s="20"/>
      <c r="Z623" s="20"/>
      <c r="AA623" s="20"/>
      <c r="AB623" s="20"/>
      <c r="AC623" s="20"/>
      <c r="AD623" s="20"/>
      <c r="AE623" s="20"/>
      <c r="AF623" s="20"/>
      <c r="AG623" s="20"/>
      <c r="AH623" s="20"/>
      <c r="AI623" s="20"/>
      <c r="AJ623" s="20"/>
      <c r="AK623" s="20"/>
      <c r="AL623" s="20"/>
      <c r="AM623" s="20"/>
      <c r="AN623" s="20"/>
      <c r="AO623" s="20"/>
      <c r="AP623" s="20"/>
      <c r="AQ623" s="20"/>
      <c r="AR623" s="20"/>
      <c r="AS623" s="20"/>
      <c r="AT623" s="20"/>
      <c r="AU623" s="20"/>
      <c r="AV623" s="20"/>
      <c r="AW623" s="20"/>
      <c r="AX623" s="20"/>
      <c r="AY623" s="20"/>
      <c r="AZ623" s="20"/>
      <c r="BA623" s="20"/>
      <c r="BB623" s="20"/>
      <c r="BC623" s="20"/>
    </row>
    <row r="624" ht="13.5" customHeight="1" spans="1:55">
      <c r="A624" s="20"/>
      <c r="B624" s="20"/>
      <c r="C624" s="20"/>
      <c r="D624" s="20"/>
      <c r="E624" s="20"/>
      <c r="F624" s="20"/>
      <c r="G624" s="52"/>
      <c r="H624" s="20"/>
      <c r="I624" s="20"/>
      <c r="J624" s="20"/>
      <c r="K624" s="20"/>
      <c r="L624" s="20"/>
      <c r="M624" s="20"/>
      <c r="N624" s="20"/>
      <c r="O624" s="20"/>
      <c r="P624" s="20"/>
      <c r="Q624" s="20"/>
      <c r="R624" s="20"/>
      <c r="S624" s="20"/>
      <c r="T624" s="20"/>
      <c r="U624" s="20"/>
      <c r="V624" s="20"/>
      <c r="W624" s="20"/>
      <c r="X624" s="20"/>
      <c r="Y624" s="20"/>
      <c r="Z624" s="20"/>
      <c r="AA624" s="20"/>
      <c r="AB624" s="20"/>
      <c r="AC624" s="20"/>
      <c r="AD624" s="20"/>
      <c r="AE624" s="20"/>
      <c r="AF624" s="20"/>
      <c r="AG624" s="20"/>
      <c r="AH624" s="20"/>
      <c r="AI624" s="20"/>
      <c r="AJ624" s="20"/>
      <c r="AK624" s="20"/>
      <c r="AL624" s="20"/>
      <c r="AM624" s="20"/>
      <c r="AN624" s="20"/>
      <c r="AO624" s="20"/>
      <c r="AP624" s="20"/>
      <c r="AQ624" s="20"/>
      <c r="AR624" s="20"/>
      <c r="AS624" s="20"/>
      <c r="AT624" s="20"/>
      <c r="AU624" s="20"/>
      <c r="AV624" s="20"/>
      <c r="AW624" s="20"/>
      <c r="AX624" s="20"/>
      <c r="AY624" s="20"/>
      <c r="AZ624" s="20"/>
      <c r="BA624" s="20"/>
      <c r="BB624" s="20"/>
      <c r="BC624" s="20"/>
    </row>
    <row r="625" ht="13.5" customHeight="1" spans="1:55">
      <c r="A625" s="20"/>
      <c r="B625" s="20"/>
      <c r="C625" s="20"/>
      <c r="D625" s="20"/>
      <c r="E625" s="20"/>
      <c r="F625" s="20"/>
      <c r="G625" s="52"/>
      <c r="H625" s="20"/>
      <c r="I625" s="20"/>
      <c r="J625" s="20"/>
      <c r="K625" s="20"/>
      <c r="L625" s="20"/>
      <c r="M625" s="20"/>
      <c r="N625" s="20"/>
      <c r="O625" s="20"/>
      <c r="P625" s="20"/>
      <c r="Q625" s="20"/>
      <c r="R625" s="20"/>
      <c r="S625" s="20"/>
      <c r="T625" s="20"/>
      <c r="U625" s="20"/>
      <c r="V625" s="20"/>
      <c r="W625" s="20"/>
      <c r="X625" s="20"/>
      <c r="Y625" s="20"/>
      <c r="Z625" s="20"/>
      <c r="AA625" s="20"/>
      <c r="AB625" s="20"/>
      <c r="AC625" s="20"/>
      <c r="AD625" s="20"/>
      <c r="AE625" s="20"/>
      <c r="AF625" s="20"/>
      <c r="AG625" s="20"/>
      <c r="AH625" s="20"/>
      <c r="AI625" s="20"/>
      <c r="AJ625" s="20"/>
      <c r="AK625" s="20"/>
      <c r="AL625" s="20"/>
      <c r="AM625" s="20"/>
      <c r="AN625" s="20"/>
      <c r="AO625" s="20"/>
      <c r="AP625" s="20"/>
      <c r="AQ625" s="20"/>
      <c r="AR625" s="20"/>
      <c r="AS625" s="20"/>
      <c r="AT625" s="20"/>
      <c r="AU625" s="20"/>
      <c r="AV625" s="20"/>
      <c r="AW625" s="20"/>
      <c r="AX625" s="20"/>
      <c r="AY625" s="20"/>
      <c r="AZ625" s="20"/>
      <c r="BA625" s="20"/>
      <c r="BB625" s="20"/>
      <c r="BC625" s="20"/>
    </row>
    <row r="626" ht="13.5" customHeight="1" spans="1:55">
      <c r="A626" s="20"/>
      <c r="B626" s="20"/>
      <c r="C626" s="20"/>
      <c r="D626" s="20"/>
      <c r="E626" s="20"/>
      <c r="F626" s="20"/>
      <c r="G626" s="52"/>
      <c r="H626" s="20"/>
      <c r="I626" s="20"/>
      <c r="J626" s="20"/>
      <c r="K626" s="20"/>
      <c r="L626" s="20"/>
      <c r="M626" s="20"/>
      <c r="N626" s="20"/>
      <c r="O626" s="20"/>
      <c r="P626" s="20"/>
      <c r="Q626" s="20"/>
      <c r="R626" s="20"/>
      <c r="S626" s="20"/>
      <c r="T626" s="20"/>
      <c r="U626" s="20"/>
      <c r="V626" s="20"/>
      <c r="W626" s="20"/>
      <c r="X626" s="20"/>
      <c r="Y626" s="20"/>
      <c r="Z626" s="20"/>
      <c r="AA626" s="20"/>
      <c r="AB626" s="20"/>
      <c r="AC626" s="20"/>
      <c r="AD626" s="20"/>
      <c r="AE626" s="20"/>
      <c r="AF626" s="20"/>
      <c r="AG626" s="20"/>
      <c r="AH626" s="20"/>
      <c r="AI626" s="20"/>
      <c r="AJ626" s="20"/>
      <c r="AK626" s="20"/>
      <c r="AL626" s="20"/>
      <c r="AM626" s="20"/>
      <c r="AN626" s="20"/>
      <c r="AO626" s="20"/>
      <c r="AP626" s="20"/>
      <c r="AQ626" s="20"/>
      <c r="AR626" s="20"/>
      <c r="AS626" s="20"/>
      <c r="AT626" s="20"/>
      <c r="AU626" s="20"/>
      <c r="AV626" s="20"/>
      <c r="AW626" s="20"/>
      <c r="AX626" s="20"/>
      <c r="AY626" s="20"/>
      <c r="AZ626" s="20"/>
      <c r="BA626" s="20"/>
      <c r="BB626" s="20"/>
      <c r="BC626" s="20"/>
    </row>
    <row r="627" ht="13.5" customHeight="1" spans="1:55">
      <c r="A627" s="20"/>
      <c r="B627" s="20"/>
      <c r="C627" s="20"/>
      <c r="D627" s="20"/>
      <c r="E627" s="20"/>
      <c r="F627" s="20"/>
      <c r="G627" s="52"/>
      <c r="H627" s="20"/>
      <c r="I627" s="20"/>
      <c r="J627" s="20"/>
      <c r="K627" s="20"/>
      <c r="L627" s="20"/>
      <c r="M627" s="20"/>
      <c r="N627" s="20"/>
      <c r="O627" s="20"/>
      <c r="P627" s="20"/>
      <c r="Q627" s="20"/>
      <c r="R627" s="20"/>
      <c r="S627" s="20"/>
      <c r="T627" s="20"/>
      <c r="U627" s="20"/>
      <c r="V627" s="20"/>
      <c r="W627" s="20"/>
      <c r="X627" s="20"/>
      <c r="Y627" s="20"/>
      <c r="Z627" s="20"/>
      <c r="AA627" s="20"/>
      <c r="AB627" s="20"/>
      <c r="AC627" s="20"/>
      <c r="AD627" s="20"/>
      <c r="AE627" s="20"/>
      <c r="AF627" s="20"/>
      <c r="AG627" s="20"/>
      <c r="AH627" s="20"/>
      <c r="AI627" s="20"/>
      <c r="AJ627" s="20"/>
      <c r="AK627" s="20"/>
      <c r="AL627" s="20"/>
      <c r="AM627" s="20"/>
      <c r="AN627" s="20"/>
      <c r="AO627" s="20"/>
      <c r="AP627" s="20"/>
      <c r="AQ627" s="20"/>
      <c r="AR627" s="20"/>
      <c r="AS627" s="20"/>
      <c r="AT627" s="20"/>
      <c r="AU627" s="20"/>
      <c r="AV627" s="20"/>
      <c r="AW627" s="20"/>
      <c r="AX627" s="20"/>
      <c r="AY627" s="20"/>
      <c r="AZ627" s="20"/>
      <c r="BA627" s="20"/>
      <c r="BB627" s="20"/>
      <c r="BC627" s="20"/>
    </row>
    <row r="628" ht="13.5" customHeight="1" spans="1:55">
      <c r="A628" s="20"/>
      <c r="B628" s="20"/>
      <c r="C628" s="20"/>
      <c r="D628" s="20"/>
      <c r="E628" s="20"/>
      <c r="F628" s="20"/>
      <c r="G628" s="52"/>
      <c r="H628" s="20"/>
      <c r="I628" s="20"/>
      <c r="J628" s="20"/>
      <c r="K628" s="20"/>
      <c r="L628" s="20"/>
      <c r="M628" s="20"/>
      <c r="N628" s="20"/>
      <c r="O628" s="20"/>
      <c r="P628" s="20"/>
      <c r="Q628" s="20"/>
      <c r="R628" s="20"/>
      <c r="S628" s="20"/>
      <c r="T628" s="20"/>
      <c r="U628" s="20"/>
      <c r="V628" s="20"/>
      <c r="W628" s="20"/>
      <c r="X628" s="20"/>
      <c r="Y628" s="20"/>
      <c r="Z628" s="20"/>
      <c r="AA628" s="20"/>
      <c r="AB628" s="20"/>
      <c r="AC628" s="20"/>
      <c r="AD628" s="20"/>
      <c r="AE628" s="20"/>
      <c r="AF628" s="20"/>
      <c r="AG628" s="20"/>
      <c r="AH628" s="20"/>
      <c r="AI628" s="20"/>
      <c r="AJ628" s="20"/>
      <c r="AK628" s="20"/>
      <c r="AL628" s="20"/>
      <c r="AM628" s="20"/>
      <c r="AN628" s="20"/>
      <c r="AO628" s="20"/>
      <c r="AP628" s="20"/>
      <c r="AQ628" s="20"/>
      <c r="AR628" s="20"/>
      <c r="AS628" s="20"/>
      <c r="AT628" s="20"/>
      <c r="AU628" s="20"/>
      <c r="AV628" s="20"/>
      <c r="AW628" s="20"/>
      <c r="AX628" s="20"/>
      <c r="AY628" s="20"/>
      <c r="AZ628" s="20"/>
      <c r="BA628" s="20"/>
      <c r="BB628" s="20"/>
      <c r="BC628" s="20"/>
    </row>
    <row r="629" ht="13.5" customHeight="1" spans="1:55">
      <c r="A629" s="20"/>
      <c r="B629" s="20"/>
      <c r="C629" s="20"/>
      <c r="D629" s="20"/>
      <c r="E629" s="20"/>
      <c r="F629" s="20"/>
      <c r="G629" s="52"/>
      <c r="H629" s="20"/>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row>
    <row r="630" ht="13.5" customHeight="1" spans="1:55">
      <c r="A630" s="20"/>
      <c r="B630" s="20"/>
      <c r="C630" s="20"/>
      <c r="D630" s="20"/>
      <c r="E630" s="20"/>
      <c r="F630" s="20"/>
      <c r="G630" s="52"/>
      <c r="H630" s="20"/>
      <c r="I630" s="20"/>
      <c r="J630" s="20"/>
      <c r="K630" s="20"/>
      <c r="L630" s="20"/>
      <c r="M630" s="20"/>
      <c r="N630" s="20"/>
      <c r="O630" s="20"/>
      <c r="P630" s="20"/>
      <c r="Q630" s="20"/>
      <c r="R630" s="20"/>
      <c r="S630" s="20"/>
      <c r="T630" s="20"/>
      <c r="U630" s="20"/>
      <c r="V630" s="20"/>
      <c r="W630" s="20"/>
      <c r="X630" s="20"/>
      <c r="Y630" s="20"/>
      <c r="Z630" s="20"/>
      <c r="AA630" s="20"/>
      <c r="AB630" s="20"/>
      <c r="AC630" s="20"/>
      <c r="AD630" s="20"/>
      <c r="AE630" s="20"/>
      <c r="AF630" s="20"/>
      <c r="AG630" s="20"/>
      <c r="AH630" s="20"/>
      <c r="AI630" s="20"/>
      <c r="AJ630" s="20"/>
      <c r="AK630" s="20"/>
      <c r="AL630" s="20"/>
      <c r="AM630" s="20"/>
      <c r="AN630" s="20"/>
      <c r="AO630" s="20"/>
      <c r="AP630" s="20"/>
      <c r="AQ630" s="20"/>
      <c r="AR630" s="20"/>
      <c r="AS630" s="20"/>
      <c r="AT630" s="20"/>
      <c r="AU630" s="20"/>
      <c r="AV630" s="20"/>
      <c r="AW630" s="20"/>
      <c r="AX630" s="20"/>
      <c r="AY630" s="20"/>
      <c r="AZ630" s="20"/>
      <c r="BA630" s="20"/>
      <c r="BB630" s="20"/>
      <c r="BC630" s="20"/>
    </row>
    <row r="631" ht="13.5" customHeight="1" spans="1:55">
      <c r="A631" s="20"/>
      <c r="B631" s="20"/>
      <c r="C631" s="20"/>
      <c r="D631" s="20"/>
      <c r="E631" s="20"/>
      <c r="F631" s="20"/>
      <c r="G631" s="52"/>
      <c r="H631" s="20"/>
      <c r="I631" s="20"/>
      <c r="J631" s="20"/>
      <c r="K631" s="20"/>
      <c r="L631" s="20"/>
      <c r="M631" s="20"/>
      <c r="N631" s="20"/>
      <c r="O631" s="20"/>
      <c r="P631" s="20"/>
      <c r="Q631" s="20"/>
      <c r="R631" s="20"/>
      <c r="S631" s="20"/>
      <c r="T631" s="20"/>
      <c r="U631" s="20"/>
      <c r="V631" s="20"/>
      <c r="W631" s="20"/>
      <c r="X631" s="20"/>
      <c r="Y631" s="20"/>
      <c r="Z631" s="20"/>
      <c r="AA631" s="20"/>
      <c r="AB631" s="20"/>
      <c r="AC631" s="20"/>
      <c r="AD631" s="20"/>
      <c r="AE631" s="20"/>
      <c r="AF631" s="20"/>
      <c r="AG631" s="20"/>
      <c r="AH631" s="20"/>
      <c r="AI631" s="20"/>
      <c r="AJ631" s="20"/>
      <c r="AK631" s="20"/>
      <c r="AL631" s="20"/>
      <c r="AM631" s="20"/>
      <c r="AN631" s="20"/>
      <c r="AO631" s="20"/>
      <c r="AP631" s="20"/>
      <c r="AQ631" s="20"/>
      <c r="AR631" s="20"/>
      <c r="AS631" s="20"/>
      <c r="AT631" s="20"/>
      <c r="AU631" s="20"/>
      <c r="AV631" s="20"/>
      <c r="AW631" s="20"/>
      <c r="AX631" s="20"/>
      <c r="AY631" s="20"/>
      <c r="AZ631" s="20"/>
      <c r="BA631" s="20"/>
      <c r="BB631" s="20"/>
      <c r="BC631" s="20"/>
    </row>
    <row r="632" ht="13.5" customHeight="1" spans="1:55">
      <c r="A632" s="20"/>
      <c r="B632" s="20"/>
      <c r="C632" s="20"/>
      <c r="D632" s="20"/>
      <c r="E632" s="20"/>
      <c r="F632" s="20"/>
      <c r="G632" s="52"/>
      <c r="H632" s="20"/>
      <c r="I632" s="20"/>
      <c r="J632" s="20"/>
      <c r="K632" s="20"/>
      <c r="L632" s="20"/>
      <c r="M632" s="20"/>
      <c r="N632" s="20"/>
      <c r="O632" s="20"/>
      <c r="P632" s="20"/>
      <c r="Q632" s="20"/>
      <c r="R632" s="20"/>
      <c r="S632" s="20"/>
      <c r="T632" s="20"/>
      <c r="U632" s="20"/>
      <c r="V632" s="20"/>
      <c r="W632" s="20"/>
      <c r="X632" s="20"/>
      <c r="Y632" s="20"/>
      <c r="Z632" s="20"/>
      <c r="AA632" s="20"/>
      <c r="AB632" s="20"/>
      <c r="AC632" s="20"/>
      <c r="AD632" s="20"/>
      <c r="AE632" s="20"/>
      <c r="AF632" s="20"/>
      <c r="AG632" s="20"/>
      <c r="AH632" s="20"/>
      <c r="AI632" s="20"/>
      <c r="AJ632" s="20"/>
      <c r="AK632" s="20"/>
      <c r="AL632" s="20"/>
      <c r="AM632" s="20"/>
      <c r="AN632" s="20"/>
      <c r="AO632" s="20"/>
      <c r="AP632" s="20"/>
      <c r="AQ632" s="20"/>
      <c r="AR632" s="20"/>
      <c r="AS632" s="20"/>
      <c r="AT632" s="20"/>
      <c r="AU632" s="20"/>
      <c r="AV632" s="20"/>
      <c r="AW632" s="20"/>
      <c r="AX632" s="20"/>
      <c r="AY632" s="20"/>
      <c r="AZ632" s="20"/>
      <c r="BA632" s="20"/>
      <c r="BB632" s="20"/>
      <c r="BC632" s="20"/>
    </row>
    <row r="633" ht="13.5" customHeight="1" spans="1:55">
      <c r="A633" s="20"/>
      <c r="B633" s="20"/>
      <c r="C633" s="20"/>
      <c r="D633" s="20"/>
      <c r="E633" s="20"/>
      <c r="F633" s="20"/>
      <c r="G633" s="52"/>
      <c r="H633" s="20"/>
      <c r="I633" s="20"/>
      <c r="J633" s="20"/>
      <c r="K633" s="20"/>
      <c r="L633" s="20"/>
      <c r="M633" s="20"/>
      <c r="N633" s="20"/>
      <c r="O633" s="20"/>
      <c r="P633" s="20"/>
      <c r="Q633" s="20"/>
      <c r="R633" s="20"/>
      <c r="S633" s="20"/>
      <c r="T633" s="20"/>
      <c r="U633" s="20"/>
      <c r="V633" s="20"/>
      <c r="W633" s="20"/>
      <c r="X633" s="20"/>
      <c r="Y633" s="20"/>
      <c r="Z633" s="20"/>
      <c r="AA633" s="20"/>
      <c r="AB633" s="20"/>
      <c r="AC633" s="20"/>
      <c r="AD633" s="20"/>
      <c r="AE633" s="20"/>
      <c r="AF633" s="20"/>
      <c r="AG633" s="20"/>
      <c r="AH633" s="20"/>
      <c r="AI633" s="20"/>
      <c r="AJ633" s="20"/>
      <c r="AK633" s="20"/>
      <c r="AL633" s="20"/>
      <c r="AM633" s="20"/>
      <c r="AN633" s="20"/>
      <c r="AO633" s="20"/>
      <c r="AP633" s="20"/>
      <c r="AQ633" s="20"/>
      <c r="AR633" s="20"/>
      <c r="AS633" s="20"/>
      <c r="AT633" s="20"/>
      <c r="AU633" s="20"/>
      <c r="AV633" s="20"/>
      <c r="AW633" s="20"/>
      <c r="AX633" s="20"/>
      <c r="AY633" s="20"/>
      <c r="AZ633" s="20"/>
      <c r="BA633" s="20"/>
      <c r="BB633" s="20"/>
      <c r="BC633" s="20"/>
    </row>
    <row r="634" ht="13.5" customHeight="1" spans="1:55">
      <c r="A634" s="20"/>
      <c r="B634" s="20"/>
      <c r="C634" s="20"/>
      <c r="D634" s="20"/>
      <c r="E634" s="20"/>
      <c r="F634" s="20"/>
      <c r="G634" s="52"/>
      <c r="H634" s="20"/>
      <c r="I634" s="20"/>
      <c r="J634" s="20"/>
      <c r="K634" s="20"/>
      <c r="L634" s="20"/>
      <c r="M634" s="20"/>
      <c r="N634" s="20"/>
      <c r="O634" s="20"/>
      <c r="P634" s="20"/>
      <c r="Q634" s="20"/>
      <c r="R634" s="20"/>
      <c r="S634" s="20"/>
      <c r="T634" s="20"/>
      <c r="U634" s="20"/>
      <c r="V634" s="20"/>
      <c r="W634" s="20"/>
      <c r="X634" s="20"/>
      <c r="Y634" s="20"/>
      <c r="Z634" s="20"/>
      <c r="AA634" s="20"/>
      <c r="AB634" s="20"/>
      <c r="AC634" s="20"/>
      <c r="AD634" s="20"/>
      <c r="AE634" s="20"/>
      <c r="AF634" s="20"/>
      <c r="AG634" s="20"/>
      <c r="AH634" s="20"/>
      <c r="AI634" s="20"/>
      <c r="AJ634" s="20"/>
      <c r="AK634" s="20"/>
      <c r="AL634" s="20"/>
      <c r="AM634" s="20"/>
      <c r="AN634" s="20"/>
      <c r="AO634" s="20"/>
      <c r="AP634" s="20"/>
      <c r="AQ634" s="20"/>
      <c r="AR634" s="20"/>
      <c r="AS634" s="20"/>
      <c r="AT634" s="20"/>
      <c r="AU634" s="20"/>
      <c r="AV634" s="20"/>
      <c r="AW634" s="20"/>
      <c r="AX634" s="20"/>
      <c r="AY634" s="20"/>
      <c r="AZ634" s="20"/>
      <c r="BA634" s="20"/>
      <c r="BB634" s="20"/>
      <c r="BC634" s="20"/>
    </row>
    <row r="635" ht="13.5" customHeight="1" spans="1:55">
      <c r="A635" s="20"/>
      <c r="B635" s="20"/>
      <c r="C635" s="20"/>
      <c r="D635" s="20"/>
      <c r="E635" s="20"/>
      <c r="F635" s="20"/>
      <c r="G635" s="52"/>
      <c r="H635" s="20"/>
      <c r="I635" s="20"/>
      <c r="J635" s="20"/>
      <c r="K635" s="20"/>
      <c r="L635" s="20"/>
      <c r="M635" s="20"/>
      <c r="N635" s="20"/>
      <c r="O635" s="20"/>
      <c r="P635" s="20"/>
      <c r="Q635" s="20"/>
      <c r="R635" s="20"/>
      <c r="S635" s="20"/>
      <c r="T635" s="20"/>
      <c r="U635" s="20"/>
      <c r="V635" s="20"/>
      <c r="W635" s="20"/>
      <c r="X635" s="20"/>
      <c r="Y635" s="20"/>
      <c r="Z635" s="20"/>
      <c r="AA635" s="20"/>
      <c r="AB635" s="20"/>
      <c r="AC635" s="20"/>
      <c r="AD635" s="20"/>
      <c r="AE635" s="20"/>
      <c r="AF635" s="20"/>
      <c r="AG635" s="20"/>
      <c r="AH635" s="20"/>
      <c r="AI635" s="20"/>
      <c r="AJ635" s="20"/>
      <c r="AK635" s="20"/>
      <c r="AL635" s="20"/>
      <c r="AM635" s="20"/>
      <c r="AN635" s="20"/>
      <c r="AO635" s="20"/>
      <c r="AP635" s="20"/>
      <c r="AQ635" s="20"/>
      <c r="AR635" s="20"/>
      <c r="AS635" s="20"/>
      <c r="AT635" s="20"/>
      <c r="AU635" s="20"/>
      <c r="AV635" s="20"/>
      <c r="AW635" s="20"/>
      <c r="AX635" s="20"/>
      <c r="AY635" s="20"/>
      <c r="AZ635" s="20"/>
      <c r="BA635" s="20"/>
      <c r="BB635" s="20"/>
      <c r="BC635" s="20"/>
    </row>
    <row r="636" ht="13.5" customHeight="1" spans="1:55">
      <c r="A636" s="20"/>
      <c r="B636" s="20"/>
      <c r="C636" s="20"/>
      <c r="D636" s="20"/>
      <c r="E636" s="20"/>
      <c r="F636" s="20"/>
      <c r="G636" s="52"/>
      <c r="H636" s="20"/>
      <c r="I636" s="20"/>
      <c r="J636" s="20"/>
      <c r="K636" s="20"/>
      <c r="L636" s="20"/>
      <c r="M636" s="20"/>
      <c r="N636" s="20"/>
      <c r="O636" s="20"/>
      <c r="P636" s="20"/>
      <c r="Q636" s="20"/>
      <c r="R636" s="20"/>
      <c r="S636" s="20"/>
      <c r="T636" s="20"/>
      <c r="U636" s="20"/>
      <c r="V636" s="20"/>
      <c r="W636" s="20"/>
      <c r="X636" s="20"/>
      <c r="Y636" s="20"/>
      <c r="Z636" s="20"/>
      <c r="AA636" s="20"/>
      <c r="AB636" s="20"/>
      <c r="AC636" s="20"/>
      <c r="AD636" s="20"/>
      <c r="AE636" s="20"/>
      <c r="AF636" s="20"/>
      <c r="AG636" s="20"/>
      <c r="AH636" s="20"/>
      <c r="AI636" s="20"/>
      <c r="AJ636" s="20"/>
      <c r="AK636" s="20"/>
      <c r="AL636" s="20"/>
      <c r="AM636" s="20"/>
      <c r="AN636" s="20"/>
      <c r="AO636" s="20"/>
      <c r="AP636" s="20"/>
      <c r="AQ636" s="20"/>
      <c r="AR636" s="20"/>
      <c r="AS636" s="20"/>
      <c r="AT636" s="20"/>
      <c r="AU636" s="20"/>
      <c r="AV636" s="20"/>
      <c r="AW636" s="20"/>
      <c r="AX636" s="20"/>
      <c r="AY636" s="20"/>
      <c r="AZ636" s="20"/>
      <c r="BA636" s="20"/>
      <c r="BB636" s="20"/>
      <c r="BC636" s="20"/>
    </row>
    <row r="637" ht="13.5" customHeight="1" spans="1:55">
      <c r="A637" s="20"/>
      <c r="B637" s="20"/>
      <c r="C637" s="20"/>
      <c r="D637" s="20"/>
      <c r="E637" s="20"/>
      <c r="F637" s="20"/>
      <c r="G637" s="52"/>
      <c r="H637" s="20"/>
      <c r="I637" s="20"/>
      <c r="J637" s="20"/>
      <c r="K637" s="20"/>
      <c r="L637" s="20"/>
      <c r="M637" s="20"/>
      <c r="N637" s="20"/>
      <c r="O637" s="20"/>
      <c r="P637" s="20"/>
      <c r="Q637" s="20"/>
      <c r="R637" s="20"/>
      <c r="S637" s="20"/>
      <c r="T637" s="20"/>
      <c r="U637" s="20"/>
      <c r="V637" s="20"/>
      <c r="W637" s="20"/>
      <c r="X637" s="20"/>
      <c r="Y637" s="20"/>
      <c r="Z637" s="20"/>
      <c r="AA637" s="20"/>
      <c r="AB637" s="20"/>
      <c r="AC637" s="20"/>
      <c r="AD637" s="20"/>
      <c r="AE637" s="20"/>
      <c r="AF637" s="20"/>
      <c r="AG637" s="20"/>
      <c r="AH637" s="20"/>
      <c r="AI637" s="20"/>
      <c r="AJ637" s="20"/>
      <c r="AK637" s="20"/>
      <c r="AL637" s="20"/>
      <c r="AM637" s="20"/>
      <c r="AN637" s="20"/>
      <c r="AO637" s="20"/>
      <c r="AP637" s="20"/>
      <c r="AQ637" s="20"/>
      <c r="AR637" s="20"/>
      <c r="AS637" s="20"/>
      <c r="AT637" s="20"/>
      <c r="AU637" s="20"/>
      <c r="AV637" s="20"/>
      <c r="AW637" s="20"/>
      <c r="AX637" s="20"/>
      <c r="AY637" s="20"/>
      <c r="AZ637" s="20"/>
      <c r="BA637" s="20"/>
      <c r="BB637" s="20"/>
      <c r="BC637" s="20"/>
    </row>
    <row r="638" ht="13.5" customHeight="1" spans="1:55">
      <c r="A638" s="20"/>
      <c r="B638" s="20"/>
      <c r="C638" s="20"/>
      <c r="D638" s="20"/>
      <c r="E638" s="20"/>
      <c r="F638" s="20"/>
      <c r="G638" s="52"/>
      <c r="H638" s="20"/>
      <c r="I638" s="20"/>
      <c r="J638" s="20"/>
      <c r="K638" s="20"/>
      <c r="L638" s="20"/>
      <c r="M638" s="20"/>
      <c r="N638" s="20"/>
      <c r="O638" s="20"/>
      <c r="P638" s="20"/>
      <c r="Q638" s="20"/>
      <c r="R638" s="20"/>
      <c r="S638" s="20"/>
      <c r="T638" s="20"/>
      <c r="U638" s="20"/>
      <c r="V638" s="20"/>
      <c r="W638" s="20"/>
      <c r="X638" s="20"/>
      <c r="Y638" s="20"/>
      <c r="Z638" s="20"/>
      <c r="AA638" s="20"/>
      <c r="AB638" s="20"/>
      <c r="AC638" s="20"/>
      <c r="AD638" s="20"/>
      <c r="AE638" s="20"/>
      <c r="AF638" s="20"/>
      <c r="AG638" s="20"/>
      <c r="AH638" s="20"/>
      <c r="AI638" s="20"/>
      <c r="AJ638" s="20"/>
      <c r="AK638" s="20"/>
      <c r="AL638" s="20"/>
      <c r="AM638" s="20"/>
      <c r="AN638" s="20"/>
      <c r="AO638" s="20"/>
      <c r="AP638" s="20"/>
      <c r="AQ638" s="20"/>
      <c r="AR638" s="20"/>
      <c r="AS638" s="20"/>
      <c r="AT638" s="20"/>
      <c r="AU638" s="20"/>
      <c r="AV638" s="20"/>
      <c r="AW638" s="20"/>
      <c r="AX638" s="20"/>
      <c r="AY638" s="20"/>
      <c r="AZ638" s="20"/>
      <c r="BA638" s="20"/>
      <c r="BB638" s="20"/>
      <c r="BC638" s="20"/>
    </row>
    <row r="639" ht="13.5" customHeight="1" spans="1:55">
      <c r="A639" s="20"/>
      <c r="B639" s="20"/>
      <c r="C639" s="20"/>
      <c r="D639" s="20"/>
      <c r="E639" s="20"/>
      <c r="F639" s="20"/>
      <c r="G639" s="52"/>
      <c r="H639" s="20"/>
      <c r="I639" s="20"/>
      <c r="J639" s="20"/>
      <c r="K639" s="20"/>
      <c r="L639" s="20"/>
      <c r="M639" s="20"/>
      <c r="N639" s="20"/>
      <c r="O639" s="20"/>
      <c r="P639" s="20"/>
      <c r="Q639" s="20"/>
      <c r="R639" s="20"/>
      <c r="S639" s="20"/>
      <c r="T639" s="20"/>
      <c r="U639" s="20"/>
      <c r="V639" s="20"/>
      <c r="W639" s="20"/>
      <c r="X639" s="20"/>
      <c r="Y639" s="20"/>
      <c r="Z639" s="20"/>
      <c r="AA639" s="20"/>
      <c r="AB639" s="20"/>
      <c r="AC639" s="20"/>
      <c r="AD639" s="20"/>
      <c r="AE639" s="20"/>
      <c r="AF639" s="20"/>
      <c r="AG639" s="20"/>
      <c r="AH639" s="20"/>
      <c r="AI639" s="20"/>
      <c r="AJ639" s="20"/>
      <c r="AK639" s="20"/>
      <c r="AL639" s="20"/>
      <c r="AM639" s="20"/>
      <c r="AN639" s="20"/>
      <c r="AO639" s="20"/>
      <c r="AP639" s="20"/>
      <c r="AQ639" s="20"/>
      <c r="AR639" s="20"/>
      <c r="AS639" s="20"/>
      <c r="AT639" s="20"/>
      <c r="AU639" s="20"/>
      <c r="AV639" s="20"/>
      <c r="AW639" s="20"/>
      <c r="AX639" s="20"/>
      <c r="AY639" s="20"/>
      <c r="AZ639" s="20"/>
      <c r="BA639" s="20"/>
      <c r="BB639" s="20"/>
      <c r="BC639" s="20"/>
    </row>
    <row r="640" ht="13.5" customHeight="1" spans="1:55">
      <c r="A640" s="20"/>
      <c r="B640" s="20"/>
      <c r="C640" s="20"/>
      <c r="D640" s="20"/>
      <c r="E640" s="20"/>
      <c r="F640" s="20"/>
      <c r="G640" s="52"/>
      <c r="H640" s="20"/>
      <c r="I640" s="20"/>
      <c r="J640" s="20"/>
      <c r="K640" s="20"/>
      <c r="L640" s="20"/>
      <c r="M640" s="20"/>
      <c r="N640" s="20"/>
      <c r="O640" s="20"/>
      <c r="P640" s="20"/>
      <c r="Q640" s="20"/>
      <c r="R640" s="20"/>
      <c r="S640" s="20"/>
      <c r="T640" s="20"/>
      <c r="U640" s="20"/>
      <c r="V640" s="20"/>
      <c r="W640" s="20"/>
      <c r="X640" s="20"/>
      <c r="Y640" s="20"/>
      <c r="Z640" s="20"/>
      <c r="AA640" s="20"/>
      <c r="AB640" s="20"/>
      <c r="AC640" s="20"/>
      <c r="AD640" s="20"/>
      <c r="AE640" s="20"/>
      <c r="AF640" s="20"/>
      <c r="AG640" s="20"/>
      <c r="AH640" s="20"/>
      <c r="AI640" s="20"/>
      <c r="AJ640" s="20"/>
      <c r="AK640" s="20"/>
      <c r="AL640" s="20"/>
      <c r="AM640" s="20"/>
      <c r="AN640" s="20"/>
      <c r="AO640" s="20"/>
      <c r="AP640" s="20"/>
      <c r="AQ640" s="20"/>
      <c r="AR640" s="20"/>
      <c r="AS640" s="20"/>
      <c r="AT640" s="20"/>
      <c r="AU640" s="20"/>
      <c r="AV640" s="20"/>
      <c r="AW640" s="20"/>
      <c r="AX640" s="20"/>
      <c r="AY640" s="20"/>
      <c r="AZ640" s="20"/>
      <c r="BA640" s="20"/>
      <c r="BB640" s="20"/>
      <c r="BC640" s="20"/>
    </row>
    <row r="641" ht="13.5" customHeight="1" spans="1:55">
      <c r="A641" s="20"/>
      <c r="B641" s="20"/>
      <c r="C641" s="20"/>
      <c r="D641" s="20"/>
      <c r="E641" s="20"/>
      <c r="F641" s="20"/>
      <c r="G641" s="52"/>
      <c r="H641" s="20"/>
      <c r="I641" s="20"/>
      <c r="J641" s="20"/>
      <c r="K641" s="20"/>
      <c r="L641" s="20"/>
      <c r="M641" s="20"/>
      <c r="N641" s="20"/>
      <c r="O641" s="20"/>
      <c r="P641" s="20"/>
      <c r="Q641" s="20"/>
      <c r="R641" s="20"/>
      <c r="S641" s="20"/>
      <c r="T641" s="20"/>
      <c r="U641" s="20"/>
      <c r="V641" s="20"/>
      <c r="W641" s="20"/>
      <c r="X641" s="20"/>
      <c r="Y641" s="20"/>
      <c r="Z641" s="20"/>
      <c r="AA641" s="20"/>
      <c r="AB641" s="20"/>
      <c r="AC641" s="20"/>
      <c r="AD641" s="20"/>
      <c r="AE641" s="20"/>
      <c r="AF641" s="20"/>
      <c r="AG641" s="20"/>
      <c r="AH641" s="20"/>
      <c r="AI641" s="20"/>
      <c r="AJ641" s="20"/>
      <c r="AK641" s="20"/>
      <c r="AL641" s="20"/>
      <c r="AM641" s="20"/>
      <c r="AN641" s="20"/>
      <c r="AO641" s="20"/>
      <c r="AP641" s="20"/>
      <c r="AQ641" s="20"/>
      <c r="AR641" s="20"/>
      <c r="AS641" s="20"/>
      <c r="AT641" s="20"/>
      <c r="AU641" s="20"/>
      <c r="AV641" s="20"/>
      <c r="AW641" s="20"/>
      <c r="AX641" s="20"/>
      <c r="AY641" s="20"/>
      <c r="AZ641" s="20"/>
      <c r="BA641" s="20"/>
      <c r="BB641" s="20"/>
      <c r="BC641" s="20"/>
    </row>
    <row r="642" ht="13.5" customHeight="1" spans="1:55">
      <c r="A642" s="20"/>
      <c r="B642" s="20"/>
      <c r="C642" s="20"/>
      <c r="D642" s="20"/>
      <c r="E642" s="20"/>
      <c r="F642" s="20"/>
      <c r="G642" s="52"/>
      <c r="H642" s="20"/>
      <c r="I642" s="20"/>
      <c r="J642" s="20"/>
      <c r="K642" s="20"/>
      <c r="L642" s="20"/>
      <c r="M642" s="20"/>
      <c r="N642" s="20"/>
      <c r="O642" s="20"/>
      <c r="P642" s="20"/>
      <c r="Q642" s="20"/>
      <c r="R642" s="20"/>
      <c r="S642" s="20"/>
      <c r="T642" s="20"/>
      <c r="U642" s="20"/>
      <c r="V642" s="20"/>
      <c r="W642" s="20"/>
      <c r="X642" s="20"/>
      <c r="Y642" s="20"/>
      <c r="Z642" s="20"/>
      <c r="AA642" s="20"/>
      <c r="AB642" s="20"/>
      <c r="AC642" s="20"/>
      <c r="AD642" s="20"/>
      <c r="AE642" s="20"/>
      <c r="AF642" s="20"/>
      <c r="AG642" s="20"/>
      <c r="AH642" s="20"/>
      <c r="AI642" s="20"/>
      <c r="AJ642" s="20"/>
      <c r="AK642" s="20"/>
      <c r="AL642" s="20"/>
      <c r="AM642" s="20"/>
      <c r="AN642" s="20"/>
      <c r="AO642" s="20"/>
      <c r="AP642" s="20"/>
      <c r="AQ642" s="20"/>
      <c r="AR642" s="20"/>
      <c r="AS642" s="20"/>
      <c r="AT642" s="20"/>
      <c r="AU642" s="20"/>
      <c r="AV642" s="20"/>
      <c r="AW642" s="20"/>
      <c r="AX642" s="20"/>
      <c r="AY642" s="20"/>
      <c r="AZ642" s="20"/>
      <c r="BA642" s="20"/>
      <c r="BB642" s="20"/>
      <c r="BC642" s="20"/>
    </row>
    <row r="643" ht="13.5" customHeight="1" spans="1:55">
      <c r="A643" s="20"/>
      <c r="B643" s="20"/>
      <c r="C643" s="20"/>
      <c r="D643" s="20"/>
      <c r="E643" s="20"/>
      <c r="F643" s="20"/>
      <c r="G643" s="52"/>
      <c r="H643" s="20"/>
      <c r="I643" s="20"/>
      <c r="J643" s="20"/>
      <c r="K643" s="20"/>
      <c r="L643" s="20"/>
      <c r="M643" s="20"/>
      <c r="N643" s="20"/>
      <c r="O643" s="20"/>
      <c r="P643" s="20"/>
      <c r="Q643" s="20"/>
      <c r="R643" s="20"/>
      <c r="S643" s="20"/>
      <c r="T643" s="20"/>
      <c r="U643" s="20"/>
      <c r="V643" s="20"/>
      <c r="W643" s="20"/>
      <c r="X643" s="20"/>
      <c r="Y643" s="20"/>
      <c r="Z643" s="20"/>
      <c r="AA643" s="20"/>
      <c r="AB643" s="20"/>
      <c r="AC643" s="20"/>
      <c r="AD643" s="20"/>
      <c r="AE643" s="20"/>
      <c r="AF643" s="20"/>
      <c r="AG643" s="20"/>
      <c r="AH643" s="20"/>
      <c r="AI643" s="20"/>
      <c r="AJ643" s="20"/>
      <c r="AK643" s="20"/>
      <c r="AL643" s="20"/>
      <c r="AM643" s="20"/>
      <c r="AN643" s="20"/>
      <c r="AO643" s="20"/>
      <c r="AP643" s="20"/>
      <c r="AQ643" s="20"/>
      <c r="AR643" s="20"/>
      <c r="AS643" s="20"/>
      <c r="AT643" s="20"/>
      <c r="AU643" s="20"/>
      <c r="AV643" s="20"/>
      <c r="AW643" s="20"/>
      <c r="AX643" s="20"/>
      <c r="AY643" s="20"/>
      <c r="AZ643" s="20"/>
      <c r="BA643" s="20"/>
      <c r="BB643" s="20"/>
      <c r="BC643" s="20"/>
    </row>
    <row r="644" ht="13.5" customHeight="1" spans="1:55">
      <c r="A644" s="20"/>
      <c r="B644" s="20"/>
      <c r="C644" s="20"/>
      <c r="D644" s="20"/>
      <c r="E644" s="20"/>
      <c r="F644" s="20"/>
      <c r="G644" s="52"/>
      <c r="H644" s="20"/>
      <c r="I644" s="20"/>
      <c r="J644" s="20"/>
      <c r="K644" s="20"/>
      <c r="L644" s="20"/>
      <c r="M644" s="20"/>
      <c r="N644" s="20"/>
      <c r="O644" s="20"/>
      <c r="P644" s="20"/>
      <c r="Q644" s="20"/>
      <c r="R644" s="20"/>
      <c r="S644" s="20"/>
      <c r="T644" s="20"/>
      <c r="U644" s="20"/>
      <c r="V644" s="20"/>
      <c r="W644" s="20"/>
      <c r="X644" s="20"/>
      <c r="Y644" s="20"/>
      <c r="Z644" s="20"/>
      <c r="AA644" s="20"/>
      <c r="AB644" s="20"/>
      <c r="AC644" s="20"/>
      <c r="AD644" s="20"/>
      <c r="AE644" s="20"/>
      <c r="AF644" s="20"/>
      <c r="AG644" s="20"/>
      <c r="AH644" s="20"/>
      <c r="AI644" s="20"/>
      <c r="AJ644" s="20"/>
      <c r="AK644" s="20"/>
      <c r="AL644" s="20"/>
      <c r="AM644" s="20"/>
      <c r="AN644" s="20"/>
      <c r="AO644" s="20"/>
      <c r="AP644" s="20"/>
      <c r="AQ644" s="20"/>
      <c r="AR644" s="20"/>
      <c r="AS644" s="20"/>
      <c r="AT644" s="20"/>
      <c r="AU644" s="20"/>
      <c r="AV644" s="20"/>
      <c r="AW644" s="20"/>
      <c r="AX644" s="20"/>
      <c r="AY644" s="20"/>
      <c r="AZ644" s="20"/>
      <c r="BA644" s="20"/>
      <c r="BB644" s="20"/>
      <c r="BC644" s="20"/>
    </row>
    <row r="645" ht="13.5" customHeight="1" spans="1:55">
      <c r="A645" s="20"/>
      <c r="B645" s="20"/>
      <c r="C645" s="20"/>
      <c r="D645" s="20"/>
      <c r="E645" s="20"/>
      <c r="F645" s="20"/>
      <c r="G645" s="52"/>
      <c r="H645" s="20"/>
      <c r="I645" s="20"/>
      <c r="J645" s="20"/>
      <c r="K645" s="20"/>
      <c r="L645" s="20"/>
      <c r="M645" s="20"/>
      <c r="N645" s="20"/>
      <c r="O645" s="20"/>
      <c r="P645" s="20"/>
      <c r="Q645" s="20"/>
      <c r="R645" s="20"/>
      <c r="S645" s="20"/>
      <c r="T645" s="20"/>
      <c r="U645" s="20"/>
      <c r="V645" s="20"/>
      <c r="W645" s="20"/>
      <c r="X645" s="20"/>
      <c r="Y645" s="20"/>
      <c r="Z645" s="20"/>
      <c r="AA645" s="20"/>
      <c r="AB645" s="20"/>
      <c r="AC645" s="20"/>
      <c r="AD645" s="20"/>
      <c r="AE645" s="20"/>
      <c r="AF645" s="20"/>
      <c r="AG645" s="20"/>
      <c r="AH645" s="20"/>
      <c r="AI645" s="20"/>
      <c r="AJ645" s="20"/>
      <c r="AK645" s="20"/>
      <c r="AL645" s="20"/>
      <c r="AM645" s="20"/>
      <c r="AN645" s="20"/>
      <c r="AO645" s="20"/>
      <c r="AP645" s="20"/>
      <c r="AQ645" s="20"/>
      <c r="AR645" s="20"/>
      <c r="AS645" s="20"/>
      <c r="AT645" s="20"/>
      <c r="AU645" s="20"/>
      <c r="AV645" s="20"/>
      <c r="AW645" s="20"/>
      <c r="AX645" s="20"/>
      <c r="AY645" s="20"/>
      <c r="AZ645" s="20"/>
      <c r="BA645" s="20"/>
      <c r="BB645" s="20"/>
      <c r="BC645" s="20"/>
    </row>
    <row r="646" ht="13.5" customHeight="1" spans="1:55">
      <c r="A646" s="20"/>
      <c r="B646" s="20"/>
      <c r="C646" s="20"/>
      <c r="D646" s="20"/>
      <c r="E646" s="20"/>
      <c r="F646" s="20"/>
      <c r="G646" s="52"/>
      <c r="H646" s="20"/>
      <c r="I646" s="20"/>
      <c r="J646" s="20"/>
      <c r="K646" s="20"/>
      <c r="L646" s="20"/>
      <c r="M646" s="20"/>
      <c r="N646" s="20"/>
      <c r="O646" s="20"/>
      <c r="P646" s="20"/>
      <c r="Q646" s="20"/>
      <c r="R646" s="20"/>
      <c r="S646" s="20"/>
      <c r="T646" s="20"/>
      <c r="U646" s="20"/>
      <c r="V646" s="20"/>
      <c r="W646" s="20"/>
      <c r="X646" s="20"/>
      <c r="Y646" s="20"/>
      <c r="Z646" s="20"/>
      <c r="AA646" s="20"/>
      <c r="AB646" s="20"/>
      <c r="AC646" s="20"/>
      <c r="AD646" s="20"/>
      <c r="AE646" s="20"/>
      <c r="AF646" s="20"/>
      <c r="AG646" s="20"/>
      <c r="AH646" s="20"/>
      <c r="AI646" s="20"/>
      <c r="AJ646" s="20"/>
      <c r="AK646" s="20"/>
      <c r="AL646" s="20"/>
      <c r="AM646" s="20"/>
      <c r="AN646" s="20"/>
      <c r="AO646" s="20"/>
      <c r="AP646" s="20"/>
      <c r="AQ646" s="20"/>
      <c r="AR646" s="20"/>
      <c r="AS646" s="20"/>
      <c r="AT646" s="20"/>
      <c r="AU646" s="20"/>
      <c r="AV646" s="20"/>
      <c r="AW646" s="20"/>
      <c r="AX646" s="20"/>
      <c r="AY646" s="20"/>
      <c r="AZ646" s="20"/>
      <c r="BA646" s="20"/>
      <c r="BB646" s="20"/>
      <c r="BC646" s="20"/>
    </row>
    <row r="647" ht="13.5" customHeight="1" spans="1:55">
      <c r="A647" s="20"/>
      <c r="B647" s="20"/>
      <c r="C647" s="20"/>
      <c r="D647" s="20"/>
      <c r="E647" s="20"/>
      <c r="F647" s="20"/>
      <c r="G647" s="52"/>
      <c r="H647" s="20"/>
      <c r="I647" s="20"/>
      <c r="J647" s="20"/>
      <c r="K647" s="20"/>
      <c r="L647" s="20"/>
      <c r="M647" s="20"/>
      <c r="N647" s="20"/>
      <c r="O647" s="20"/>
      <c r="P647" s="20"/>
      <c r="Q647" s="20"/>
      <c r="R647" s="20"/>
      <c r="S647" s="20"/>
      <c r="T647" s="20"/>
      <c r="U647" s="20"/>
      <c r="V647" s="20"/>
      <c r="W647" s="20"/>
      <c r="X647" s="20"/>
      <c r="Y647" s="20"/>
      <c r="Z647" s="20"/>
      <c r="AA647" s="20"/>
      <c r="AB647" s="20"/>
      <c r="AC647" s="20"/>
      <c r="AD647" s="20"/>
      <c r="AE647" s="20"/>
      <c r="AF647" s="20"/>
      <c r="AG647" s="20"/>
      <c r="AH647" s="20"/>
      <c r="AI647" s="20"/>
      <c r="AJ647" s="20"/>
      <c r="AK647" s="20"/>
      <c r="AL647" s="20"/>
      <c r="AM647" s="20"/>
      <c r="AN647" s="20"/>
      <c r="AO647" s="20"/>
      <c r="AP647" s="20"/>
      <c r="AQ647" s="20"/>
      <c r="AR647" s="20"/>
      <c r="AS647" s="20"/>
      <c r="AT647" s="20"/>
      <c r="AU647" s="20"/>
      <c r="AV647" s="20"/>
      <c r="AW647" s="20"/>
      <c r="AX647" s="20"/>
      <c r="AY647" s="20"/>
      <c r="AZ647" s="20"/>
      <c r="BA647" s="20"/>
      <c r="BB647" s="20"/>
      <c r="BC647" s="20"/>
    </row>
    <row r="648" ht="13.5" customHeight="1" spans="1:55">
      <c r="A648" s="20"/>
      <c r="B648" s="20"/>
      <c r="C648" s="20"/>
      <c r="D648" s="20"/>
      <c r="E648" s="20"/>
      <c r="F648" s="20"/>
      <c r="G648" s="52"/>
      <c r="H648" s="20"/>
      <c r="I648" s="20"/>
      <c r="J648" s="20"/>
      <c r="K648" s="20"/>
      <c r="L648" s="20"/>
      <c r="M648" s="20"/>
      <c r="N648" s="20"/>
      <c r="O648" s="20"/>
      <c r="P648" s="20"/>
      <c r="Q648" s="20"/>
      <c r="R648" s="20"/>
      <c r="S648" s="20"/>
      <c r="T648" s="20"/>
      <c r="U648" s="20"/>
      <c r="V648" s="20"/>
      <c r="W648" s="20"/>
      <c r="X648" s="20"/>
      <c r="Y648" s="20"/>
      <c r="Z648" s="20"/>
      <c r="AA648" s="20"/>
      <c r="AB648" s="20"/>
      <c r="AC648" s="20"/>
      <c r="AD648" s="20"/>
      <c r="AE648" s="20"/>
      <c r="AF648" s="20"/>
      <c r="AG648" s="20"/>
      <c r="AH648" s="20"/>
      <c r="AI648" s="20"/>
      <c r="AJ648" s="20"/>
      <c r="AK648" s="20"/>
      <c r="AL648" s="20"/>
      <c r="AM648" s="20"/>
      <c r="AN648" s="20"/>
      <c r="AO648" s="20"/>
      <c r="AP648" s="20"/>
      <c r="AQ648" s="20"/>
      <c r="AR648" s="20"/>
      <c r="AS648" s="20"/>
      <c r="AT648" s="20"/>
      <c r="AU648" s="20"/>
      <c r="AV648" s="20"/>
      <c r="AW648" s="20"/>
      <c r="AX648" s="20"/>
      <c r="AY648" s="20"/>
      <c r="AZ648" s="20"/>
      <c r="BA648" s="20"/>
      <c r="BB648" s="20"/>
      <c r="BC648" s="20"/>
    </row>
    <row r="649" ht="13.5" customHeight="1" spans="1:55">
      <c r="A649" s="20"/>
      <c r="B649" s="20"/>
      <c r="C649" s="20"/>
      <c r="D649" s="20"/>
      <c r="E649" s="20"/>
      <c r="F649" s="20"/>
      <c r="G649" s="52"/>
      <c r="H649" s="20"/>
      <c r="I649" s="20"/>
      <c r="J649" s="20"/>
      <c r="K649" s="20"/>
      <c r="L649" s="20"/>
      <c r="M649" s="20"/>
      <c r="N649" s="20"/>
      <c r="O649" s="20"/>
      <c r="P649" s="20"/>
      <c r="Q649" s="20"/>
      <c r="R649" s="20"/>
      <c r="S649" s="20"/>
      <c r="T649" s="20"/>
      <c r="U649" s="20"/>
      <c r="V649" s="20"/>
      <c r="W649" s="20"/>
      <c r="X649" s="20"/>
      <c r="Y649" s="20"/>
      <c r="Z649" s="20"/>
      <c r="AA649" s="20"/>
      <c r="AB649" s="20"/>
      <c r="AC649" s="20"/>
      <c r="AD649" s="20"/>
      <c r="AE649" s="20"/>
      <c r="AF649" s="20"/>
      <c r="AG649" s="20"/>
      <c r="AH649" s="20"/>
      <c r="AI649" s="20"/>
      <c r="AJ649" s="20"/>
      <c r="AK649" s="20"/>
      <c r="AL649" s="20"/>
      <c r="AM649" s="20"/>
      <c r="AN649" s="20"/>
      <c r="AO649" s="20"/>
      <c r="AP649" s="20"/>
      <c r="AQ649" s="20"/>
      <c r="AR649" s="20"/>
      <c r="AS649" s="20"/>
      <c r="AT649" s="20"/>
      <c r="AU649" s="20"/>
      <c r="AV649" s="20"/>
      <c r="AW649" s="20"/>
      <c r="AX649" s="20"/>
      <c r="AY649" s="20"/>
      <c r="AZ649" s="20"/>
      <c r="BA649" s="20"/>
      <c r="BB649" s="20"/>
      <c r="BC649" s="20"/>
    </row>
    <row r="650" ht="13.5" customHeight="1" spans="1:55">
      <c r="A650" s="20"/>
      <c r="B650" s="20"/>
      <c r="C650" s="20"/>
      <c r="D650" s="20"/>
      <c r="E650" s="20"/>
      <c r="F650" s="20"/>
      <c r="G650" s="52"/>
      <c r="H650" s="20"/>
      <c r="I650" s="20"/>
      <c r="J650" s="20"/>
      <c r="K650" s="20"/>
      <c r="L650" s="20"/>
      <c r="M650" s="20"/>
      <c r="N650" s="20"/>
      <c r="O650" s="20"/>
      <c r="P650" s="20"/>
      <c r="Q650" s="20"/>
      <c r="R650" s="20"/>
      <c r="S650" s="20"/>
      <c r="T650" s="20"/>
      <c r="U650" s="20"/>
      <c r="V650" s="20"/>
      <c r="W650" s="20"/>
      <c r="X650" s="20"/>
      <c r="Y650" s="20"/>
      <c r="Z650" s="20"/>
      <c r="AA650" s="20"/>
      <c r="AB650" s="20"/>
      <c r="AC650" s="20"/>
      <c r="AD650" s="20"/>
      <c r="AE650" s="20"/>
      <c r="AF650" s="20"/>
      <c r="AG650" s="20"/>
      <c r="AH650" s="20"/>
      <c r="AI650" s="20"/>
      <c r="AJ650" s="20"/>
      <c r="AK650" s="20"/>
      <c r="AL650" s="20"/>
      <c r="AM650" s="20"/>
      <c r="AN650" s="20"/>
      <c r="AO650" s="20"/>
      <c r="AP650" s="20"/>
      <c r="AQ650" s="20"/>
      <c r="AR650" s="20"/>
      <c r="AS650" s="20"/>
      <c r="AT650" s="20"/>
      <c r="AU650" s="20"/>
      <c r="AV650" s="20"/>
      <c r="AW650" s="20"/>
      <c r="AX650" s="20"/>
      <c r="AY650" s="20"/>
      <c r="AZ650" s="20"/>
      <c r="BA650" s="20"/>
      <c r="BB650" s="20"/>
      <c r="BC650" s="20"/>
    </row>
    <row r="651" ht="13.5" customHeight="1" spans="1:55">
      <c r="A651" s="20"/>
      <c r="B651" s="20"/>
      <c r="C651" s="20"/>
      <c r="D651" s="20"/>
      <c r="E651" s="20"/>
      <c r="F651" s="20"/>
      <c r="G651" s="52"/>
      <c r="H651" s="20"/>
      <c r="I651" s="20"/>
      <c r="J651" s="20"/>
      <c r="K651" s="20"/>
      <c r="L651" s="20"/>
      <c r="M651" s="20"/>
      <c r="N651" s="20"/>
      <c r="O651" s="20"/>
      <c r="P651" s="20"/>
      <c r="Q651" s="20"/>
      <c r="R651" s="20"/>
      <c r="S651" s="20"/>
      <c r="T651" s="20"/>
      <c r="U651" s="20"/>
      <c r="V651" s="20"/>
      <c r="W651" s="20"/>
      <c r="X651" s="20"/>
      <c r="Y651" s="20"/>
      <c r="Z651" s="20"/>
      <c r="AA651" s="20"/>
      <c r="AB651" s="20"/>
      <c r="AC651" s="20"/>
      <c r="AD651" s="20"/>
      <c r="AE651" s="20"/>
      <c r="AF651" s="20"/>
      <c r="AG651" s="20"/>
      <c r="AH651" s="20"/>
      <c r="AI651" s="20"/>
      <c r="AJ651" s="20"/>
      <c r="AK651" s="20"/>
      <c r="AL651" s="20"/>
      <c r="AM651" s="20"/>
      <c r="AN651" s="20"/>
      <c r="AO651" s="20"/>
      <c r="AP651" s="20"/>
      <c r="AQ651" s="20"/>
      <c r="AR651" s="20"/>
      <c r="AS651" s="20"/>
      <c r="AT651" s="20"/>
      <c r="AU651" s="20"/>
      <c r="AV651" s="20"/>
      <c r="AW651" s="20"/>
      <c r="AX651" s="20"/>
      <c r="AY651" s="20"/>
      <c r="AZ651" s="20"/>
      <c r="BA651" s="20"/>
      <c r="BB651" s="20"/>
      <c r="BC651" s="20"/>
    </row>
    <row r="652" ht="13.5" customHeight="1" spans="1:55">
      <c r="A652" s="20"/>
      <c r="B652" s="20"/>
      <c r="C652" s="20"/>
      <c r="D652" s="20"/>
      <c r="E652" s="20"/>
      <c r="F652" s="20"/>
      <c r="G652" s="52"/>
      <c r="H652" s="20"/>
      <c r="I652" s="20"/>
      <c r="J652" s="20"/>
      <c r="K652" s="20"/>
      <c r="L652" s="20"/>
      <c r="M652" s="20"/>
      <c r="N652" s="20"/>
      <c r="O652" s="20"/>
      <c r="P652" s="20"/>
      <c r="Q652" s="20"/>
      <c r="R652" s="20"/>
      <c r="S652" s="20"/>
      <c r="T652" s="20"/>
      <c r="U652" s="20"/>
      <c r="V652" s="20"/>
      <c r="W652" s="20"/>
      <c r="X652" s="20"/>
      <c r="Y652" s="20"/>
      <c r="Z652" s="20"/>
      <c r="AA652" s="20"/>
      <c r="AB652" s="20"/>
      <c r="AC652" s="20"/>
      <c r="AD652" s="20"/>
      <c r="AE652" s="20"/>
      <c r="AF652" s="20"/>
      <c r="AG652" s="20"/>
      <c r="AH652" s="20"/>
      <c r="AI652" s="20"/>
      <c r="AJ652" s="20"/>
      <c r="AK652" s="20"/>
      <c r="AL652" s="20"/>
      <c r="AM652" s="20"/>
      <c r="AN652" s="20"/>
      <c r="AO652" s="20"/>
      <c r="AP652" s="20"/>
      <c r="AQ652" s="20"/>
      <c r="AR652" s="20"/>
      <c r="AS652" s="20"/>
      <c r="AT652" s="20"/>
      <c r="AU652" s="20"/>
      <c r="AV652" s="20"/>
      <c r="AW652" s="20"/>
      <c r="AX652" s="20"/>
      <c r="AY652" s="20"/>
      <c r="AZ652" s="20"/>
      <c r="BA652" s="20"/>
      <c r="BB652" s="20"/>
      <c r="BC652" s="20"/>
    </row>
    <row r="653" ht="13.5" customHeight="1" spans="1:55">
      <c r="A653" s="20"/>
      <c r="B653" s="20"/>
      <c r="C653" s="20"/>
      <c r="D653" s="20"/>
      <c r="E653" s="20"/>
      <c r="F653" s="20"/>
      <c r="G653" s="52"/>
      <c r="H653" s="20"/>
      <c r="I653" s="20"/>
      <c r="J653" s="20"/>
      <c r="K653" s="20"/>
      <c r="L653" s="20"/>
      <c r="M653" s="20"/>
      <c r="N653" s="20"/>
      <c r="O653" s="20"/>
      <c r="P653" s="20"/>
      <c r="Q653" s="20"/>
      <c r="R653" s="20"/>
      <c r="S653" s="20"/>
      <c r="T653" s="20"/>
      <c r="U653" s="20"/>
      <c r="V653" s="20"/>
      <c r="W653" s="20"/>
      <c r="X653" s="20"/>
      <c r="Y653" s="20"/>
      <c r="Z653" s="20"/>
      <c r="AA653" s="20"/>
      <c r="AB653" s="20"/>
      <c r="AC653" s="20"/>
      <c r="AD653" s="20"/>
      <c r="AE653" s="20"/>
      <c r="AF653" s="20"/>
      <c r="AG653" s="20"/>
      <c r="AH653" s="20"/>
      <c r="AI653" s="20"/>
      <c r="AJ653" s="20"/>
      <c r="AK653" s="20"/>
      <c r="AL653" s="20"/>
      <c r="AM653" s="20"/>
      <c r="AN653" s="20"/>
      <c r="AO653" s="20"/>
      <c r="AP653" s="20"/>
      <c r="AQ653" s="20"/>
      <c r="AR653" s="20"/>
      <c r="AS653" s="20"/>
      <c r="AT653" s="20"/>
      <c r="AU653" s="20"/>
      <c r="AV653" s="20"/>
      <c r="AW653" s="20"/>
      <c r="AX653" s="20"/>
      <c r="AY653" s="20"/>
      <c r="AZ653" s="20"/>
      <c r="BA653" s="20"/>
      <c r="BB653" s="20"/>
      <c r="BC653" s="20"/>
    </row>
    <row r="654" ht="13.5" customHeight="1" spans="1:55">
      <c r="A654" s="20"/>
      <c r="B654" s="20"/>
      <c r="C654" s="20"/>
      <c r="D654" s="20"/>
      <c r="E654" s="20"/>
      <c r="F654" s="20"/>
      <c r="G654" s="52"/>
      <c r="H654" s="20"/>
      <c r="I654" s="20"/>
      <c r="J654" s="20"/>
      <c r="K654" s="20"/>
      <c r="L654" s="20"/>
      <c r="M654" s="20"/>
      <c r="N654" s="20"/>
      <c r="O654" s="20"/>
      <c r="P654" s="20"/>
      <c r="Q654" s="20"/>
      <c r="R654" s="20"/>
      <c r="S654" s="20"/>
      <c r="T654" s="20"/>
      <c r="U654" s="20"/>
      <c r="V654" s="20"/>
      <c r="W654" s="20"/>
      <c r="X654" s="20"/>
      <c r="Y654" s="20"/>
      <c r="Z654" s="20"/>
      <c r="AA654" s="20"/>
      <c r="AB654" s="20"/>
      <c r="AC654" s="20"/>
      <c r="AD654" s="20"/>
      <c r="AE654" s="20"/>
      <c r="AF654" s="20"/>
      <c r="AG654" s="20"/>
      <c r="AH654" s="20"/>
      <c r="AI654" s="20"/>
      <c r="AJ654" s="20"/>
      <c r="AK654" s="20"/>
      <c r="AL654" s="20"/>
      <c r="AM654" s="20"/>
      <c r="AN654" s="20"/>
      <c r="AO654" s="20"/>
      <c r="AP654" s="20"/>
      <c r="AQ654" s="20"/>
      <c r="AR654" s="20"/>
      <c r="AS654" s="20"/>
      <c r="AT654" s="20"/>
      <c r="AU654" s="20"/>
      <c r="AV654" s="20"/>
      <c r="AW654" s="20"/>
      <c r="AX654" s="20"/>
      <c r="AY654" s="20"/>
      <c r="AZ654" s="20"/>
      <c r="BA654" s="20"/>
      <c r="BB654" s="20"/>
      <c r="BC654" s="20"/>
    </row>
    <row r="655" ht="13.5" customHeight="1" spans="1:55">
      <c r="A655" s="20"/>
      <c r="B655" s="20"/>
      <c r="C655" s="20"/>
      <c r="D655" s="20"/>
      <c r="E655" s="20"/>
      <c r="F655" s="20"/>
      <c r="G655" s="52"/>
      <c r="H655" s="20"/>
      <c r="I655" s="20"/>
      <c r="J655" s="20"/>
      <c r="K655" s="20"/>
      <c r="L655" s="20"/>
      <c r="M655" s="20"/>
      <c r="N655" s="20"/>
      <c r="O655" s="20"/>
      <c r="P655" s="20"/>
      <c r="Q655" s="20"/>
      <c r="R655" s="20"/>
      <c r="S655" s="20"/>
      <c r="T655" s="20"/>
      <c r="U655" s="20"/>
      <c r="V655" s="20"/>
      <c r="W655" s="20"/>
      <c r="X655" s="20"/>
      <c r="Y655" s="20"/>
      <c r="Z655" s="20"/>
      <c r="AA655" s="20"/>
      <c r="AB655" s="20"/>
      <c r="AC655" s="20"/>
      <c r="AD655" s="20"/>
      <c r="AE655" s="20"/>
      <c r="AF655" s="20"/>
      <c r="AG655" s="20"/>
      <c r="AH655" s="20"/>
      <c r="AI655" s="20"/>
      <c r="AJ655" s="20"/>
      <c r="AK655" s="20"/>
      <c r="AL655" s="20"/>
      <c r="AM655" s="20"/>
      <c r="AN655" s="20"/>
      <c r="AO655" s="20"/>
      <c r="AP655" s="20"/>
      <c r="AQ655" s="20"/>
      <c r="AR655" s="20"/>
      <c r="AS655" s="20"/>
      <c r="AT655" s="20"/>
      <c r="AU655" s="20"/>
      <c r="AV655" s="20"/>
      <c r="AW655" s="20"/>
      <c r="AX655" s="20"/>
      <c r="AY655" s="20"/>
      <c r="AZ655" s="20"/>
      <c r="BA655" s="20"/>
      <c r="BB655" s="20"/>
      <c r="BC655" s="20"/>
    </row>
    <row r="656" ht="13.5" customHeight="1" spans="1:55">
      <c r="A656" s="20"/>
      <c r="B656" s="20"/>
      <c r="C656" s="20"/>
      <c r="D656" s="20"/>
      <c r="E656" s="20"/>
      <c r="F656" s="20"/>
      <c r="G656" s="52"/>
      <c r="H656" s="20"/>
      <c r="I656" s="20"/>
      <c r="J656" s="20"/>
      <c r="K656" s="20"/>
      <c r="L656" s="20"/>
      <c r="M656" s="20"/>
      <c r="N656" s="20"/>
      <c r="O656" s="20"/>
      <c r="P656" s="20"/>
      <c r="Q656" s="20"/>
      <c r="R656" s="20"/>
      <c r="S656" s="20"/>
      <c r="T656" s="20"/>
      <c r="U656" s="20"/>
      <c r="V656" s="20"/>
      <c r="W656" s="20"/>
      <c r="X656" s="20"/>
      <c r="Y656" s="20"/>
      <c r="Z656" s="20"/>
      <c r="AA656" s="20"/>
      <c r="AB656" s="20"/>
      <c r="AC656" s="20"/>
      <c r="AD656" s="20"/>
      <c r="AE656" s="20"/>
      <c r="AF656" s="20"/>
      <c r="AG656" s="20"/>
      <c r="AH656" s="20"/>
      <c r="AI656" s="20"/>
      <c r="AJ656" s="20"/>
      <c r="AK656" s="20"/>
      <c r="AL656" s="20"/>
      <c r="AM656" s="20"/>
      <c r="AN656" s="20"/>
      <c r="AO656" s="20"/>
      <c r="AP656" s="20"/>
      <c r="AQ656" s="20"/>
      <c r="AR656" s="20"/>
      <c r="AS656" s="20"/>
      <c r="AT656" s="20"/>
      <c r="AU656" s="20"/>
      <c r="AV656" s="20"/>
      <c r="AW656" s="20"/>
      <c r="AX656" s="20"/>
      <c r="AY656" s="20"/>
      <c r="AZ656" s="20"/>
      <c r="BA656" s="20"/>
      <c r="BB656" s="20"/>
      <c r="BC656" s="20"/>
    </row>
    <row r="657" ht="13.5" customHeight="1" spans="1:55">
      <c r="A657" s="20"/>
      <c r="B657" s="20"/>
      <c r="C657" s="20"/>
      <c r="D657" s="20"/>
      <c r="E657" s="20"/>
      <c r="F657" s="20"/>
      <c r="G657" s="52"/>
      <c r="H657" s="20"/>
      <c r="I657" s="20"/>
      <c r="J657" s="20"/>
      <c r="K657" s="20"/>
      <c r="L657" s="20"/>
      <c r="M657" s="20"/>
      <c r="N657" s="20"/>
      <c r="O657" s="20"/>
      <c r="P657" s="20"/>
      <c r="Q657" s="20"/>
      <c r="R657" s="20"/>
      <c r="S657" s="20"/>
      <c r="T657" s="20"/>
      <c r="U657" s="20"/>
      <c r="V657" s="20"/>
      <c r="W657" s="20"/>
      <c r="X657" s="20"/>
      <c r="Y657" s="20"/>
      <c r="Z657" s="20"/>
      <c r="AA657" s="20"/>
      <c r="AB657" s="20"/>
      <c r="AC657" s="20"/>
      <c r="AD657" s="20"/>
      <c r="AE657" s="20"/>
      <c r="AF657" s="20"/>
      <c r="AG657" s="20"/>
      <c r="AH657" s="20"/>
      <c r="AI657" s="20"/>
      <c r="AJ657" s="20"/>
      <c r="AK657" s="20"/>
      <c r="AL657" s="20"/>
      <c r="AM657" s="20"/>
      <c r="AN657" s="20"/>
      <c r="AO657" s="20"/>
      <c r="AP657" s="20"/>
      <c r="AQ657" s="20"/>
      <c r="AR657" s="20"/>
      <c r="AS657" s="20"/>
      <c r="AT657" s="20"/>
      <c r="AU657" s="20"/>
      <c r="AV657" s="20"/>
      <c r="AW657" s="20"/>
      <c r="AX657" s="20"/>
      <c r="AY657" s="20"/>
      <c r="AZ657" s="20"/>
      <c r="BA657" s="20"/>
      <c r="BB657" s="20"/>
      <c r="BC657" s="20"/>
    </row>
    <row r="658" ht="13.5" customHeight="1" spans="1:55">
      <c r="A658" s="20"/>
      <c r="B658" s="20"/>
      <c r="C658" s="20"/>
      <c r="D658" s="20"/>
      <c r="E658" s="20"/>
      <c r="F658" s="20"/>
      <c r="G658" s="52"/>
      <c r="H658" s="20"/>
      <c r="I658" s="20"/>
      <c r="J658" s="20"/>
      <c r="K658" s="20"/>
      <c r="L658" s="20"/>
      <c r="M658" s="20"/>
      <c r="N658" s="20"/>
      <c r="O658" s="20"/>
      <c r="P658" s="20"/>
      <c r="Q658" s="20"/>
      <c r="R658" s="20"/>
      <c r="S658" s="20"/>
      <c r="T658" s="20"/>
      <c r="U658" s="20"/>
      <c r="V658" s="20"/>
      <c r="W658" s="20"/>
      <c r="X658" s="20"/>
      <c r="Y658" s="20"/>
      <c r="Z658" s="20"/>
      <c r="AA658" s="20"/>
      <c r="AB658" s="20"/>
      <c r="AC658" s="20"/>
      <c r="AD658" s="20"/>
      <c r="AE658" s="20"/>
      <c r="AF658" s="20"/>
      <c r="AG658" s="20"/>
      <c r="AH658" s="20"/>
      <c r="AI658" s="20"/>
      <c r="AJ658" s="20"/>
      <c r="AK658" s="20"/>
      <c r="AL658" s="20"/>
      <c r="AM658" s="20"/>
      <c r="AN658" s="20"/>
      <c r="AO658" s="20"/>
      <c r="AP658" s="20"/>
      <c r="AQ658" s="20"/>
      <c r="AR658" s="20"/>
      <c r="AS658" s="20"/>
      <c r="AT658" s="20"/>
      <c r="AU658" s="20"/>
      <c r="AV658" s="20"/>
      <c r="AW658" s="20"/>
      <c r="AX658" s="20"/>
      <c r="AY658" s="20"/>
      <c r="AZ658" s="20"/>
      <c r="BA658" s="20"/>
      <c r="BB658" s="20"/>
      <c r="BC658" s="20"/>
    </row>
    <row r="659" ht="13.5" customHeight="1" spans="1:55">
      <c r="A659" s="20"/>
      <c r="B659" s="20"/>
      <c r="C659" s="20"/>
      <c r="D659" s="20"/>
      <c r="E659" s="20"/>
      <c r="F659" s="20"/>
      <c r="G659" s="52"/>
      <c r="H659" s="20"/>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row>
    <row r="660" ht="13.5" customHeight="1" spans="1:55">
      <c r="A660" s="20"/>
      <c r="B660" s="20"/>
      <c r="C660" s="20"/>
      <c r="D660" s="20"/>
      <c r="E660" s="20"/>
      <c r="F660" s="20"/>
      <c r="G660" s="52"/>
      <c r="H660" s="20"/>
      <c r="I660" s="20"/>
      <c r="J660" s="20"/>
      <c r="K660" s="20"/>
      <c r="L660" s="20"/>
      <c r="M660" s="20"/>
      <c r="N660" s="20"/>
      <c r="O660" s="20"/>
      <c r="P660" s="20"/>
      <c r="Q660" s="20"/>
      <c r="R660" s="20"/>
      <c r="S660" s="20"/>
      <c r="T660" s="20"/>
      <c r="U660" s="20"/>
      <c r="V660" s="20"/>
      <c r="W660" s="20"/>
      <c r="X660" s="20"/>
      <c r="Y660" s="20"/>
      <c r="Z660" s="20"/>
      <c r="AA660" s="20"/>
      <c r="AB660" s="20"/>
      <c r="AC660" s="20"/>
      <c r="AD660" s="20"/>
      <c r="AE660" s="20"/>
      <c r="AF660" s="20"/>
      <c r="AG660" s="20"/>
      <c r="AH660" s="20"/>
      <c r="AI660" s="20"/>
      <c r="AJ660" s="20"/>
      <c r="AK660" s="20"/>
      <c r="AL660" s="20"/>
      <c r="AM660" s="20"/>
      <c r="AN660" s="20"/>
      <c r="AO660" s="20"/>
      <c r="AP660" s="20"/>
      <c r="AQ660" s="20"/>
      <c r="AR660" s="20"/>
      <c r="AS660" s="20"/>
      <c r="AT660" s="20"/>
      <c r="AU660" s="20"/>
      <c r="AV660" s="20"/>
      <c r="AW660" s="20"/>
      <c r="AX660" s="20"/>
      <c r="AY660" s="20"/>
      <c r="AZ660" s="20"/>
      <c r="BA660" s="20"/>
      <c r="BB660" s="20"/>
      <c r="BC660" s="20"/>
    </row>
    <row r="661" ht="13.5" customHeight="1" spans="1:55">
      <c r="A661" s="20"/>
      <c r="B661" s="20"/>
      <c r="C661" s="20"/>
      <c r="D661" s="20"/>
      <c r="E661" s="20"/>
      <c r="F661" s="20"/>
      <c r="G661" s="52"/>
      <c r="H661" s="20"/>
      <c r="I661" s="20"/>
      <c r="J661" s="20"/>
      <c r="K661" s="20"/>
      <c r="L661" s="20"/>
      <c r="M661" s="20"/>
      <c r="N661" s="20"/>
      <c r="O661" s="20"/>
      <c r="P661" s="20"/>
      <c r="Q661" s="20"/>
      <c r="R661" s="20"/>
      <c r="S661" s="20"/>
      <c r="T661" s="20"/>
      <c r="U661" s="20"/>
      <c r="V661" s="20"/>
      <c r="W661" s="20"/>
      <c r="X661" s="20"/>
      <c r="Y661" s="20"/>
      <c r="Z661" s="20"/>
      <c r="AA661" s="20"/>
      <c r="AB661" s="20"/>
      <c r="AC661" s="20"/>
      <c r="AD661" s="20"/>
      <c r="AE661" s="20"/>
      <c r="AF661" s="20"/>
      <c r="AG661" s="20"/>
      <c r="AH661" s="20"/>
      <c r="AI661" s="20"/>
      <c r="AJ661" s="20"/>
      <c r="AK661" s="20"/>
      <c r="AL661" s="20"/>
      <c r="AM661" s="20"/>
      <c r="AN661" s="20"/>
      <c r="AO661" s="20"/>
      <c r="AP661" s="20"/>
      <c r="AQ661" s="20"/>
      <c r="AR661" s="20"/>
      <c r="AS661" s="20"/>
      <c r="AT661" s="20"/>
      <c r="AU661" s="20"/>
      <c r="AV661" s="20"/>
      <c r="AW661" s="20"/>
      <c r="AX661" s="20"/>
      <c r="AY661" s="20"/>
      <c r="AZ661" s="20"/>
      <c r="BA661" s="20"/>
      <c r="BB661" s="20"/>
      <c r="BC661" s="20"/>
    </row>
    <row r="662" ht="13.5" customHeight="1" spans="1:55">
      <c r="A662" s="20"/>
      <c r="B662" s="20"/>
      <c r="C662" s="20"/>
      <c r="D662" s="20"/>
      <c r="E662" s="20"/>
      <c r="F662" s="20"/>
      <c r="G662" s="52"/>
      <c r="H662" s="20"/>
      <c r="I662" s="20"/>
      <c r="J662" s="20"/>
      <c r="K662" s="20"/>
      <c r="L662" s="20"/>
      <c r="M662" s="20"/>
      <c r="N662" s="20"/>
      <c r="O662" s="20"/>
      <c r="P662" s="20"/>
      <c r="Q662" s="20"/>
      <c r="R662" s="20"/>
      <c r="S662" s="20"/>
      <c r="T662" s="20"/>
      <c r="U662" s="20"/>
      <c r="V662" s="20"/>
      <c r="W662" s="20"/>
      <c r="X662" s="20"/>
      <c r="Y662" s="20"/>
      <c r="Z662" s="20"/>
      <c r="AA662" s="20"/>
      <c r="AB662" s="20"/>
      <c r="AC662" s="20"/>
      <c r="AD662" s="20"/>
      <c r="AE662" s="20"/>
      <c r="AF662" s="20"/>
      <c r="AG662" s="20"/>
      <c r="AH662" s="20"/>
      <c r="AI662" s="20"/>
      <c r="AJ662" s="20"/>
      <c r="AK662" s="20"/>
      <c r="AL662" s="20"/>
      <c r="AM662" s="20"/>
      <c r="AN662" s="20"/>
      <c r="AO662" s="20"/>
      <c r="AP662" s="20"/>
      <c r="AQ662" s="20"/>
      <c r="AR662" s="20"/>
      <c r="AS662" s="20"/>
      <c r="AT662" s="20"/>
      <c r="AU662" s="20"/>
      <c r="AV662" s="20"/>
      <c r="AW662" s="20"/>
      <c r="AX662" s="20"/>
      <c r="AY662" s="20"/>
      <c r="AZ662" s="20"/>
      <c r="BA662" s="20"/>
      <c r="BB662" s="20"/>
      <c r="BC662" s="20"/>
    </row>
    <row r="663" ht="13.5" customHeight="1" spans="1:55">
      <c r="A663" s="20"/>
      <c r="B663" s="20"/>
      <c r="C663" s="20"/>
      <c r="D663" s="20"/>
      <c r="E663" s="20"/>
      <c r="F663" s="20"/>
      <c r="G663" s="52"/>
      <c r="H663" s="20"/>
      <c r="I663" s="20"/>
      <c r="J663" s="20"/>
      <c r="K663" s="20"/>
      <c r="L663" s="20"/>
      <c r="M663" s="20"/>
      <c r="N663" s="20"/>
      <c r="O663" s="20"/>
      <c r="P663" s="20"/>
      <c r="Q663" s="20"/>
      <c r="R663" s="20"/>
      <c r="S663" s="20"/>
      <c r="T663" s="20"/>
      <c r="U663" s="20"/>
      <c r="V663" s="20"/>
      <c r="W663" s="20"/>
      <c r="X663" s="20"/>
      <c r="Y663" s="20"/>
      <c r="Z663" s="20"/>
      <c r="AA663" s="20"/>
      <c r="AB663" s="20"/>
      <c r="AC663" s="20"/>
      <c r="AD663" s="20"/>
      <c r="AE663" s="20"/>
      <c r="AF663" s="20"/>
      <c r="AG663" s="20"/>
      <c r="AH663" s="20"/>
      <c r="AI663" s="20"/>
      <c r="AJ663" s="20"/>
      <c r="AK663" s="20"/>
      <c r="AL663" s="20"/>
      <c r="AM663" s="20"/>
      <c r="AN663" s="20"/>
      <c r="AO663" s="20"/>
      <c r="AP663" s="20"/>
      <c r="AQ663" s="20"/>
      <c r="AR663" s="20"/>
      <c r="AS663" s="20"/>
      <c r="AT663" s="20"/>
      <c r="AU663" s="20"/>
      <c r="AV663" s="20"/>
      <c r="AW663" s="20"/>
      <c r="AX663" s="20"/>
      <c r="AY663" s="20"/>
      <c r="AZ663" s="20"/>
      <c r="BA663" s="20"/>
      <c r="BB663" s="20"/>
      <c r="BC663" s="20"/>
    </row>
    <row r="664" ht="13.5" customHeight="1" spans="1:55">
      <c r="A664" s="20"/>
      <c r="B664" s="20"/>
      <c r="C664" s="20"/>
      <c r="D664" s="20"/>
      <c r="E664" s="20"/>
      <c r="F664" s="20"/>
      <c r="G664" s="52"/>
      <c r="H664" s="20"/>
      <c r="I664" s="20"/>
      <c r="J664" s="20"/>
      <c r="K664" s="20"/>
      <c r="L664" s="20"/>
      <c r="M664" s="20"/>
      <c r="N664" s="20"/>
      <c r="O664" s="20"/>
      <c r="P664" s="20"/>
      <c r="Q664" s="20"/>
      <c r="R664" s="20"/>
      <c r="S664" s="20"/>
      <c r="T664" s="20"/>
      <c r="U664" s="20"/>
      <c r="V664" s="20"/>
      <c r="W664" s="20"/>
      <c r="X664" s="20"/>
      <c r="Y664" s="20"/>
      <c r="Z664" s="20"/>
      <c r="AA664" s="20"/>
      <c r="AB664" s="20"/>
      <c r="AC664" s="20"/>
      <c r="AD664" s="20"/>
      <c r="AE664" s="20"/>
      <c r="AF664" s="20"/>
      <c r="AG664" s="20"/>
      <c r="AH664" s="20"/>
      <c r="AI664" s="20"/>
      <c r="AJ664" s="20"/>
      <c r="AK664" s="20"/>
      <c r="AL664" s="20"/>
      <c r="AM664" s="20"/>
      <c r="AN664" s="20"/>
      <c r="AO664" s="20"/>
      <c r="AP664" s="20"/>
      <c r="AQ664" s="20"/>
      <c r="AR664" s="20"/>
      <c r="AS664" s="20"/>
      <c r="AT664" s="20"/>
      <c r="AU664" s="20"/>
      <c r="AV664" s="20"/>
      <c r="AW664" s="20"/>
      <c r="AX664" s="20"/>
      <c r="AY664" s="20"/>
      <c r="AZ664" s="20"/>
      <c r="BA664" s="20"/>
      <c r="BB664" s="20"/>
      <c r="BC664" s="20"/>
    </row>
    <row r="665" ht="13.5" customHeight="1" spans="1:55">
      <c r="A665" s="20"/>
      <c r="B665" s="20"/>
      <c r="C665" s="20"/>
      <c r="D665" s="20"/>
      <c r="E665" s="20"/>
      <c r="F665" s="20"/>
      <c r="G665" s="52"/>
      <c r="H665" s="20"/>
      <c r="I665" s="20"/>
      <c r="J665" s="20"/>
      <c r="K665" s="20"/>
      <c r="L665" s="20"/>
      <c r="M665" s="20"/>
      <c r="N665" s="20"/>
      <c r="O665" s="20"/>
      <c r="P665" s="20"/>
      <c r="Q665" s="20"/>
      <c r="R665" s="20"/>
      <c r="S665" s="20"/>
      <c r="T665" s="20"/>
      <c r="U665" s="20"/>
      <c r="V665" s="20"/>
      <c r="W665" s="20"/>
      <c r="X665" s="20"/>
      <c r="Y665" s="20"/>
      <c r="Z665" s="20"/>
      <c r="AA665" s="20"/>
      <c r="AB665" s="20"/>
      <c r="AC665" s="20"/>
      <c r="AD665" s="20"/>
      <c r="AE665" s="20"/>
      <c r="AF665" s="20"/>
      <c r="AG665" s="20"/>
      <c r="AH665" s="20"/>
      <c r="AI665" s="20"/>
      <c r="AJ665" s="20"/>
      <c r="AK665" s="20"/>
      <c r="AL665" s="20"/>
      <c r="AM665" s="20"/>
      <c r="AN665" s="20"/>
      <c r="AO665" s="20"/>
      <c r="AP665" s="20"/>
      <c r="AQ665" s="20"/>
      <c r="AR665" s="20"/>
      <c r="AS665" s="20"/>
      <c r="AT665" s="20"/>
      <c r="AU665" s="20"/>
      <c r="AV665" s="20"/>
      <c r="AW665" s="20"/>
      <c r="AX665" s="20"/>
      <c r="AY665" s="20"/>
      <c r="AZ665" s="20"/>
      <c r="BA665" s="20"/>
      <c r="BB665" s="20"/>
      <c r="BC665" s="20"/>
    </row>
    <row r="666" ht="13.5" customHeight="1" spans="1:55">
      <c r="A666" s="20"/>
      <c r="B666" s="20"/>
      <c r="C666" s="20"/>
      <c r="D666" s="20"/>
      <c r="E666" s="20"/>
      <c r="F666" s="20"/>
      <c r="G666" s="52"/>
      <c r="H666" s="20"/>
      <c r="I666" s="20"/>
      <c r="J666" s="20"/>
      <c r="K666" s="20"/>
      <c r="L666" s="20"/>
      <c r="M666" s="20"/>
      <c r="N666" s="20"/>
      <c r="O666" s="20"/>
      <c r="P666" s="20"/>
      <c r="Q666" s="20"/>
      <c r="R666" s="20"/>
      <c r="S666" s="20"/>
      <c r="T666" s="20"/>
      <c r="U666" s="20"/>
      <c r="V666" s="20"/>
      <c r="W666" s="20"/>
      <c r="X666" s="20"/>
      <c r="Y666" s="20"/>
      <c r="Z666" s="20"/>
      <c r="AA666" s="20"/>
      <c r="AB666" s="20"/>
      <c r="AC666" s="20"/>
      <c r="AD666" s="20"/>
      <c r="AE666" s="20"/>
      <c r="AF666" s="20"/>
      <c r="AG666" s="20"/>
      <c r="AH666" s="20"/>
      <c r="AI666" s="20"/>
      <c r="AJ666" s="20"/>
      <c r="AK666" s="20"/>
      <c r="AL666" s="20"/>
      <c r="AM666" s="20"/>
      <c r="AN666" s="20"/>
      <c r="AO666" s="20"/>
      <c r="AP666" s="20"/>
      <c r="AQ666" s="20"/>
      <c r="AR666" s="20"/>
      <c r="AS666" s="20"/>
      <c r="AT666" s="20"/>
      <c r="AU666" s="20"/>
      <c r="AV666" s="20"/>
      <c r="AW666" s="20"/>
      <c r="AX666" s="20"/>
      <c r="AY666" s="20"/>
      <c r="AZ666" s="20"/>
      <c r="BA666" s="20"/>
      <c r="BB666" s="20"/>
      <c r="BC666" s="20"/>
    </row>
    <row r="667" ht="13.5" customHeight="1" spans="1:55">
      <c r="A667" s="20"/>
      <c r="B667" s="20"/>
      <c r="C667" s="20"/>
      <c r="D667" s="20"/>
      <c r="E667" s="20"/>
      <c r="F667" s="20"/>
      <c r="G667" s="52"/>
      <c r="H667" s="20"/>
      <c r="I667" s="20"/>
      <c r="J667" s="20"/>
      <c r="K667" s="20"/>
      <c r="L667" s="20"/>
      <c r="M667" s="20"/>
      <c r="N667" s="20"/>
      <c r="O667" s="20"/>
      <c r="P667" s="20"/>
      <c r="Q667" s="20"/>
      <c r="R667" s="20"/>
      <c r="S667" s="20"/>
      <c r="T667" s="20"/>
      <c r="U667" s="20"/>
      <c r="V667" s="20"/>
      <c r="W667" s="20"/>
      <c r="X667" s="20"/>
      <c r="Y667" s="20"/>
      <c r="Z667" s="20"/>
      <c r="AA667" s="20"/>
      <c r="AB667" s="20"/>
      <c r="AC667" s="20"/>
      <c r="AD667" s="20"/>
      <c r="AE667" s="20"/>
      <c r="AF667" s="20"/>
      <c r="AG667" s="20"/>
      <c r="AH667" s="20"/>
      <c r="AI667" s="20"/>
      <c r="AJ667" s="20"/>
      <c r="AK667" s="20"/>
      <c r="AL667" s="20"/>
      <c r="AM667" s="20"/>
      <c r="AN667" s="20"/>
      <c r="AO667" s="20"/>
      <c r="AP667" s="20"/>
      <c r="AQ667" s="20"/>
      <c r="AR667" s="20"/>
      <c r="AS667" s="20"/>
      <c r="AT667" s="20"/>
      <c r="AU667" s="20"/>
      <c r="AV667" s="20"/>
      <c r="AW667" s="20"/>
      <c r="AX667" s="20"/>
      <c r="AY667" s="20"/>
      <c r="AZ667" s="20"/>
      <c r="BA667" s="20"/>
      <c r="BB667" s="20"/>
      <c r="BC667" s="20"/>
    </row>
    <row r="668" ht="13.5" customHeight="1" spans="1:55">
      <c r="A668" s="20"/>
      <c r="B668" s="20"/>
      <c r="C668" s="20"/>
      <c r="D668" s="20"/>
      <c r="E668" s="20"/>
      <c r="F668" s="20"/>
      <c r="G668" s="52"/>
      <c r="H668" s="20"/>
      <c r="I668" s="20"/>
      <c r="J668" s="20"/>
      <c r="K668" s="20"/>
      <c r="L668" s="20"/>
      <c r="M668" s="20"/>
      <c r="N668" s="20"/>
      <c r="O668" s="20"/>
      <c r="P668" s="20"/>
      <c r="Q668" s="20"/>
      <c r="R668" s="20"/>
      <c r="S668" s="20"/>
      <c r="T668" s="20"/>
      <c r="U668" s="20"/>
      <c r="V668" s="20"/>
      <c r="W668" s="20"/>
      <c r="X668" s="20"/>
      <c r="Y668" s="20"/>
      <c r="Z668" s="20"/>
      <c r="AA668" s="20"/>
      <c r="AB668" s="20"/>
      <c r="AC668" s="20"/>
      <c r="AD668" s="20"/>
      <c r="AE668" s="20"/>
      <c r="AF668" s="20"/>
      <c r="AG668" s="20"/>
      <c r="AH668" s="20"/>
      <c r="AI668" s="20"/>
      <c r="AJ668" s="20"/>
      <c r="AK668" s="20"/>
      <c r="AL668" s="20"/>
      <c r="AM668" s="20"/>
      <c r="AN668" s="20"/>
      <c r="AO668" s="20"/>
      <c r="AP668" s="20"/>
      <c r="AQ668" s="20"/>
      <c r="AR668" s="20"/>
      <c r="AS668" s="20"/>
      <c r="AT668" s="20"/>
      <c r="AU668" s="20"/>
      <c r="AV668" s="20"/>
      <c r="AW668" s="20"/>
      <c r="AX668" s="20"/>
      <c r="AY668" s="20"/>
      <c r="AZ668" s="20"/>
      <c r="BA668" s="20"/>
      <c r="BB668" s="20"/>
      <c r="BC668" s="20"/>
    </row>
    <row r="669" ht="13.5" customHeight="1" spans="1:55">
      <c r="A669" s="20"/>
      <c r="B669" s="20"/>
      <c r="C669" s="20"/>
      <c r="D669" s="20"/>
      <c r="E669" s="20"/>
      <c r="F669" s="20"/>
      <c r="G669" s="52"/>
      <c r="H669" s="20"/>
      <c r="I669" s="20"/>
      <c r="J669" s="20"/>
      <c r="K669" s="20"/>
      <c r="L669" s="20"/>
      <c r="M669" s="20"/>
      <c r="N669" s="20"/>
      <c r="O669" s="20"/>
      <c r="P669" s="20"/>
      <c r="Q669" s="20"/>
      <c r="R669" s="20"/>
      <c r="S669" s="20"/>
      <c r="T669" s="20"/>
      <c r="U669" s="20"/>
      <c r="V669" s="20"/>
      <c r="W669" s="20"/>
      <c r="X669" s="20"/>
      <c r="Y669" s="20"/>
      <c r="Z669" s="20"/>
      <c r="AA669" s="20"/>
      <c r="AB669" s="20"/>
      <c r="AC669" s="20"/>
      <c r="AD669" s="20"/>
      <c r="AE669" s="20"/>
      <c r="AF669" s="20"/>
      <c r="AG669" s="20"/>
      <c r="AH669" s="20"/>
      <c r="AI669" s="20"/>
      <c r="AJ669" s="20"/>
      <c r="AK669" s="20"/>
      <c r="AL669" s="20"/>
      <c r="AM669" s="20"/>
      <c r="AN669" s="20"/>
      <c r="AO669" s="20"/>
      <c r="AP669" s="20"/>
      <c r="AQ669" s="20"/>
      <c r="AR669" s="20"/>
      <c r="AS669" s="20"/>
      <c r="AT669" s="20"/>
      <c r="AU669" s="20"/>
      <c r="AV669" s="20"/>
      <c r="AW669" s="20"/>
      <c r="AX669" s="20"/>
      <c r="AY669" s="20"/>
      <c r="AZ669" s="20"/>
      <c r="BA669" s="20"/>
      <c r="BB669" s="20"/>
      <c r="BC669" s="20"/>
    </row>
    <row r="670" ht="13.5" customHeight="1" spans="1:55">
      <c r="A670" s="20"/>
      <c r="B670" s="20"/>
      <c r="C670" s="20"/>
      <c r="D670" s="20"/>
      <c r="E670" s="20"/>
      <c r="F670" s="20"/>
      <c r="G670" s="52"/>
      <c r="H670" s="20"/>
      <c r="I670" s="20"/>
      <c r="J670" s="20"/>
      <c r="K670" s="20"/>
      <c r="L670" s="20"/>
      <c r="M670" s="20"/>
      <c r="N670" s="20"/>
      <c r="O670" s="20"/>
      <c r="P670" s="20"/>
      <c r="Q670" s="20"/>
      <c r="R670" s="20"/>
      <c r="S670" s="20"/>
      <c r="T670" s="20"/>
      <c r="U670" s="20"/>
      <c r="V670" s="20"/>
      <c r="W670" s="20"/>
      <c r="X670" s="20"/>
      <c r="Y670" s="20"/>
      <c r="Z670" s="20"/>
      <c r="AA670" s="20"/>
      <c r="AB670" s="20"/>
      <c r="AC670" s="20"/>
      <c r="AD670" s="20"/>
      <c r="AE670" s="20"/>
      <c r="AF670" s="20"/>
      <c r="AG670" s="20"/>
      <c r="AH670" s="20"/>
      <c r="AI670" s="20"/>
      <c r="AJ670" s="20"/>
      <c r="AK670" s="20"/>
      <c r="AL670" s="20"/>
      <c r="AM670" s="20"/>
      <c r="AN670" s="20"/>
      <c r="AO670" s="20"/>
      <c r="AP670" s="20"/>
      <c r="AQ670" s="20"/>
      <c r="AR670" s="20"/>
      <c r="AS670" s="20"/>
      <c r="AT670" s="20"/>
      <c r="AU670" s="20"/>
      <c r="AV670" s="20"/>
      <c r="AW670" s="20"/>
      <c r="AX670" s="20"/>
      <c r="AY670" s="20"/>
      <c r="AZ670" s="20"/>
      <c r="BA670" s="20"/>
      <c r="BB670" s="20"/>
      <c r="BC670" s="20"/>
    </row>
    <row r="671" ht="13.5" customHeight="1" spans="1:55">
      <c r="A671" s="20"/>
      <c r="B671" s="20"/>
      <c r="C671" s="20"/>
      <c r="D671" s="20"/>
      <c r="E671" s="20"/>
      <c r="F671" s="20"/>
      <c r="G671" s="52"/>
      <c r="H671" s="20"/>
      <c r="I671" s="20"/>
      <c r="J671" s="20"/>
      <c r="K671" s="20"/>
      <c r="L671" s="20"/>
      <c r="M671" s="20"/>
      <c r="N671" s="20"/>
      <c r="O671" s="20"/>
      <c r="P671" s="20"/>
      <c r="Q671" s="20"/>
      <c r="R671" s="20"/>
      <c r="S671" s="20"/>
      <c r="T671" s="20"/>
      <c r="U671" s="20"/>
      <c r="V671" s="20"/>
      <c r="W671" s="20"/>
      <c r="X671" s="20"/>
      <c r="Y671" s="20"/>
      <c r="Z671" s="20"/>
      <c r="AA671" s="20"/>
      <c r="AB671" s="20"/>
      <c r="AC671" s="20"/>
      <c r="AD671" s="20"/>
      <c r="AE671" s="20"/>
      <c r="AF671" s="20"/>
      <c r="AG671" s="20"/>
      <c r="AH671" s="20"/>
      <c r="AI671" s="20"/>
      <c r="AJ671" s="20"/>
      <c r="AK671" s="20"/>
      <c r="AL671" s="20"/>
      <c r="AM671" s="20"/>
      <c r="AN671" s="20"/>
      <c r="AO671" s="20"/>
      <c r="AP671" s="20"/>
      <c r="AQ671" s="20"/>
      <c r="AR671" s="20"/>
      <c r="AS671" s="20"/>
      <c r="AT671" s="20"/>
      <c r="AU671" s="20"/>
      <c r="AV671" s="20"/>
      <c r="AW671" s="20"/>
      <c r="AX671" s="20"/>
      <c r="AY671" s="20"/>
      <c r="AZ671" s="20"/>
      <c r="BA671" s="20"/>
      <c r="BB671" s="20"/>
      <c r="BC671" s="20"/>
    </row>
    <row r="672" ht="13.5" customHeight="1" spans="1:55">
      <c r="A672" s="20"/>
      <c r="B672" s="20"/>
      <c r="C672" s="20"/>
      <c r="D672" s="20"/>
      <c r="E672" s="20"/>
      <c r="F672" s="20"/>
      <c r="G672" s="52"/>
      <c r="H672" s="20"/>
      <c r="I672" s="20"/>
      <c r="J672" s="20"/>
      <c r="K672" s="20"/>
      <c r="L672" s="20"/>
      <c r="M672" s="20"/>
      <c r="N672" s="20"/>
      <c r="O672" s="20"/>
      <c r="P672" s="20"/>
      <c r="Q672" s="20"/>
      <c r="R672" s="20"/>
      <c r="S672" s="20"/>
      <c r="T672" s="20"/>
      <c r="U672" s="20"/>
      <c r="V672" s="20"/>
      <c r="W672" s="20"/>
      <c r="X672" s="20"/>
      <c r="Y672" s="20"/>
      <c r="Z672" s="20"/>
      <c r="AA672" s="20"/>
      <c r="AB672" s="20"/>
      <c r="AC672" s="20"/>
      <c r="AD672" s="20"/>
      <c r="AE672" s="20"/>
      <c r="AF672" s="20"/>
      <c r="AG672" s="20"/>
      <c r="AH672" s="20"/>
      <c r="AI672" s="20"/>
      <c r="AJ672" s="20"/>
      <c r="AK672" s="20"/>
      <c r="AL672" s="20"/>
      <c r="AM672" s="20"/>
      <c r="AN672" s="20"/>
      <c r="AO672" s="20"/>
      <c r="AP672" s="20"/>
      <c r="AQ672" s="20"/>
      <c r="AR672" s="20"/>
      <c r="AS672" s="20"/>
      <c r="AT672" s="20"/>
      <c r="AU672" s="20"/>
      <c r="AV672" s="20"/>
      <c r="AW672" s="20"/>
      <c r="AX672" s="20"/>
      <c r="AY672" s="20"/>
      <c r="AZ672" s="20"/>
      <c r="BA672" s="20"/>
      <c r="BB672" s="20"/>
      <c r="BC672" s="20"/>
    </row>
    <row r="673" ht="13.5" customHeight="1" spans="1:55">
      <c r="A673" s="20"/>
      <c r="B673" s="20"/>
      <c r="C673" s="20"/>
      <c r="D673" s="20"/>
      <c r="E673" s="20"/>
      <c r="F673" s="20"/>
      <c r="G673" s="52"/>
      <c r="H673" s="20"/>
      <c r="I673" s="20"/>
      <c r="J673" s="20"/>
      <c r="K673" s="20"/>
      <c r="L673" s="20"/>
      <c r="M673" s="20"/>
      <c r="N673" s="20"/>
      <c r="O673" s="20"/>
      <c r="P673" s="20"/>
      <c r="Q673" s="20"/>
      <c r="R673" s="20"/>
      <c r="S673" s="20"/>
      <c r="T673" s="20"/>
      <c r="U673" s="20"/>
      <c r="V673" s="20"/>
      <c r="W673" s="20"/>
      <c r="X673" s="20"/>
      <c r="Y673" s="20"/>
      <c r="Z673" s="20"/>
      <c r="AA673" s="20"/>
      <c r="AB673" s="20"/>
      <c r="AC673" s="20"/>
      <c r="AD673" s="20"/>
      <c r="AE673" s="20"/>
      <c r="AF673" s="20"/>
      <c r="AG673" s="20"/>
      <c r="AH673" s="20"/>
      <c r="AI673" s="20"/>
      <c r="AJ673" s="20"/>
      <c r="AK673" s="20"/>
      <c r="AL673" s="20"/>
      <c r="AM673" s="20"/>
      <c r="AN673" s="20"/>
      <c r="AO673" s="20"/>
      <c r="AP673" s="20"/>
      <c r="AQ673" s="20"/>
      <c r="AR673" s="20"/>
      <c r="AS673" s="20"/>
      <c r="AT673" s="20"/>
      <c r="AU673" s="20"/>
      <c r="AV673" s="20"/>
      <c r="AW673" s="20"/>
      <c r="AX673" s="20"/>
      <c r="AY673" s="20"/>
      <c r="AZ673" s="20"/>
      <c r="BA673" s="20"/>
      <c r="BB673" s="20"/>
      <c r="BC673" s="20"/>
    </row>
    <row r="674" ht="13.5" customHeight="1" spans="1:55">
      <c r="A674" s="20"/>
      <c r="B674" s="20"/>
      <c r="C674" s="20"/>
      <c r="D674" s="20"/>
      <c r="E674" s="20"/>
      <c r="F674" s="20"/>
      <c r="G674" s="52"/>
      <c r="H674" s="20"/>
      <c r="I674" s="20"/>
      <c r="J674" s="20"/>
      <c r="K674" s="20"/>
      <c r="L674" s="20"/>
      <c r="M674" s="20"/>
      <c r="N674" s="20"/>
      <c r="O674" s="20"/>
      <c r="P674" s="20"/>
      <c r="Q674" s="20"/>
      <c r="R674" s="20"/>
      <c r="S674" s="20"/>
      <c r="T674" s="20"/>
      <c r="U674" s="20"/>
      <c r="V674" s="20"/>
      <c r="W674" s="20"/>
      <c r="X674" s="20"/>
      <c r="Y674" s="20"/>
      <c r="Z674" s="20"/>
      <c r="AA674" s="20"/>
      <c r="AB674" s="20"/>
      <c r="AC674" s="20"/>
      <c r="AD674" s="20"/>
      <c r="AE674" s="20"/>
      <c r="AF674" s="20"/>
      <c r="AG674" s="20"/>
      <c r="AH674" s="20"/>
      <c r="AI674" s="20"/>
      <c r="AJ674" s="20"/>
      <c r="AK674" s="20"/>
      <c r="AL674" s="20"/>
      <c r="AM674" s="20"/>
      <c r="AN674" s="20"/>
      <c r="AO674" s="20"/>
      <c r="AP674" s="20"/>
      <c r="AQ674" s="20"/>
      <c r="AR674" s="20"/>
      <c r="AS674" s="20"/>
      <c r="AT674" s="20"/>
      <c r="AU674" s="20"/>
      <c r="AV674" s="20"/>
      <c r="AW674" s="20"/>
      <c r="AX674" s="20"/>
      <c r="AY674" s="20"/>
      <c r="AZ674" s="20"/>
      <c r="BA674" s="20"/>
      <c r="BB674" s="20"/>
      <c r="BC674" s="20"/>
    </row>
    <row r="675" ht="13.5" customHeight="1" spans="1:55">
      <c r="A675" s="20"/>
      <c r="B675" s="20"/>
      <c r="C675" s="20"/>
      <c r="D675" s="20"/>
      <c r="E675" s="20"/>
      <c r="F675" s="20"/>
      <c r="G675" s="52"/>
      <c r="H675" s="20"/>
      <c r="I675" s="20"/>
      <c r="J675" s="20"/>
      <c r="K675" s="20"/>
      <c r="L675" s="20"/>
      <c r="M675" s="20"/>
      <c r="N675" s="20"/>
      <c r="O675" s="20"/>
      <c r="P675" s="20"/>
      <c r="Q675" s="20"/>
      <c r="R675" s="20"/>
      <c r="S675" s="20"/>
      <c r="T675" s="20"/>
      <c r="U675" s="20"/>
      <c r="V675" s="20"/>
      <c r="W675" s="20"/>
      <c r="X675" s="20"/>
      <c r="Y675" s="20"/>
      <c r="Z675" s="20"/>
      <c r="AA675" s="20"/>
      <c r="AB675" s="20"/>
      <c r="AC675" s="20"/>
      <c r="AD675" s="20"/>
      <c r="AE675" s="20"/>
      <c r="AF675" s="20"/>
      <c r="AG675" s="20"/>
      <c r="AH675" s="20"/>
      <c r="AI675" s="20"/>
      <c r="AJ675" s="20"/>
      <c r="AK675" s="20"/>
      <c r="AL675" s="20"/>
      <c r="AM675" s="20"/>
      <c r="AN675" s="20"/>
      <c r="AO675" s="20"/>
      <c r="AP675" s="20"/>
      <c r="AQ675" s="20"/>
      <c r="AR675" s="20"/>
      <c r="AS675" s="20"/>
      <c r="AT675" s="20"/>
      <c r="AU675" s="20"/>
      <c r="AV675" s="20"/>
      <c r="AW675" s="20"/>
      <c r="AX675" s="20"/>
      <c r="AY675" s="20"/>
      <c r="AZ675" s="20"/>
      <c r="BA675" s="20"/>
      <c r="BB675" s="20"/>
      <c r="BC675" s="20"/>
    </row>
    <row r="676" ht="13.5" customHeight="1" spans="1:55">
      <c r="A676" s="20"/>
      <c r="B676" s="20"/>
      <c r="C676" s="20"/>
      <c r="D676" s="20"/>
      <c r="E676" s="20"/>
      <c r="F676" s="20"/>
      <c r="G676" s="52"/>
      <c r="H676" s="20"/>
      <c r="I676" s="20"/>
      <c r="J676" s="20"/>
      <c r="K676" s="20"/>
      <c r="L676" s="20"/>
      <c r="M676" s="20"/>
      <c r="N676" s="20"/>
      <c r="O676" s="20"/>
      <c r="P676" s="20"/>
      <c r="Q676" s="20"/>
      <c r="R676" s="20"/>
      <c r="S676" s="20"/>
      <c r="T676" s="20"/>
      <c r="U676" s="20"/>
      <c r="V676" s="20"/>
      <c r="W676" s="20"/>
      <c r="X676" s="20"/>
      <c r="Y676" s="20"/>
      <c r="Z676" s="20"/>
      <c r="AA676" s="20"/>
      <c r="AB676" s="20"/>
      <c r="AC676" s="20"/>
      <c r="AD676" s="20"/>
      <c r="AE676" s="20"/>
      <c r="AF676" s="20"/>
      <c r="AG676" s="20"/>
      <c r="AH676" s="20"/>
      <c r="AI676" s="20"/>
      <c r="AJ676" s="20"/>
      <c r="AK676" s="20"/>
      <c r="AL676" s="20"/>
      <c r="AM676" s="20"/>
      <c r="AN676" s="20"/>
      <c r="AO676" s="20"/>
      <c r="AP676" s="20"/>
      <c r="AQ676" s="20"/>
      <c r="AR676" s="20"/>
      <c r="AS676" s="20"/>
      <c r="AT676" s="20"/>
      <c r="AU676" s="20"/>
      <c r="AV676" s="20"/>
      <c r="AW676" s="20"/>
      <c r="AX676" s="20"/>
      <c r="AY676" s="20"/>
      <c r="AZ676" s="20"/>
      <c r="BA676" s="20"/>
      <c r="BB676" s="20"/>
      <c r="BC676" s="20"/>
    </row>
    <row r="677" ht="13.5" customHeight="1" spans="1:55">
      <c r="A677" s="20"/>
      <c r="B677" s="20"/>
      <c r="C677" s="20"/>
      <c r="D677" s="20"/>
      <c r="E677" s="20"/>
      <c r="F677" s="20"/>
      <c r="G677" s="52"/>
      <c r="H677" s="20"/>
      <c r="I677" s="20"/>
      <c r="J677" s="20"/>
      <c r="K677" s="20"/>
      <c r="L677" s="20"/>
      <c r="M677" s="20"/>
      <c r="N677" s="20"/>
      <c r="O677" s="20"/>
      <c r="P677" s="20"/>
      <c r="Q677" s="20"/>
      <c r="R677" s="20"/>
      <c r="S677" s="20"/>
      <c r="T677" s="20"/>
      <c r="U677" s="20"/>
      <c r="V677" s="20"/>
      <c r="W677" s="20"/>
      <c r="X677" s="20"/>
      <c r="Y677" s="20"/>
      <c r="Z677" s="20"/>
      <c r="AA677" s="20"/>
      <c r="AB677" s="20"/>
      <c r="AC677" s="20"/>
      <c r="AD677" s="20"/>
      <c r="AE677" s="20"/>
      <c r="AF677" s="20"/>
      <c r="AG677" s="20"/>
      <c r="AH677" s="20"/>
      <c r="AI677" s="20"/>
      <c r="AJ677" s="20"/>
      <c r="AK677" s="20"/>
      <c r="AL677" s="20"/>
      <c r="AM677" s="20"/>
      <c r="AN677" s="20"/>
      <c r="AO677" s="20"/>
      <c r="AP677" s="20"/>
      <c r="AQ677" s="20"/>
      <c r="AR677" s="20"/>
      <c r="AS677" s="20"/>
      <c r="AT677" s="20"/>
      <c r="AU677" s="20"/>
      <c r="AV677" s="20"/>
      <c r="AW677" s="20"/>
      <c r="AX677" s="20"/>
      <c r="AY677" s="20"/>
      <c r="AZ677" s="20"/>
      <c r="BA677" s="20"/>
      <c r="BB677" s="20"/>
      <c r="BC677" s="20"/>
    </row>
    <row r="678" ht="13.5" customHeight="1" spans="1:55">
      <c r="A678" s="20"/>
      <c r="B678" s="20"/>
      <c r="C678" s="20"/>
      <c r="D678" s="20"/>
      <c r="E678" s="20"/>
      <c r="F678" s="20"/>
      <c r="G678" s="52"/>
      <c r="H678" s="20"/>
      <c r="I678" s="20"/>
      <c r="J678" s="20"/>
      <c r="K678" s="20"/>
      <c r="L678" s="20"/>
      <c r="M678" s="20"/>
      <c r="N678" s="20"/>
      <c r="O678" s="20"/>
      <c r="P678" s="20"/>
      <c r="Q678" s="20"/>
      <c r="R678" s="20"/>
      <c r="S678" s="20"/>
      <c r="T678" s="20"/>
      <c r="U678" s="20"/>
      <c r="V678" s="20"/>
      <c r="W678" s="20"/>
      <c r="X678" s="20"/>
      <c r="Y678" s="20"/>
      <c r="Z678" s="20"/>
      <c r="AA678" s="20"/>
      <c r="AB678" s="20"/>
      <c r="AC678" s="20"/>
      <c r="AD678" s="20"/>
      <c r="AE678" s="20"/>
      <c r="AF678" s="20"/>
      <c r="AG678" s="20"/>
      <c r="AH678" s="20"/>
      <c r="AI678" s="20"/>
      <c r="AJ678" s="20"/>
      <c r="AK678" s="20"/>
      <c r="AL678" s="20"/>
      <c r="AM678" s="20"/>
      <c r="AN678" s="20"/>
      <c r="AO678" s="20"/>
      <c r="AP678" s="20"/>
      <c r="AQ678" s="20"/>
      <c r="AR678" s="20"/>
      <c r="AS678" s="20"/>
      <c r="AT678" s="20"/>
      <c r="AU678" s="20"/>
      <c r="AV678" s="20"/>
      <c r="AW678" s="20"/>
      <c r="AX678" s="20"/>
      <c r="AY678" s="20"/>
      <c r="AZ678" s="20"/>
      <c r="BA678" s="20"/>
      <c r="BB678" s="20"/>
      <c r="BC678" s="20"/>
    </row>
    <row r="679" ht="13.5" customHeight="1" spans="1:55">
      <c r="A679" s="20"/>
      <c r="B679" s="20"/>
      <c r="C679" s="20"/>
      <c r="D679" s="20"/>
      <c r="E679" s="20"/>
      <c r="F679" s="20"/>
      <c r="G679" s="52"/>
      <c r="H679" s="20"/>
      <c r="I679" s="20"/>
      <c r="J679" s="20"/>
      <c r="K679" s="20"/>
      <c r="L679" s="20"/>
      <c r="M679" s="20"/>
      <c r="N679" s="20"/>
      <c r="O679" s="20"/>
      <c r="P679" s="20"/>
      <c r="Q679" s="20"/>
      <c r="R679" s="20"/>
      <c r="S679" s="20"/>
      <c r="T679" s="20"/>
      <c r="U679" s="20"/>
      <c r="V679" s="20"/>
      <c r="W679" s="20"/>
      <c r="X679" s="20"/>
      <c r="Y679" s="20"/>
      <c r="Z679" s="20"/>
      <c r="AA679" s="20"/>
      <c r="AB679" s="20"/>
      <c r="AC679" s="20"/>
      <c r="AD679" s="20"/>
      <c r="AE679" s="20"/>
      <c r="AF679" s="20"/>
      <c r="AG679" s="20"/>
      <c r="AH679" s="20"/>
      <c r="AI679" s="20"/>
      <c r="AJ679" s="20"/>
      <c r="AK679" s="20"/>
      <c r="AL679" s="20"/>
      <c r="AM679" s="20"/>
      <c r="AN679" s="20"/>
      <c r="AO679" s="20"/>
      <c r="AP679" s="20"/>
      <c r="AQ679" s="20"/>
      <c r="AR679" s="20"/>
      <c r="AS679" s="20"/>
      <c r="AT679" s="20"/>
      <c r="AU679" s="20"/>
      <c r="AV679" s="20"/>
      <c r="AW679" s="20"/>
      <c r="AX679" s="20"/>
      <c r="AY679" s="20"/>
      <c r="AZ679" s="20"/>
      <c r="BA679" s="20"/>
      <c r="BB679" s="20"/>
      <c r="BC679" s="20"/>
    </row>
    <row r="680" ht="13.5" customHeight="1" spans="1:55">
      <c r="A680" s="20"/>
      <c r="B680" s="20"/>
      <c r="C680" s="20"/>
      <c r="D680" s="20"/>
      <c r="E680" s="20"/>
      <c r="F680" s="20"/>
      <c r="G680" s="52"/>
      <c r="H680" s="20"/>
      <c r="I680" s="20"/>
      <c r="J680" s="20"/>
      <c r="K680" s="20"/>
      <c r="L680" s="20"/>
      <c r="M680" s="20"/>
      <c r="N680" s="20"/>
      <c r="O680" s="20"/>
      <c r="P680" s="20"/>
      <c r="Q680" s="20"/>
      <c r="R680" s="20"/>
      <c r="S680" s="20"/>
      <c r="T680" s="20"/>
      <c r="U680" s="20"/>
      <c r="V680" s="20"/>
      <c r="W680" s="20"/>
      <c r="X680" s="20"/>
      <c r="Y680" s="20"/>
      <c r="Z680" s="20"/>
      <c r="AA680" s="20"/>
      <c r="AB680" s="20"/>
      <c r="AC680" s="20"/>
      <c r="AD680" s="20"/>
      <c r="AE680" s="20"/>
      <c r="AF680" s="20"/>
      <c r="AG680" s="20"/>
      <c r="AH680" s="20"/>
      <c r="AI680" s="20"/>
      <c r="AJ680" s="20"/>
      <c r="AK680" s="20"/>
      <c r="AL680" s="20"/>
      <c r="AM680" s="20"/>
      <c r="AN680" s="20"/>
      <c r="AO680" s="20"/>
      <c r="AP680" s="20"/>
      <c r="AQ680" s="20"/>
      <c r="AR680" s="20"/>
      <c r="AS680" s="20"/>
      <c r="AT680" s="20"/>
      <c r="AU680" s="20"/>
      <c r="AV680" s="20"/>
      <c r="AW680" s="20"/>
      <c r="AX680" s="20"/>
      <c r="AY680" s="20"/>
      <c r="AZ680" s="20"/>
      <c r="BA680" s="20"/>
      <c r="BB680" s="20"/>
      <c r="BC680" s="20"/>
    </row>
    <row r="681" ht="13.5" customHeight="1" spans="1:55">
      <c r="A681" s="20"/>
      <c r="B681" s="20"/>
      <c r="C681" s="20"/>
      <c r="D681" s="20"/>
      <c r="E681" s="20"/>
      <c r="F681" s="20"/>
      <c r="G681" s="52"/>
      <c r="H681" s="20"/>
      <c r="I681" s="20"/>
      <c r="J681" s="20"/>
      <c r="K681" s="20"/>
      <c r="L681" s="20"/>
      <c r="M681" s="20"/>
      <c r="N681" s="20"/>
      <c r="O681" s="20"/>
      <c r="P681" s="20"/>
      <c r="Q681" s="20"/>
      <c r="R681" s="20"/>
      <c r="S681" s="20"/>
      <c r="T681" s="20"/>
      <c r="U681" s="20"/>
      <c r="V681" s="20"/>
      <c r="W681" s="20"/>
      <c r="X681" s="20"/>
      <c r="Y681" s="20"/>
      <c r="Z681" s="20"/>
      <c r="AA681" s="20"/>
      <c r="AB681" s="20"/>
      <c r="AC681" s="20"/>
      <c r="AD681" s="20"/>
      <c r="AE681" s="20"/>
      <c r="AF681" s="20"/>
      <c r="AG681" s="20"/>
      <c r="AH681" s="20"/>
      <c r="AI681" s="20"/>
      <c r="AJ681" s="20"/>
      <c r="AK681" s="20"/>
      <c r="AL681" s="20"/>
      <c r="AM681" s="20"/>
      <c r="AN681" s="20"/>
      <c r="AO681" s="20"/>
      <c r="AP681" s="20"/>
      <c r="AQ681" s="20"/>
      <c r="AR681" s="20"/>
      <c r="AS681" s="20"/>
      <c r="AT681" s="20"/>
      <c r="AU681" s="20"/>
      <c r="AV681" s="20"/>
      <c r="AW681" s="20"/>
      <c r="AX681" s="20"/>
      <c r="AY681" s="20"/>
      <c r="AZ681" s="20"/>
      <c r="BA681" s="20"/>
      <c r="BB681" s="20"/>
      <c r="BC681" s="20"/>
    </row>
    <row r="682" ht="13.5" customHeight="1" spans="1:55">
      <c r="A682" s="20"/>
      <c r="B682" s="20"/>
      <c r="C682" s="20"/>
      <c r="D682" s="20"/>
      <c r="E682" s="20"/>
      <c r="F682" s="20"/>
      <c r="G682" s="52"/>
      <c r="H682" s="20"/>
      <c r="I682" s="20"/>
      <c r="J682" s="20"/>
      <c r="K682" s="20"/>
      <c r="L682" s="20"/>
      <c r="M682" s="20"/>
      <c r="N682" s="20"/>
      <c r="O682" s="20"/>
      <c r="P682" s="20"/>
      <c r="Q682" s="20"/>
      <c r="R682" s="20"/>
      <c r="S682" s="20"/>
      <c r="T682" s="20"/>
      <c r="U682" s="20"/>
      <c r="V682" s="20"/>
      <c r="W682" s="20"/>
      <c r="X682" s="20"/>
      <c r="Y682" s="20"/>
      <c r="Z682" s="20"/>
      <c r="AA682" s="20"/>
      <c r="AB682" s="20"/>
      <c r="AC682" s="20"/>
      <c r="AD682" s="20"/>
      <c r="AE682" s="20"/>
      <c r="AF682" s="20"/>
      <c r="AG682" s="20"/>
      <c r="AH682" s="20"/>
      <c r="AI682" s="20"/>
      <c r="AJ682" s="20"/>
      <c r="AK682" s="20"/>
      <c r="AL682" s="20"/>
      <c r="AM682" s="20"/>
      <c r="AN682" s="20"/>
      <c r="AO682" s="20"/>
      <c r="AP682" s="20"/>
      <c r="AQ682" s="20"/>
      <c r="AR682" s="20"/>
      <c r="AS682" s="20"/>
      <c r="AT682" s="20"/>
      <c r="AU682" s="20"/>
      <c r="AV682" s="20"/>
      <c r="AW682" s="20"/>
      <c r="AX682" s="20"/>
      <c r="AY682" s="20"/>
      <c r="AZ682" s="20"/>
      <c r="BA682" s="20"/>
      <c r="BB682" s="20"/>
      <c r="BC682" s="20"/>
    </row>
    <row r="683" ht="13.5" customHeight="1" spans="1:55">
      <c r="A683" s="20"/>
      <c r="B683" s="20"/>
      <c r="C683" s="20"/>
      <c r="D683" s="20"/>
      <c r="E683" s="20"/>
      <c r="F683" s="20"/>
      <c r="G683" s="52"/>
      <c r="H683" s="20"/>
      <c r="I683" s="20"/>
      <c r="J683" s="20"/>
      <c r="K683" s="20"/>
      <c r="L683" s="20"/>
      <c r="M683" s="20"/>
      <c r="N683" s="20"/>
      <c r="O683" s="20"/>
      <c r="P683" s="20"/>
      <c r="Q683" s="20"/>
      <c r="R683" s="20"/>
      <c r="S683" s="20"/>
      <c r="T683" s="20"/>
      <c r="U683" s="20"/>
      <c r="V683" s="20"/>
      <c r="W683" s="20"/>
      <c r="X683" s="20"/>
      <c r="Y683" s="20"/>
      <c r="Z683" s="20"/>
      <c r="AA683" s="20"/>
      <c r="AB683" s="20"/>
      <c r="AC683" s="20"/>
      <c r="AD683" s="20"/>
      <c r="AE683" s="20"/>
      <c r="AF683" s="20"/>
      <c r="AG683" s="20"/>
      <c r="AH683" s="20"/>
      <c r="AI683" s="20"/>
      <c r="AJ683" s="20"/>
      <c r="AK683" s="20"/>
      <c r="AL683" s="20"/>
      <c r="AM683" s="20"/>
      <c r="AN683" s="20"/>
      <c r="AO683" s="20"/>
      <c r="AP683" s="20"/>
      <c r="AQ683" s="20"/>
      <c r="AR683" s="20"/>
      <c r="AS683" s="20"/>
      <c r="AT683" s="20"/>
      <c r="AU683" s="20"/>
      <c r="AV683" s="20"/>
      <c r="AW683" s="20"/>
      <c r="AX683" s="20"/>
      <c r="AY683" s="20"/>
      <c r="AZ683" s="20"/>
      <c r="BA683" s="20"/>
      <c r="BB683" s="20"/>
      <c r="BC683" s="20"/>
    </row>
    <row r="684" ht="13.5" customHeight="1" spans="1:55">
      <c r="A684" s="20"/>
      <c r="B684" s="20"/>
      <c r="C684" s="20"/>
      <c r="D684" s="20"/>
      <c r="E684" s="20"/>
      <c r="F684" s="20"/>
      <c r="G684" s="52"/>
      <c r="H684" s="20"/>
      <c r="I684" s="20"/>
      <c r="J684" s="20"/>
      <c r="K684" s="20"/>
      <c r="L684" s="20"/>
      <c r="M684" s="20"/>
      <c r="N684" s="20"/>
      <c r="O684" s="20"/>
      <c r="P684" s="20"/>
      <c r="Q684" s="20"/>
      <c r="R684" s="20"/>
      <c r="S684" s="20"/>
      <c r="T684" s="20"/>
      <c r="U684" s="20"/>
      <c r="V684" s="20"/>
      <c r="W684" s="20"/>
      <c r="X684" s="20"/>
      <c r="Y684" s="20"/>
      <c r="Z684" s="20"/>
      <c r="AA684" s="20"/>
      <c r="AB684" s="20"/>
      <c r="AC684" s="20"/>
      <c r="AD684" s="20"/>
      <c r="AE684" s="20"/>
      <c r="AF684" s="20"/>
      <c r="AG684" s="20"/>
      <c r="AH684" s="20"/>
      <c r="AI684" s="20"/>
      <c r="AJ684" s="20"/>
      <c r="AK684" s="20"/>
      <c r="AL684" s="20"/>
      <c r="AM684" s="20"/>
      <c r="AN684" s="20"/>
      <c r="AO684" s="20"/>
      <c r="AP684" s="20"/>
      <c r="AQ684" s="20"/>
      <c r="AR684" s="20"/>
      <c r="AS684" s="20"/>
      <c r="AT684" s="20"/>
      <c r="AU684" s="20"/>
      <c r="AV684" s="20"/>
      <c r="AW684" s="20"/>
      <c r="AX684" s="20"/>
      <c r="AY684" s="20"/>
      <c r="AZ684" s="20"/>
      <c r="BA684" s="20"/>
      <c r="BB684" s="20"/>
      <c r="BC684" s="20"/>
    </row>
    <row r="685" ht="13.5" customHeight="1" spans="1:55">
      <c r="A685" s="20"/>
      <c r="B685" s="20"/>
      <c r="C685" s="20"/>
      <c r="D685" s="20"/>
      <c r="E685" s="20"/>
      <c r="F685" s="20"/>
      <c r="G685" s="52"/>
      <c r="H685" s="20"/>
      <c r="I685" s="20"/>
      <c r="J685" s="20"/>
      <c r="K685" s="20"/>
      <c r="L685" s="20"/>
      <c r="M685" s="20"/>
      <c r="N685" s="20"/>
      <c r="O685" s="20"/>
      <c r="P685" s="20"/>
      <c r="Q685" s="20"/>
      <c r="R685" s="20"/>
      <c r="S685" s="20"/>
      <c r="T685" s="20"/>
      <c r="U685" s="20"/>
      <c r="V685" s="20"/>
      <c r="W685" s="20"/>
      <c r="X685" s="20"/>
      <c r="Y685" s="20"/>
      <c r="Z685" s="20"/>
      <c r="AA685" s="20"/>
      <c r="AB685" s="20"/>
      <c r="AC685" s="20"/>
      <c r="AD685" s="20"/>
      <c r="AE685" s="20"/>
      <c r="AF685" s="20"/>
      <c r="AG685" s="20"/>
      <c r="AH685" s="20"/>
      <c r="AI685" s="20"/>
      <c r="AJ685" s="20"/>
      <c r="AK685" s="20"/>
      <c r="AL685" s="20"/>
      <c r="AM685" s="20"/>
      <c r="AN685" s="20"/>
      <c r="AO685" s="20"/>
      <c r="AP685" s="20"/>
      <c r="AQ685" s="20"/>
      <c r="AR685" s="20"/>
      <c r="AS685" s="20"/>
      <c r="AT685" s="20"/>
      <c r="AU685" s="20"/>
      <c r="AV685" s="20"/>
      <c r="AW685" s="20"/>
      <c r="AX685" s="20"/>
      <c r="AY685" s="20"/>
      <c r="AZ685" s="20"/>
      <c r="BA685" s="20"/>
      <c r="BB685" s="20"/>
      <c r="BC685" s="20"/>
    </row>
    <row r="686" ht="13.5" customHeight="1" spans="1:55">
      <c r="A686" s="20"/>
      <c r="B686" s="20"/>
      <c r="C686" s="20"/>
      <c r="D686" s="20"/>
      <c r="E686" s="20"/>
      <c r="F686" s="20"/>
      <c r="G686" s="52"/>
      <c r="H686" s="20"/>
      <c r="I686" s="20"/>
      <c r="J686" s="20"/>
      <c r="K686" s="20"/>
      <c r="L686" s="20"/>
      <c r="M686" s="20"/>
      <c r="N686" s="20"/>
      <c r="O686" s="20"/>
      <c r="P686" s="20"/>
      <c r="Q686" s="20"/>
      <c r="R686" s="20"/>
      <c r="S686" s="20"/>
      <c r="T686" s="20"/>
      <c r="U686" s="20"/>
      <c r="V686" s="20"/>
      <c r="W686" s="20"/>
      <c r="X686" s="20"/>
      <c r="Y686" s="20"/>
      <c r="Z686" s="20"/>
      <c r="AA686" s="20"/>
      <c r="AB686" s="20"/>
      <c r="AC686" s="20"/>
      <c r="AD686" s="20"/>
      <c r="AE686" s="20"/>
      <c r="AF686" s="20"/>
      <c r="AG686" s="20"/>
      <c r="AH686" s="20"/>
      <c r="AI686" s="20"/>
      <c r="AJ686" s="20"/>
      <c r="AK686" s="20"/>
      <c r="AL686" s="20"/>
      <c r="AM686" s="20"/>
      <c r="AN686" s="20"/>
      <c r="AO686" s="20"/>
      <c r="AP686" s="20"/>
      <c r="AQ686" s="20"/>
      <c r="AR686" s="20"/>
      <c r="AS686" s="20"/>
      <c r="AT686" s="20"/>
      <c r="AU686" s="20"/>
      <c r="AV686" s="20"/>
      <c r="AW686" s="20"/>
      <c r="AX686" s="20"/>
      <c r="AY686" s="20"/>
      <c r="AZ686" s="20"/>
      <c r="BA686" s="20"/>
      <c r="BB686" s="20"/>
      <c r="BC686" s="20"/>
    </row>
    <row r="687" ht="13.5" customHeight="1" spans="1:55">
      <c r="A687" s="20"/>
      <c r="B687" s="20"/>
      <c r="C687" s="20"/>
      <c r="D687" s="20"/>
      <c r="E687" s="20"/>
      <c r="F687" s="20"/>
      <c r="G687" s="52"/>
      <c r="H687" s="20"/>
      <c r="I687" s="20"/>
      <c r="J687" s="20"/>
      <c r="K687" s="20"/>
      <c r="L687" s="20"/>
      <c r="M687" s="20"/>
      <c r="N687" s="20"/>
      <c r="O687" s="20"/>
      <c r="P687" s="20"/>
      <c r="Q687" s="20"/>
      <c r="R687" s="20"/>
      <c r="S687" s="20"/>
      <c r="T687" s="20"/>
      <c r="U687" s="20"/>
      <c r="V687" s="20"/>
      <c r="W687" s="20"/>
      <c r="X687" s="20"/>
      <c r="Y687" s="20"/>
      <c r="Z687" s="20"/>
      <c r="AA687" s="20"/>
      <c r="AB687" s="20"/>
      <c r="AC687" s="20"/>
      <c r="AD687" s="20"/>
      <c r="AE687" s="20"/>
      <c r="AF687" s="20"/>
      <c r="AG687" s="20"/>
      <c r="AH687" s="20"/>
      <c r="AI687" s="20"/>
      <c r="AJ687" s="20"/>
      <c r="AK687" s="20"/>
      <c r="AL687" s="20"/>
      <c r="AM687" s="20"/>
      <c r="AN687" s="20"/>
      <c r="AO687" s="20"/>
      <c r="AP687" s="20"/>
      <c r="AQ687" s="20"/>
      <c r="AR687" s="20"/>
      <c r="AS687" s="20"/>
      <c r="AT687" s="20"/>
      <c r="AU687" s="20"/>
      <c r="AV687" s="20"/>
      <c r="AW687" s="20"/>
      <c r="AX687" s="20"/>
      <c r="AY687" s="20"/>
      <c r="AZ687" s="20"/>
      <c r="BA687" s="20"/>
      <c r="BB687" s="20"/>
      <c r="BC687" s="20"/>
    </row>
    <row r="688" ht="13.5" customHeight="1" spans="1:55">
      <c r="A688" s="20"/>
      <c r="B688" s="20"/>
      <c r="C688" s="20"/>
      <c r="D688" s="20"/>
      <c r="E688" s="20"/>
      <c r="F688" s="20"/>
      <c r="G688" s="52"/>
      <c r="H688" s="20"/>
      <c r="I688" s="20"/>
      <c r="J688" s="20"/>
      <c r="K688" s="20"/>
      <c r="L688" s="20"/>
      <c r="M688" s="20"/>
      <c r="N688" s="20"/>
      <c r="O688" s="20"/>
      <c r="P688" s="20"/>
      <c r="Q688" s="20"/>
      <c r="R688" s="20"/>
      <c r="S688" s="20"/>
      <c r="T688" s="20"/>
      <c r="U688" s="20"/>
      <c r="V688" s="20"/>
      <c r="W688" s="20"/>
      <c r="X688" s="20"/>
      <c r="Y688" s="20"/>
      <c r="Z688" s="20"/>
      <c r="AA688" s="20"/>
      <c r="AB688" s="20"/>
      <c r="AC688" s="20"/>
      <c r="AD688" s="20"/>
      <c r="AE688" s="20"/>
      <c r="AF688" s="20"/>
      <c r="AG688" s="20"/>
      <c r="AH688" s="20"/>
      <c r="AI688" s="20"/>
      <c r="AJ688" s="20"/>
      <c r="AK688" s="20"/>
      <c r="AL688" s="20"/>
      <c r="AM688" s="20"/>
      <c r="AN688" s="20"/>
      <c r="AO688" s="20"/>
      <c r="AP688" s="20"/>
      <c r="AQ688" s="20"/>
      <c r="AR688" s="20"/>
      <c r="AS688" s="20"/>
      <c r="AT688" s="20"/>
      <c r="AU688" s="20"/>
      <c r="AV688" s="20"/>
      <c r="AW688" s="20"/>
      <c r="AX688" s="20"/>
      <c r="AY688" s="20"/>
      <c r="AZ688" s="20"/>
      <c r="BA688" s="20"/>
      <c r="BB688" s="20"/>
      <c r="BC688" s="20"/>
    </row>
    <row r="689" ht="13.5" customHeight="1" spans="1:55">
      <c r="A689" s="20"/>
      <c r="B689" s="20"/>
      <c r="C689" s="20"/>
      <c r="D689" s="20"/>
      <c r="E689" s="20"/>
      <c r="F689" s="20"/>
      <c r="G689" s="52"/>
      <c r="H689" s="20"/>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row>
    <row r="690" ht="13.5" customHeight="1" spans="1:55">
      <c r="A690" s="20"/>
      <c r="B690" s="20"/>
      <c r="C690" s="20"/>
      <c r="D690" s="20"/>
      <c r="E690" s="20"/>
      <c r="F690" s="20"/>
      <c r="G690" s="52"/>
      <c r="H690" s="20"/>
      <c r="I690" s="20"/>
      <c r="J690" s="20"/>
      <c r="K690" s="20"/>
      <c r="L690" s="20"/>
      <c r="M690" s="20"/>
      <c r="N690" s="20"/>
      <c r="O690" s="20"/>
      <c r="P690" s="20"/>
      <c r="Q690" s="20"/>
      <c r="R690" s="20"/>
      <c r="S690" s="20"/>
      <c r="T690" s="20"/>
      <c r="U690" s="20"/>
      <c r="V690" s="20"/>
      <c r="W690" s="20"/>
      <c r="X690" s="20"/>
      <c r="Y690" s="20"/>
      <c r="Z690" s="20"/>
      <c r="AA690" s="20"/>
      <c r="AB690" s="20"/>
      <c r="AC690" s="20"/>
      <c r="AD690" s="20"/>
      <c r="AE690" s="20"/>
      <c r="AF690" s="20"/>
      <c r="AG690" s="20"/>
      <c r="AH690" s="20"/>
      <c r="AI690" s="20"/>
      <c r="AJ690" s="20"/>
      <c r="AK690" s="20"/>
      <c r="AL690" s="20"/>
      <c r="AM690" s="20"/>
      <c r="AN690" s="20"/>
      <c r="AO690" s="20"/>
      <c r="AP690" s="20"/>
      <c r="AQ690" s="20"/>
      <c r="AR690" s="20"/>
      <c r="AS690" s="20"/>
      <c r="AT690" s="20"/>
      <c r="AU690" s="20"/>
      <c r="AV690" s="20"/>
      <c r="AW690" s="20"/>
      <c r="AX690" s="20"/>
      <c r="AY690" s="20"/>
      <c r="AZ690" s="20"/>
      <c r="BA690" s="20"/>
      <c r="BB690" s="20"/>
      <c r="BC690" s="20"/>
    </row>
    <row r="691" ht="13.5" customHeight="1" spans="1:55">
      <c r="A691" s="20"/>
      <c r="B691" s="20"/>
      <c r="C691" s="20"/>
      <c r="D691" s="20"/>
      <c r="E691" s="20"/>
      <c r="F691" s="20"/>
      <c r="G691" s="52"/>
      <c r="H691" s="20"/>
      <c r="I691" s="20"/>
      <c r="J691" s="20"/>
      <c r="K691" s="20"/>
      <c r="L691" s="20"/>
      <c r="M691" s="20"/>
      <c r="N691" s="20"/>
      <c r="O691" s="20"/>
      <c r="P691" s="20"/>
      <c r="Q691" s="20"/>
      <c r="R691" s="20"/>
      <c r="S691" s="20"/>
      <c r="T691" s="20"/>
      <c r="U691" s="20"/>
      <c r="V691" s="20"/>
      <c r="W691" s="20"/>
      <c r="X691" s="20"/>
      <c r="Y691" s="20"/>
      <c r="Z691" s="20"/>
      <c r="AA691" s="20"/>
      <c r="AB691" s="20"/>
      <c r="AC691" s="20"/>
      <c r="AD691" s="20"/>
      <c r="AE691" s="20"/>
      <c r="AF691" s="20"/>
      <c r="AG691" s="20"/>
      <c r="AH691" s="20"/>
      <c r="AI691" s="20"/>
      <c r="AJ691" s="20"/>
      <c r="AK691" s="20"/>
      <c r="AL691" s="20"/>
      <c r="AM691" s="20"/>
      <c r="AN691" s="20"/>
      <c r="AO691" s="20"/>
      <c r="AP691" s="20"/>
      <c r="AQ691" s="20"/>
      <c r="AR691" s="20"/>
      <c r="AS691" s="20"/>
      <c r="AT691" s="20"/>
      <c r="AU691" s="20"/>
      <c r="AV691" s="20"/>
      <c r="AW691" s="20"/>
      <c r="AX691" s="20"/>
      <c r="AY691" s="20"/>
      <c r="AZ691" s="20"/>
      <c r="BA691" s="20"/>
      <c r="BB691" s="20"/>
      <c r="BC691" s="20"/>
    </row>
    <row r="692" ht="13.5" customHeight="1" spans="1:55">
      <c r="A692" s="20"/>
      <c r="B692" s="20"/>
      <c r="C692" s="20"/>
      <c r="D692" s="20"/>
      <c r="E692" s="20"/>
      <c r="F692" s="20"/>
      <c r="G692" s="52"/>
      <c r="H692" s="20"/>
      <c r="I692" s="20"/>
      <c r="J692" s="20"/>
      <c r="K692" s="20"/>
      <c r="L692" s="20"/>
      <c r="M692" s="20"/>
      <c r="N692" s="20"/>
      <c r="O692" s="20"/>
      <c r="P692" s="20"/>
      <c r="Q692" s="20"/>
      <c r="R692" s="20"/>
      <c r="S692" s="20"/>
      <c r="T692" s="20"/>
      <c r="U692" s="20"/>
      <c r="V692" s="20"/>
      <c r="W692" s="20"/>
      <c r="X692" s="20"/>
      <c r="Y692" s="20"/>
      <c r="Z692" s="20"/>
      <c r="AA692" s="20"/>
      <c r="AB692" s="20"/>
      <c r="AC692" s="20"/>
      <c r="AD692" s="20"/>
      <c r="AE692" s="20"/>
      <c r="AF692" s="20"/>
      <c r="AG692" s="20"/>
      <c r="AH692" s="20"/>
      <c r="AI692" s="20"/>
      <c r="AJ692" s="20"/>
      <c r="AK692" s="20"/>
      <c r="AL692" s="20"/>
      <c r="AM692" s="20"/>
      <c r="AN692" s="20"/>
      <c r="AO692" s="20"/>
      <c r="AP692" s="20"/>
      <c r="AQ692" s="20"/>
      <c r="AR692" s="20"/>
      <c r="AS692" s="20"/>
      <c r="AT692" s="20"/>
      <c r="AU692" s="20"/>
      <c r="AV692" s="20"/>
      <c r="AW692" s="20"/>
      <c r="AX692" s="20"/>
      <c r="AY692" s="20"/>
      <c r="AZ692" s="20"/>
      <c r="BA692" s="20"/>
      <c r="BB692" s="20"/>
      <c r="BC692" s="20"/>
    </row>
    <row r="693" ht="13.5" customHeight="1" spans="1:55">
      <c r="A693" s="20"/>
      <c r="B693" s="20"/>
      <c r="C693" s="20"/>
      <c r="D693" s="20"/>
      <c r="E693" s="20"/>
      <c r="F693" s="20"/>
      <c r="G693" s="52"/>
      <c r="H693" s="20"/>
      <c r="I693" s="20"/>
      <c r="J693" s="20"/>
      <c r="K693" s="20"/>
      <c r="L693" s="20"/>
      <c r="M693" s="20"/>
      <c r="N693" s="20"/>
      <c r="O693" s="20"/>
      <c r="P693" s="20"/>
      <c r="Q693" s="20"/>
      <c r="R693" s="20"/>
      <c r="S693" s="20"/>
      <c r="T693" s="20"/>
      <c r="U693" s="20"/>
      <c r="V693" s="20"/>
      <c r="W693" s="20"/>
      <c r="X693" s="20"/>
      <c r="Y693" s="20"/>
      <c r="Z693" s="20"/>
      <c r="AA693" s="20"/>
      <c r="AB693" s="20"/>
      <c r="AC693" s="20"/>
      <c r="AD693" s="20"/>
      <c r="AE693" s="20"/>
      <c r="AF693" s="20"/>
      <c r="AG693" s="20"/>
      <c r="AH693" s="20"/>
      <c r="AI693" s="20"/>
      <c r="AJ693" s="20"/>
      <c r="AK693" s="20"/>
      <c r="AL693" s="20"/>
      <c r="AM693" s="20"/>
      <c r="AN693" s="20"/>
      <c r="AO693" s="20"/>
      <c r="AP693" s="20"/>
      <c r="AQ693" s="20"/>
      <c r="AR693" s="20"/>
      <c r="AS693" s="20"/>
      <c r="AT693" s="20"/>
      <c r="AU693" s="20"/>
      <c r="AV693" s="20"/>
      <c r="AW693" s="20"/>
      <c r="AX693" s="20"/>
      <c r="AY693" s="20"/>
      <c r="AZ693" s="20"/>
      <c r="BA693" s="20"/>
      <c r="BB693" s="20"/>
      <c r="BC693" s="20"/>
    </row>
    <row r="694" ht="13.5" customHeight="1" spans="1:55">
      <c r="A694" s="20"/>
      <c r="B694" s="20"/>
      <c r="C694" s="20"/>
      <c r="D694" s="20"/>
      <c r="E694" s="20"/>
      <c r="F694" s="20"/>
      <c r="G694" s="52"/>
      <c r="H694" s="20"/>
      <c r="I694" s="20"/>
      <c r="J694" s="20"/>
      <c r="K694" s="20"/>
      <c r="L694" s="20"/>
      <c r="M694" s="20"/>
      <c r="N694" s="20"/>
      <c r="O694" s="20"/>
      <c r="P694" s="20"/>
      <c r="Q694" s="20"/>
      <c r="R694" s="20"/>
      <c r="S694" s="20"/>
      <c r="T694" s="20"/>
      <c r="U694" s="20"/>
      <c r="V694" s="20"/>
      <c r="W694" s="20"/>
      <c r="X694" s="20"/>
      <c r="Y694" s="20"/>
      <c r="Z694" s="20"/>
      <c r="AA694" s="20"/>
      <c r="AB694" s="20"/>
      <c r="AC694" s="20"/>
      <c r="AD694" s="20"/>
      <c r="AE694" s="20"/>
      <c r="AF694" s="20"/>
      <c r="AG694" s="20"/>
      <c r="AH694" s="20"/>
      <c r="AI694" s="20"/>
      <c r="AJ694" s="20"/>
      <c r="AK694" s="20"/>
      <c r="AL694" s="20"/>
      <c r="AM694" s="20"/>
      <c r="AN694" s="20"/>
      <c r="AO694" s="20"/>
      <c r="AP694" s="20"/>
      <c r="AQ694" s="20"/>
      <c r="AR694" s="20"/>
      <c r="AS694" s="20"/>
      <c r="AT694" s="20"/>
      <c r="AU694" s="20"/>
      <c r="AV694" s="20"/>
      <c r="AW694" s="20"/>
      <c r="AX694" s="20"/>
      <c r="AY694" s="20"/>
      <c r="AZ694" s="20"/>
      <c r="BA694" s="20"/>
      <c r="BB694" s="20"/>
      <c r="BC694" s="20"/>
    </row>
    <row r="695" ht="13.5" customHeight="1" spans="1:55">
      <c r="A695" s="20"/>
      <c r="B695" s="20"/>
      <c r="C695" s="20"/>
      <c r="D695" s="20"/>
      <c r="E695" s="20"/>
      <c r="F695" s="20"/>
      <c r="G695" s="52"/>
      <c r="H695" s="20"/>
      <c r="I695" s="20"/>
      <c r="J695" s="20"/>
      <c r="K695" s="20"/>
      <c r="L695" s="20"/>
      <c r="M695" s="20"/>
      <c r="N695" s="20"/>
      <c r="O695" s="20"/>
      <c r="P695" s="20"/>
      <c r="Q695" s="20"/>
      <c r="R695" s="20"/>
      <c r="S695" s="20"/>
      <c r="T695" s="20"/>
      <c r="U695" s="20"/>
      <c r="V695" s="20"/>
      <c r="W695" s="20"/>
      <c r="X695" s="20"/>
      <c r="Y695" s="20"/>
      <c r="Z695" s="20"/>
      <c r="AA695" s="20"/>
      <c r="AB695" s="20"/>
      <c r="AC695" s="20"/>
      <c r="AD695" s="20"/>
      <c r="AE695" s="20"/>
      <c r="AF695" s="20"/>
      <c r="AG695" s="20"/>
      <c r="AH695" s="20"/>
      <c r="AI695" s="20"/>
      <c r="AJ695" s="20"/>
      <c r="AK695" s="20"/>
      <c r="AL695" s="20"/>
      <c r="AM695" s="20"/>
      <c r="AN695" s="20"/>
      <c r="AO695" s="20"/>
      <c r="AP695" s="20"/>
      <c r="AQ695" s="20"/>
      <c r="AR695" s="20"/>
      <c r="AS695" s="20"/>
      <c r="AT695" s="20"/>
      <c r="AU695" s="20"/>
      <c r="AV695" s="20"/>
      <c r="AW695" s="20"/>
      <c r="AX695" s="20"/>
      <c r="AY695" s="20"/>
      <c r="AZ695" s="20"/>
      <c r="BA695" s="20"/>
      <c r="BB695" s="20"/>
      <c r="BC695" s="20"/>
    </row>
    <row r="696" ht="13.5" customHeight="1" spans="1:55">
      <c r="A696" s="20"/>
      <c r="B696" s="20"/>
      <c r="C696" s="20"/>
      <c r="D696" s="20"/>
      <c r="E696" s="20"/>
      <c r="F696" s="20"/>
      <c r="G696" s="52"/>
      <c r="H696" s="20"/>
      <c r="I696" s="20"/>
      <c r="J696" s="20"/>
      <c r="K696" s="20"/>
      <c r="L696" s="20"/>
      <c r="M696" s="20"/>
      <c r="N696" s="20"/>
      <c r="O696" s="20"/>
      <c r="P696" s="20"/>
      <c r="Q696" s="20"/>
      <c r="R696" s="20"/>
      <c r="S696" s="20"/>
      <c r="T696" s="20"/>
      <c r="U696" s="20"/>
      <c r="V696" s="20"/>
      <c r="W696" s="20"/>
      <c r="X696" s="20"/>
      <c r="Y696" s="20"/>
      <c r="Z696" s="20"/>
      <c r="AA696" s="20"/>
      <c r="AB696" s="20"/>
      <c r="AC696" s="20"/>
      <c r="AD696" s="20"/>
      <c r="AE696" s="20"/>
      <c r="AF696" s="20"/>
      <c r="AG696" s="20"/>
      <c r="AH696" s="20"/>
      <c r="AI696" s="20"/>
      <c r="AJ696" s="20"/>
      <c r="AK696" s="20"/>
      <c r="AL696" s="20"/>
      <c r="AM696" s="20"/>
      <c r="AN696" s="20"/>
      <c r="AO696" s="20"/>
      <c r="AP696" s="20"/>
      <c r="AQ696" s="20"/>
      <c r="AR696" s="20"/>
      <c r="AS696" s="20"/>
      <c r="AT696" s="20"/>
      <c r="AU696" s="20"/>
      <c r="AV696" s="20"/>
      <c r="AW696" s="20"/>
      <c r="AX696" s="20"/>
      <c r="AY696" s="20"/>
      <c r="AZ696" s="20"/>
      <c r="BA696" s="20"/>
      <c r="BB696" s="20"/>
      <c r="BC696" s="20"/>
    </row>
    <row r="697" ht="13.5" customHeight="1" spans="1:55">
      <c r="A697" s="20"/>
      <c r="B697" s="20"/>
      <c r="C697" s="20"/>
      <c r="D697" s="20"/>
      <c r="E697" s="20"/>
      <c r="F697" s="20"/>
      <c r="G697" s="52"/>
      <c r="H697" s="20"/>
      <c r="I697" s="20"/>
      <c r="J697" s="20"/>
      <c r="K697" s="20"/>
      <c r="L697" s="20"/>
      <c r="M697" s="20"/>
      <c r="N697" s="20"/>
      <c r="O697" s="20"/>
      <c r="P697" s="20"/>
      <c r="Q697" s="20"/>
      <c r="R697" s="20"/>
      <c r="S697" s="20"/>
      <c r="T697" s="20"/>
      <c r="U697" s="20"/>
      <c r="V697" s="20"/>
      <c r="W697" s="20"/>
      <c r="X697" s="20"/>
      <c r="Y697" s="20"/>
      <c r="Z697" s="20"/>
      <c r="AA697" s="20"/>
      <c r="AB697" s="20"/>
      <c r="AC697" s="20"/>
      <c r="AD697" s="20"/>
      <c r="AE697" s="20"/>
      <c r="AF697" s="20"/>
      <c r="AG697" s="20"/>
      <c r="AH697" s="20"/>
      <c r="AI697" s="20"/>
      <c r="AJ697" s="20"/>
      <c r="AK697" s="20"/>
      <c r="AL697" s="20"/>
      <c r="AM697" s="20"/>
      <c r="AN697" s="20"/>
      <c r="AO697" s="20"/>
      <c r="AP697" s="20"/>
      <c r="AQ697" s="20"/>
      <c r="AR697" s="20"/>
      <c r="AS697" s="20"/>
      <c r="AT697" s="20"/>
      <c r="AU697" s="20"/>
      <c r="AV697" s="20"/>
      <c r="AW697" s="20"/>
      <c r="AX697" s="20"/>
      <c r="AY697" s="20"/>
      <c r="AZ697" s="20"/>
      <c r="BA697" s="20"/>
      <c r="BB697" s="20"/>
      <c r="BC697" s="20"/>
    </row>
    <row r="698" ht="13.5" customHeight="1" spans="1:55">
      <c r="A698" s="20"/>
      <c r="B698" s="20"/>
      <c r="C698" s="20"/>
      <c r="D698" s="20"/>
      <c r="E698" s="20"/>
      <c r="F698" s="20"/>
      <c r="G698" s="52"/>
      <c r="H698" s="20"/>
      <c r="I698" s="20"/>
      <c r="J698" s="20"/>
      <c r="K698" s="20"/>
      <c r="L698" s="20"/>
      <c r="M698" s="20"/>
      <c r="N698" s="20"/>
      <c r="O698" s="20"/>
      <c r="P698" s="20"/>
      <c r="Q698" s="20"/>
      <c r="R698" s="20"/>
      <c r="S698" s="20"/>
      <c r="T698" s="20"/>
      <c r="U698" s="20"/>
      <c r="V698" s="20"/>
      <c r="W698" s="20"/>
      <c r="X698" s="20"/>
      <c r="Y698" s="20"/>
      <c r="Z698" s="20"/>
      <c r="AA698" s="20"/>
      <c r="AB698" s="20"/>
      <c r="AC698" s="20"/>
      <c r="AD698" s="20"/>
      <c r="AE698" s="20"/>
      <c r="AF698" s="20"/>
      <c r="AG698" s="20"/>
      <c r="AH698" s="20"/>
      <c r="AI698" s="20"/>
      <c r="AJ698" s="20"/>
      <c r="AK698" s="20"/>
      <c r="AL698" s="20"/>
      <c r="AM698" s="20"/>
      <c r="AN698" s="20"/>
      <c r="AO698" s="20"/>
      <c r="AP698" s="20"/>
      <c r="AQ698" s="20"/>
      <c r="AR698" s="20"/>
      <c r="AS698" s="20"/>
      <c r="AT698" s="20"/>
      <c r="AU698" s="20"/>
      <c r="AV698" s="20"/>
      <c r="AW698" s="20"/>
      <c r="AX698" s="20"/>
      <c r="AY698" s="20"/>
      <c r="AZ698" s="20"/>
      <c r="BA698" s="20"/>
      <c r="BB698" s="20"/>
      <c r="BC698" s="20"/>
    </row>
    <row r="699" ht="13.5" customHeight="1" spans="1:55">
      <c r="A699" s="20"/>
      <c r="B699" s="20"/>
      <c r="C699" s="20"/>
      <c r="D699" s="20"/>
      <c r="E699" s="20"/>
      <c r="F699" s="20"/>
      <c r="G699" s="52"/>
      <c r="H699" s="20"/>
      <c r="I699" s="20"/>
      <c r="J699" s="20"/>
      <c r="K699" s="20"/>
      <c r="L699" s="20"/>
      <c r="M699" s="20"/>
      <c r="N699" s="20"/>
      <c r="O699" s="20"/>
      <c r="P699" s="20"/>
      <c r="Q699" s="20"/>
      <c r="R699" s="20"/>
      <c r="S699" s="20"/>
      <c r="T699" s="20"/>
      <c r="U699" s="20"/>
      <c r="V699" s="20"/>
      <c r="W699" s="20"/>
      <c r="X699" s="20"/>
      <c r="Y699" s="20"/>
      <c r="Z699" s="20"/>
      <c r="AA699" s="20"/>
      <c r="AB699" s="20"/>
      <c r="AC699" s="20"/>
      <c r="AD699" s="20"/>
      <c r="AE699" s="20"/>
      <c r="AF699" s="20"/>
      <c r="AG699" s="20"/>
      <c r="AH699" s="20"/>
      <c r="AI699" s="20"/>
      <c r="AJ699" s="20"/>
      <c r="AK699" s="20"/>
      <c r="AL699" s="20"/>
      <c r="AM699" s="20"/>
      <c r="AN699" s="20"/>
      <c r="AO699" s="20"/>
      <c r="AP699" s="20"/>
      <c r="AQ699" s="20"/>
      <c r="AR699" s="20"/>
      <c r="AS699" s="20"/>
      <c r="AT699" s="20"/>
      <c r="AU699" s="20"/>
      <c r="AV699" s="20"/>
      <c r="AW699" s="20"/>
      <c r="AX699" s="20"/>
      <c r="AY699" s="20"/>
      <c r="AZ699" s="20"/>
      <c r="BA699" s="20"/>
      <c r="BB699" s="20"/>
      <c r="BC699" s="20"/>
    </row>
    <row r="700" ht="13.5" customHeight="1" spans="1:55">
      <c r="A700" s="20"/>
      <c r="B700" s="20"/>
      <c r="C700" s="20"/>
      <c r="D700" s="20"/>
      <c r="E700" s="20"/>
      <c r="F700" s="20"/>
      <c r="G700" s="52"/>
      <c r="H700" s="20"/>
      <c r="I700" s="20"/>
      <c r="J700" s="20"/>
      <c r="K700" s="20"/>
      <c r="L700" s="20"/>
      <c r="M700" s="20"/>
      <c r="N700" s="20"/>
      <c r="O700" s="20"/>
      <c r="P700" s="20"/>
      <c r="Q700" s="20"/>
      <c r="R700" s="20"/>
      <c r="S700" s="20"/>
      <c r="T700" s="20"/>
      <c r="U700" s="20"/>
      <c r="V700" s="20"/>
      <c r="W700" s="20"/>
      <c r="X700" s="20"/>
      <c r="Y700" s="20"/>
      <c r="Z700" s="20"/>
      <c r="AA700" s="20"/>
      <c r="AB700" s="20"/>
      <c r="AC700" s="20"/>
      <c r="AD700" s="20"/>
      <c r="AE700" s="20"/>
      <c r="AF700" s="20"/>
      <c r="AG700" s="20"/>
      <c r="AH700" s="20"/>
      <c r="AI700" s="20"/>
      <c r="AJ700" s="20"/>
      <c r="AK700" s="20"/>
      <c r="AL700" s="20"/>
      <c r="AM700" s="20"/>
      <c r="AN700" s="20"/>
      <c r="AO700" s="20"/>
      <c r="AP700" s="20"/>
      <c r="AQ700" s="20"/>
      <c r="AR700" s="20"/>
      <c r="AS700" s="20"/>
      <c r="AT700" s="20"/>
      <c r="AU700" s="20"/>
      <c r="AV700" s="20"/>
      <c r="AW700" s="20"/>
      <c r="AX700" s="20"/>
      <c r="AY700" s="20"/>
      <c r="AZ700" s="20"/>
      <c r="BA700" s="20"/>
      <c r="BB700" s="20"/>
      <c r="BC700" s="20"/>
    </row>
    <row r="701" ht="13.5" customHeight="1" spans="1:55">
      <c r="A701" s="20"/>
      <c r="B701" s="20"/>
      <c r="C701" s="20"/>
      <c r="D701" s="20"/>
      <c r="E701" s="20"/>
      <c r="F701" s="20"/>
      <c r="G701" s="52"/>
      <c r="H701" s="20"/>
      <c r="I701" s="20"/>
      <c r="J701" s="20"/>
      <c r="K701" s="20"/>
      <c r="L701" s="20"/>
      <c r="M701" s="20"/>
      <c r="N701" s="20"/>
      <c r="O701" s="20"/>
      <c r="P701" s="20"/>
      <c r="Q701" s="20"/>
      <c r="R701" s="20"/>
      <c r="S701" s="20"/>
      <c r="T701" s="20"/>
      <c r="U701" s="20"/>
      <c r="V701" s="20"/>
      <c r="W701" s="20"/>
      <c r="X701" s="20"/>
      <c r="Y701" s="20"/>
      <c r="Z701" s="20"/>
      <c r="AA701" s="20"/>
      <c r="AB701" s="20"/>
      <c r="AC701" s="20"/>
      <c r="AD701" s="20"/>
      <c r="AE701" s="20"/>
      <c r="AF701" s="20"/>
      <c r="AG701" s="20"/>
      <c r="AH701" s="20"/>
      <c r="AI701" s="20"/>
      <c r="AJ701" s="20"/>
      <c r="AK701" s="20"/>
      <c r="AL701" s="20"/>
      <c r="AM701" s="20"/>
      <c r="AN701" s="20"/>
      <c r="AO701" s="20"/>
      <c r="AP701" s="20"/>
      <c r="AQ701" s="20"/>
      <c r="AR701" s="20"/>
      <c r="AS701" s="20"/>
      <c r="AT701" s="20"/>
      <c r="AU701" s="20"/>
      <c r="AV701" s="20"/>
      <c r="AW701" s="20"/>
      <c r="AX701" s="20"/>
      <c r="AY701" s="20"/>
      <c r="AZ701" s="20"/>
      <c r="BA701" s="20"/>
      <c r="BB701" s="20"/>
      <c r="BC701" s="20"/>
    </row>
    <row r="702" ht="13.5" customHeight="1" spans="1:55">
      <c r="A702" s="20"/>
      <c r="B702" s="20"/>
      <c r="C702" s="20"/>
      <c r="D702" s="20"/>
      <c r="E702" s="20"/>
      <c r="F702" s="20"/>
      <c r="G702" s="52"/>
      <c r="H702" s="20"/>
      <c r="I702" s="20"/>
      <c r="J702" s="20"/>
      <c r="K702" s="20"/>
      <c r="L702" s="20"/>
      <c r="M702" s="20"/>
      <c r="N702" s="20"/>
      <c r="O702" s="20"/>
      <c r="P702" s="20"/>
      <c r="Q702" s="20"/>
      <c r="R702" s="20"/>
      <c r="S702" s="20"/>
      <c r="T702" s="20"/>
      <c r="U702" s="20"/>
      <c r="V702" s="20"/>
      <c r="W702" s="20"/>
      <c r="X702" s="20"/>
      <c r="Y702" s="20"/>
      <c r="Z702" s="20"/>
      <c r="AA702" s="20"/>
      <c r="AB702" s="20"/>
      <c r="AC702" s="20"/>
      <c r="AD702" s="20"/>
      <c r="AE702" s="20"/>
      <c r="AF702" s="20"/>
      <c r="AG702" s="20"/>
      <c r="AH702" s="20"/>
      <c r="AI702" s="20"/>
      <c r="AJ702" s="20"/>
      <c r="AK702" s="20"/>
      <c r="AL702" s="20"/>
      <c r="AM702" s="20"/>
      <c r="AN702" s="20"/>
      <c r="AO702" s="20"/>
      <c r="AP702" s="20"/>
      <c r="AQ702" s="20"/>
      <c r="AR702" s="20"/>
      <c r="AS702" s="20"/>
      <c r="AT702" s="20"/>
      <c r="AU702" s="20"/>
      <c r="AV702" s="20"/>
      <c r="AW702" s="20"/>
      <c r="AX702" s="20"/>
      <c r="AY702" s="20"/>
      <c r="AZ702" s="20"/>
      <c r="BA702" s="20"/>
      <c r="BB702" s="20"/>
      <c r="BC702" s="20"/>
    </row>
    <row r="703" ht="13.5" customHeight="1" spans="1:55">
      <c r="A703" s="20"/>
      <c r="B703" s="20"/>
      <c r="C703" s="20"/>
      <c r="D703" s="20"/>
      <c r="E703" s="20"/>
      <c r="F703" s="20"/>
      <c r="G703" s="52"/>
      <c r="H703" s="20"/>
      <c r="I703" s="20"/>
      <c r="J703" s="20"/>
      <c r="K703" s="20"/>
      <c r="L703" s="20"/>
      <c r="M703" s="20"/>
      <c r="N703" s="20"/>
      <c r="O703" s="20"/>
      <c r="P703" s="20"/>
      <c r="Q703" s="20"/>
      <c r="R703" s="20"/>
      <c r="S703" s="20"/>
      <c r="T703" s="20"/>
      <c r="U703" s="20"/>
      <c r="V703" s="20"/>
      <c r="W703" s="20"/>
      <c r="X703" s="20"/>
      <c r="Y703" s="20"/>
      <c r="Z703" s="20"/>
      <c r="AA703" s="20"/>
      <c r="AB703" s="20"/>
      <c r="AC703" s="20"/>
      <c r="AD703" s="20"/>
      <c r="AE703" s="20"/>
      <c r="AF703" s="20"/>
      <c r="AG703" s="20"/>
      <c r="AH703" s="20"/>
      <c r="AI703" s="20"/>
      <c r="AJ703" s="20"/>
      <c r="AK703" s="20"/>
      <c r="AL703" s="20"/>
      <c r="AM703" s="20"/>
      <c r="AN703" s="20"/>
      <c r="AO703" s="20"/>
      <c r="AP703" s="20"/>
      <c r="AQ703" s="20"/>
      <c r="AR703" s="20"/>
      <c r="AS703" s="20"/>
      <c r="AT703" s="20"/>
      <c r="AU703" s="20"/>
      <c r="AV703" s="20"/>
      <c r="AW703" s="20"/>
      <c r="AX703" s="20"/>
      <c r="AY703" s="20"/>
      <c r="AZ703" s="20"/>
      <c r="BA703" s="20"/>
      <c r="BB703" s="20"/>
      <c r="BC703" s="20"/>
    </row>
    <row r="704" ht="13.5" customHeight="1" spans="1:55">
      <c r="A704" s="20"/>
      <c r="B704" s="20"/>
      <c r="C704" s="20"/>
      <c r="D704" s="20"/>
      <c r="E704" s="20"/>
      <c r="F704" s="20"/>
      <c r="G704" s="52"/>
      <c r="H704" s="20"/>
      <c r="I704" s="20"/>
      <c r="J704" s="20"/>
      <c r="K704" s="20"/>
      <c r="L704" s="20"/>
      <c r="M704" s="20"/>
      <c r="N704" s="20"/>
      <c r="O704" s="20"/>
      <c r="P704" s="20"/>
      <c r="Q704" s="20"/>
      <c r="R704" s="20"/>
      <c r="S704" s="20"/>
      <c r="T704" s="20"/>
      <c r="U704" s="20"/>
      <c r="V704" s="20"/>
      <c r="W704" s="20"/>
      <c r="X704" s="20"/>
      <c r="Y704" s="20"/>
      <c r="Z704" s="20"/>
      <c r="AA704" s="20"/>
      <c r="AB704" s="20"/>
      <c r="AC704" s="20"/>
      <c r="AD704" s="20"/>
      <c r="AE704" s="20"/>
      <c r="AF704" s="20"/>
      <c r="AG704" s="20"/>
      <c r="AH704" s="20"/>
      <c r="AI704" s="20"/>
      <c r="AJ704" s="20"/>
      <c r="AK704" s="20"/>
      <c r="AL704" s="20"/>
      <c r="AM704" s="20"/>
      <c r="AN704" s="20"/>
      <c r="AO704" s="20"/>
      <c r="AP704" s="20"/>
      <c r="AQ704" s="20"/>
      <c r="AR704" s="20"/>
      <c r="AS704" s="20"/>
      <c r="AT704" s="20"/>
      <c r="AU704" s="20"/>
      <c r="AV704" s="20"/>
      <c r="AW704" s="20"/>
      <c r="AX704" s="20"/>
      <c r="AY704" s="20"/>
      <c r="AZ704" s="20"/>
      <c r="BA704" s="20"/>
      <c r="BB704" s="20"/>
      <c r="BC704" s="20"/>
    </row>
    <row r="705" ht="13.5" customHeight="1" spans="1:55">
      <c r="A705" s="20"/>
      <c r="B705" s="20"/>
      <c r="C705" s="20"/>
      <c r="D705" s="20"/>
      <c r="E705" s="20"/>
      <c r="F705" s="20"/>
      <c r="G705" s="52"/>
      <c r="H705" s="20"/>
      <c r="I705" s="20"/>
      <c r="J705" s="20"/>
      <c r="K705" s="20"/>
      <c r="L705" s="20"/>
      <c r="M705" s="20"/>
      <c r="N705" s="20"/>
      <c r="O705" s="20"/>
      <c r="P705" s="20"/>
      <c r="Q705" s="20"/>
      <c r="R705" s="20"/>
      <c r="S705" s="20"/>
      <c r="T705" s="20"/>
      <c r="U705" s="20"/>
      <c r="V705" s="20"/>
      <c r="W705" s="20"/>
      <c r="X705" s="20"/>
      <c r="Y705" s="20"/>
      <c r="Z705" s="20"/>
      <c r="AA705" s="20"/>
      <c r="AB705" s="20"/>
      <c r="AC705" s="20"/>
      <c r="AD705" s="20"/>
      <c r="AE705" s="20"/>
      <c r="AF705" s="20"/>
      <c r="AG705" s="20"/>
      <c r="AH705" s="20"/>
      <c r="AI705" s="20"/>
      <c r="AJ705" s="20"/>
      <c r="AK705" s="20"/>
      <c r="AL705" s="20"/>
      <c r="AM705" s="20"/>
      <c r="AN705" s="20"/>
      <c r="AO705" s="20"/>
      <c r="AP705" s="20"/>
      <c r="AQ705" s="20"/>
      <c r="AR705" s="20"/>
      <c r="AS705" s="20"/>
      <c r="AT705" s="20"/>
      <c r="AU705" s="20"/>
      <c r="AV705" s="20"/>
      <c r="AW705" s="20"/>
      <c r="AX705" s="20"/>
      <c r="AY705" s="20"/>
      <c r="AZ705" s="20"/>
      <c r="BA705" s="20"/>
      <c r="BB705" s="20"/>
      <c r="BC705" s="20"/>
    </row>
    <row r="706" ht="13.5" customHeight="1" spans="1:55">
      <c r="A706" s="20"/>
      <c r="B706" s="20"/>
      <c r="C706" s="20"/>
      <c r="D706" s="20"/>
      <c r="E706" s="20"/>
      <c r="F706" s="20"/>
      <c r="G706" s="52"/>
      <c r="H706" s="20"/>
      <c r="I706" s="20"/>
      <c r="J706" s="20"/>
      <c r="K706" s="20"/>
      <c r="L706" s="20"/>
      <c r="M706" s="20"/>
      <c r="N706" s="20"/>
      <c r="O706" s="20"/>
      <c r="P706" s="20"/>
      <c r="Q706" s="20"/>
      <c r="R706" s="20"/>
      <c r="S706" s="20"/>
      <c r="T706" s="20"/>
      <c r="U706" s="20"/>
      <c r="V706" s="20"/>
      <c r="W706" s="20"/>
      <c r="X706" s="20"/>
      <c r="Y706" s="20"/>
      <c r="Z706" s="20"/>
      <c r="AA706" s="20"/>
      <c r="AB706" s="20"/>
      <c r="AC706" s="20"/>
      <c r="AD706" s="20"/>
      <c r="AE706" s="20"/>
      <c r="AF706" s="20"/>
      <c r="AG706" s="20"/>
      <c r="AH706" s="20"/>
      <c r="AI706" s="20"/>
      <c r="AJ706" s="20"/>
      <c r="AK706" s="20"/>
      <c r="AL706" s="20"/>
      <c r="AM706" s="20"/>
      <c r="AN706" s="20"/>
      <c r="AO706" s="20"/>
      <c r="AP706" s="20"/>
      <c r="AQ706" s="20"/>
      <c r="AR706" s="20"/>
      <c r="AS706" s="20"/>
      <c r="AT706" s="20"/>
      <c r="AU706" s="20"/>
      <c r="AV706" s="20"/>
      <c r="AW706" s="20"/>
      <c r="AX706" s="20"/>
      <c r="AY706" s="20"/>
      <c r="AZ706" s="20"/>
      <c r="BA706" s="20"/>
      <c r="BB706" s="20"/>
      <c r="BC706" s="20"/>
    </row>
    <row r="707" ht="13.5" customHeight="1" spans="1:55">
      <c r="A707" s="20"/>
      <c r="B707" s="20"/>
      <c r="C707" s="20"/>
      <c r="D707" s="20"/>
      <c r="E707" s="20"/>
      <c r="F707" s="20"/>
      <c r="G707" s="52"/>
      <c r="H707" s="20"/>
      <c r="I707" s="20"/>
      <c r="J707" s="20"/>
      <c r="K707" s="20"/>
      <c r="L707" s="20"/>
      <c r="M707" s="20"/>
      <c r="N707" s="20"/>
      <c r="O707" s="20"/>
      <c r="P707" s="20"/>
      <c r="Q707" s="20"/>
      <c r="R707" s="20"/>
      <c r="S707" s="20"/>
      <c r="T707" s="20"/>
      <c r="U707" s="20"/>
      <c r="V707" s="20"/>
      <c r="W707" s="20"/>
      <c r="X707" s="20"/>
      <c r="Y707" s="20"/>
      <c r="Z707" s="20"/>
      <c r="AA707" s="20"/>
      <c r="AB707" s="20"/>
      <c r="AC707" s="20"/>
      <c r="AD707" s="20"/>
      <c r="AE707" s="20"/>
      <c r="AF707" s="20"/>
      <c r="AG707" s="20"/>
      <c r="AH707" s="20"/>
      <c r="AI707" s="20"/>
      <c r="AJ707" s="20"/>
      <c r="AK707" s="20"/>
      <c r="AL707" s="20"/>
      <c r="AM707" s="20"/>
      <c r="AN707" s="20"/>
      <c r="AO707" s="20"/>
      <c r="AP707" s="20"/>
      <c r="AQ707" s="20"/>
      <c r="AR707" s="20"/>
      <c r="AS707" s="20"/>
      <c r="AT707" s="20"/>
      <c r="AU707" s="20"/>
      <c r="AV707" s="20"/>
      <c r="AW707" s="20"/>
      <c r="AX707" s="20"/>
      <c r="AY707" s="20"/>
      <c r="AZ707" s="20"/>
      <c r="BA707" s="20"/>
      <c r="BB707" s="20"/>
      <c r="BC707" s="20"/>
    </row>
    <row r="708" ht="13.5" customHeight="1" spans="1:55">
      <c r="A708" s="20"/>
      <c r="B708" s="20"/>
      <c r="C708" s="20"/>
      <c r="D708" s="20"/>
      <c r="E708" s="20"/>
      <c r="F708" s="20"/>
      <c r="G708" s="52"/>
      <c r="H708" s="20"/>
      <c r="I708" s="20"/>
      <c r="J708" s="20"/>
      <c r="K708" s="20"/>
      <c r="L708" s="20"/>
      <c r="M708" s="20"/>
      <c r="N708" s="20"/>
      <c r="O708" s="20"/>
      <c r="P708" s="20"/>
      <c r="Q708" s="20"/>
      <c r="R708" s="20"/>
      <c r="S708" s="20"/>
      <c r="T708" s="20"/>
      <c r="U708" s="20"/>
      <c r="V708" s="20"/>
      <c r="W708" s="20"/>
      <c r="X708" s="20"/>
      <c r="Y708" s="20"/>
      <c r="Z708" s="20"/>
      <c r="AA708" s="20"/>
      <c r="AB708" s="20"/>
      <c r="AC708" s="20"/>
      <c r="AD708" s="20"/>
      <c r="AE708" s="20"/>
      <c r="AF708" s="20"/>
      <c r="AG708" s="20"/>
      <c r="AH708" s="20"/>
      <c r="AI708" s="20"/>
      <c r="AJ708" s="20"/>
      <c r="AK708" s="20"/>
      <c r="AL708" s="20"/>
      <c r="AM708" s="20"/>
      <c r="AN708" s="20"/>
      <c r="AO708" s="20"/>
      <c r="AP708" s="20"/>
      <c r="AQ708" s="20"/>
      <c r="AR708" s="20"/>
      <c r="AS708" s="20"/>
      <c r="AT708" s="20"/>
      <c r="AU708" s="20"/>
      <c r="AV708" s="20"/>
      <c r="AW708" s="20"/>
      <c r="AX708" s="20"/>
      <c r="AY708" s="20"/>
      <c r="AZ708" s="20"/>
      <c r="BA708" s="20"/>
      <c r="BB708" s="20"/>
      <c r="BC708" s="20"/>
    </row>
    <row r="709" ht="13.5" customHeight="1" spans="1:55">
      <c r="A709" s="20"/>
      <c r="B709" s="20"/>
      <c r="C709" s="20"/>
      <c r="D709" s="20"/>
      <c r="E709" s="20"/>
      <c r="F709" s="20"/>
      <c r="G709" s="52"/>
      <c r="H709" s="20"/>
      <c r="I709" s="20"/>
      <c r="J709" s="20"/>
      <c r="K709" s="20"/>
      <c r="L709" s="20"/>
      <c r="M709" s="20"/>
      <c r="N709" s="20"/>
      <c r="O709" s="20"/>
      <c r="P709" s="20"/>
      <c r="Q709" s="20"/>
      <c r="R709" s="20"/>
      <c r="S709" s="20"/>
      <c r="T709" s="20"/>
      <c r="U709" s="20"/>
      <c r="V709" s="20"/>
      <c r="W709" s="20"/>
      <c r="X709" s="20"/>
      <c r="Y709" s="20"/>
      <c r="Z709" s="20"/>
      <c r="AA709" s="20"/>
      <c r="AB709" s="20"/>
      <c r="AC709" s="20"/>
      <c r="AD709" s="20"/>
      <c r="AE709" s="20"/>
      <c r="AF709" s="20"/>
      <c r="AG709" s="20"/>
      <c r="AH709" s="20"/>
      <c r="AI709" s="20"/>
      <c r="AJ709" s="20"/>
      <c r="AK709" s="20"/>
      <c r="AL709" s="20"/>
      <c r="AM709" s="20"/>
      <c r="AN709" s="20"/>
      <c r="AO709" s="20"/>
      <c r="AP709" s="20"/>
      <c r="AQ709" s="20"/>
      <c r="AR709" s="20"/>
      <c r="AS709" s="20"/>
      <c r="AT709" s="20"/>
      <c r="AU709" s="20"/>
      <c r="AV709" s="20"/>
      <c r="AW709" s="20"/>
      <c r="AX709" s="20"/>
      <c r="AY709" s="20"/>
      <c r="AZ709" s="20"/>
      <c r="BA709" s="20"/>
      <c r="BB709" s="20"/>
      <c r="BC709" s="20"/>
    </row>
    <row r="710" ht="13.5" customHeight="1" spans="1:55">
      <c r="A710" s="20"/>
      <c r="B710" s="20"/>
      <c r="C710" s="20"/>
      <c r="D710" s="20"/>
      <c r="E710" s="20"/>
      <c r="F710" s="20"/>
      <c r="G710" s="52"/>
      <c r="H710" s="20"/>
      <c r="I710" s="20"/>
      <c r="J710" s="20"/>
      <c r="K710" s="20"/>
      <c r="L710" s="20"/>
      <c r="M710" s="20"/>
      <c r="N710" s="20"/>
      <c r="O710" s="20"/>
      <c r="P710" s="20"/>
      <c r="Q710" s="20"/>
      <c r="R710" s="20"/>
      <c r="S710" s="20"/>
      <c r="T710" s="20"/>
      <c r="U710" s="20"/>
      <c r="V710" s="20"/>
      <c r="W710" s="20"/>
      <c r="X710" s="20"/>
      <c r="Y710" s="20"/>
      <c r="Z710" s="20"/>
      <c r="AA710" s="20"/>
      <c r="AB710" s="20"/>
      <c r="AC710" s="20"/>
      <c r="AD710" s="20"/>
      <c r="AE710" s="20"/>
      <c r="AF710" s="20"/>
      <c r="AG710" s="20"/>
      <c r="AH710" s="20"/>
      <c r="AI710" s="20"/>
      <c r="AJ710" s="20"/>
      <c r="AK710" s="20"/>
      <c r="AL710" s="20"/>
      <c r="AM710" s="20"/>
      <c r="AN710" s="20"/>
      <c r="AO710" s="20"/>
      <c r="AP710" s="20"/>
      <c r="AQ710" s="20"/>
      <c r="AR710" s="20"/>
      <c r="AS710" s="20"/>
      <c r="AT710" s="20"/>
      <c r="AU710" s="20"/>
      <c r="AV710" s="20"/>
      <c r="AW710" s="20"/>
      <c r="AX710" s="20"/>
      <c r="AY710" s="20"/>
      <c r="AZ710" s="20"/>
      <c r="BA710" s="20"/>
      <c r="BB710" s="20"/>
      <c r="BC710" s="20"/>
    </row>
    <row r="711" ht="13.5" customHeight="1" spans="1:55">
      <c r="A711" s="20"/>
      <c r="B711" s="20"/>
      <c r="C711" s="20"/>
      <c r="D711" s="20"/>
      <c r="E711" s="20"/>
      <c r="F711" s="20"/>
      <c r="G711" s="52"/>
      <c r="H711" s="20"/>
      <c r="I711" s="20"/>
      <c r="J711" s="20"/>
      <c r="K711" s="20"/>
      <c r="L711" s="20"/>
      <c r="M711" s="20"/>
      <c r="N711" s="20"/>
      <c r="O711" s="20"/>
      <c r="P711" s="20"/>
      <c r="Q711" s="20"/>
      <c r="R711" s="20"/>
      <c r="S711" s="20"/>
      <c r="T711" s="20"/>
      <c r="U711" s="20"/>
      <c r="V711" s="20"/>
      <c r="W711" s="20"/>
      <c r="X711" s="20"/>
      <c r="Y711" s="20"/>
      <c r="Z711" s="20"/>
      <c r="AA711" s="20"/>
      <c r="AB711" s="20"/>
      <c r="AC711" s="20"/>
      <c r="AD711" s="20"/>
      <c r="AE711" s="20"/>
      <c r="AF711" s="20"/>
      <c r="AG711" s="20"/>
      <c r="AH711" s="20"/>
      <c r="AI711" s="20"/>
      <c r="AJ711" s="20"/>
      <c r="AK711" s="20"/>
      <c r="AL711" s="20"/>
      <c r="AM711" s="20"/>
      <c r="AN711" s="20"/>
      <c r="AO711" s="20"/>
      <c r="AP711" s="20"/>
      <c r="AQ711" s="20"/>
      <c r="AR711" s="20"/>
      <c r="AS711" s="20"/>
      <c r="AT711" s="20"/>
      <c r="AU711" s="20"/>
      <c r="AV711" s="20"/>
      <c r="AW711" s="20"/>
      <c r="AX711" s="20"/>
      <c r="AY711" s="20"/>
      <c r="AZ711" s="20"/>
      <c r="BA711" s="20"/>
      <c r="BB711" s="20"/>
      <c r="BC711" s="20"/>
    </row>
    <row r="712" ht="13.5" customHeight="1" spans="1:55">
      <c r="A712" s="20"/>
      <c r="B712" s="20"/>
      <c r="C712" s="20"/>
      <c r="D712" s="20"/>
      <c r="E712" s="20"/>
      <c r="F712" s="20"/>
      <c r="G712" s="52"/>
      <c r="H712" s="20"/>
      <c r="I712" s="20"/>
      <c r="J712" s="20"/>
      <c r="K712" s="20"/>
      <c r="L712" s="20"/>
      <c r="M712" s="20"/>
      <c r="N712" s="20"/>
      <c r="O712" s="20"/>
      <c r="P712" s="20"/>
      <c r="Q712" s="20"/>
      <c r="R712" s="20"/>
      <c r="S712" s="20"/>
      <c r="T712" s="20"/>
      <c r="U712" s="20"/>
      <c r="V712" s="20"/>
      <c r="W712" s="20"/>
      <c r="X712" s="20"/>
      <c r="Y712" s="20"/>
      <c r="Z712" s="20"/>
      <c r="AA712" s="20"/>
      <c r="AB712" s="20"/>
      <c r="AC712" s="20"/>
      <c r="AD712" s="20"/>
      <c r="AE712" s="20"/>
      <c r="AF712" s="20"/>
      <c r="AG712" s="20"/>
      <c r="AH712" s="20"/>
      <c r="AI712" s="20"/>
      <c r="AJ712" s="20"/>
      <c r="AK712" s="20"/>
      <c r="AL712" s="20"/>
      <c r="AM712" s="20"/>
      <c r="AN712" s="20"/>
      <c r="AO712" s="20"/>
      <c r="AP712" s="20"/>
      <c r="AQ712" s="20"/>
      <c r="AR712" s="20"/>
      <c r="AS712" s="20"/>
      <c r="AT712" s="20"/>
      <c r="AU712" s="20"/>
      <c r="AV712" s="20"/>
      <c r="AW712" s="20"/>
      <c r="AX712" s="20"/>
      <c r="AY712" s="20"/>
      <c r="AZ712" s="20"/>
      <c r="BA712" s="20"/>
      <c r="BB712" s="20"/>
      <c r="BC712" s="20"/>
    </row>
    <row r="713" ht="13.5" customHeight="1" spans="1:55">
      <c r="A713" s="20"/>
      <c r="B713" s="20"/>
      <c r="C713" s="20"/>
      <c r="D713" s="20"/>
      <c r="E713" s="20"/>
      <c r="F713" s="20"/>
      <c r="G713" s="52"/>
      <c r="H713" s="20"/>
      <c r="I713" s="20"/>
      <c r="J713" s="20"/>
      <c r="K713" s="20"/>
      <c r="L713" s="20"/>
      <c r="M713" s="20"/>
      <c r="N713" s="20"/>
      <c r="O713" s="20"/>
      <c r="P713" s="20"/>
      <c r="Q713" s="20"/>
      <c r="R713" s="20"/>
      <c r="S713" s="20"/>
      <c r="T713" s="20"/>
      <c r="U713" s="20"/>
      <c r="V713" s="20"/>
      <c r="W713" s="20"/>
      <c r="X713" s="20"/>
      <c r="Y713" s="20"/>
      <c r="Z713" s="20"/>
      <c r="AA713" s="20"/>
      <c r="AB713" s="20"/>
      <c r="AC713" s="20"/>
      <c r="AD713" s="20"/>
      <c r="AE713" s="20"/>
      <c r="AF713" s="20"/>
      <c r="AG713" s="20"/>
      <c r="AH713" s="20"/>
      <c r="AI713" s="20"/>
      <c r="AJ713" s="20"/>
      <c r="AK713" s="20"/>
      <c r="AL713" s="20"/>
      <c r="AM713" s="20"/>
      <c r="AN713" s="20"/>
      <c r="AO713" s="20"/>
      <c r="AP713" s="20"/>
      <c r="AQ713" s="20"/>
      <c r="AR713" s="20"/>
      <c r="AS713" s="20"/>
      <c r="AT713" s="20"/>
      <c r="AU713" s="20"/>
      <c r="AV713" s="20"/>
      <c r="AW713" s="20"/>
      <c r="AX713" s="20"/>
      <c r="AY713" s="20"/>
      <c r="AZ713" s="20"/>
      <c r="BA713" s="20"/>
      <c r="BB713" s="20"/>
      <c r="BC713" s="20"/>
    </row>
    <row r="714" ht="13.5" customHeight="1" spans="1:55">
      <c r="A714" s="20"/>
      <c r="B714" s="20"/>
      <c r="C714" s="20"/>
      <c r="D714" s="20"/>
      <c r="E714" s="20"/>
      <c r="F714" s="20"/>
      <c r="G714" s="52"/>
      <c r="H714" s="20"/>
      <c r="I714" s="20"/>
      <c r="J714" s="20"/>
      <c r="K714" s="20"/>
      <c r="L714" s="20"/>
      <c r="M714" s="20"/>
      <c r="N714" s="20"/>
      <c r="O714" s="20"/>
      <c r="P714" s="20"/>
      <c r="Q714" s="20"/>
      <c r="R714" s="20"/>
      <c r="S714" s="20"/>
      <c r="T714" s="20"/>
      <c r="U714" s="20"/>
      <c r="V714" s="20"/>
      <c r="W714" s="20"/>
      <c r="X714" s="20"/>
      <c r="Y714" s="20"/>
      <c r="Z714" s="20"/>
      <c r="AA714" s="20"/>
      <c r="AB714" s="20"/>
      <c r="AC714" s="20"/>
      <c r="AD714" s="20"/>
      <c r="AE714" s="20"/>
      <c r="AF714" s="20"/>
      <c r="AG714" s="20"/>
      <c r="AH714" s="20"/>
      <c r="AI714" s="20"/>
      <c r="AJ714" s="20"/>
      <c r="AK714" s="20"/>
      <c r="AL714" s="20"/>
      <c r="AM714" s="20"/>
      <c r="AN714" s="20"/>
      <c r="AO714" s="20"/>
      <c r="AP714" s="20"/>
      <c r="AQ714" s="20"/>
      <c r="AR714" s="20"/>
      <c r="AS714" s="20"/>
      <c r="AT714" s="20"/>
      <c r="AU714" s="20"/>
      <c r="AV714" s="20"/>
      <c r="AW714" s="20"/>
      <c r="AX714" s="20"/>
      <c r="AY714" s="20"/>
      <c r="AZ714" s="20"/>
      <c r="BA714" s="20"/>
      <c r="BB714" s="20"/>
      <c r="BC714" s="20"/>
    </row>
    <row r="715" ht="13.5" customHeight="1" spans="1:55">
      <c r="A715" s="20"/>
      <c r="B715" s="20"/>
      <c r="C715" s="20"/>
      <c r="D715" s="20"/>
      <c r="E715" s="20"/>
      <c r="F715" s="20"/>
      <c r="G715" s="52"/>
      <c r="H715" s="20"/>
      <c r="I715" s="20"/>
      <c r="J715" s="20"/>
      <c r="K715" s="20"/>
      <c r="L715" s="20"/>
      <c r="M715" s="20"/>
      <c r="N715" s="20"/>
      <c r="O715" s="20"/>
      <c r="P715" s="20"/>
      <c r="Q715" s="20"/>
      <c r="R715" s="20"/>
      <c r="S715" s="20"/>
      <c r="T715" s="20"/>
      <c r="U715" s="20"/>
      <c r="V715" s="20"/>
      <c r="W715" s="20"/>
      <c r="X715" s="20"/>
      <c r="Y715" s="20"/>
      <c r="Z715" s="20"/>
      <c r="AA715" s="20"/>
      <c r="AB715" s="20"/>
      <c r="AC715" s="20"/>
      <c r="AD715" s="20"/>
      <c r="AE715" s="20"/>
      <c r="AF715" s="20"/>
      <c r="AG715" s="20"/>
      <c r="AH715" s="20"/>
      <c r="AI715" s="20"/>
      <c r="AJ715" s="20"/>
      <c r="AK715" s="20"/>
      <c r="AL715" s="20"/>
      <c r="AM715" s="20"/>
      <c r="AN715" s="20"/>
      <c r="AO715" s="20"/>
      <c r="AP715" s="20"/>
      <c r="AQ715" s="20"/>
      <c r="AR715" s="20"/>
      <c r="AS715" s="20"/>
      <c r="AT715" s="20"/>
      <c r="AU715" s="20"/>
      <c r="AV715" s="20"/>
      <c r="AW715" s="20"/>
      <c r="AX715" s="20"/>
      <c r="AY715" s="20"/>
      <c r="AZ715" s="20"/>
      <c r="BA715" s="20"/>
      <c r="BB715" s="20"/>
      <c r="BC715" s="20"/>
    </row>
    <row r="716" ht="13.5" customHeight="1" spans="1:55">
      <c r="A716" s="20"/>
      <c r="B716" s="20"/>
      <c r="C716" s="20"/>
      <c r="D716" s="20"/>
      <c r="E716" s="20"/>
      <c r="F716" s="20"/>
      <c r="G716" s="52"/>
      <c r="H716" s="20"/>
      <c r="I716" s="20"/>
      <c r="J716" s="20"/>
      <c r="K716" s="20"/>
      <c r="L716" s="20"/>
      <c r="M716" s="20"/>
      <c r="N716" s="20"/>
      <c r="O716" s="20"/>
      <c r="P716" s="20"/>
      <c r="Q716" s="20"/>
      <c r="R716" s="20"/>
      <c r="S716" s="20"/>
      <c r="T716" s="20"/>
      <c r="U716" s="20"/>
      <c r="V716" s="20"/>
      <c r="W716" s="20"/>
      <c r="X716" s="20"/>
      <c r="Y716" s="20"/>
      <c r="Z716" s="20"/>
      <c r="AA716" s="20"/>
      <c r="AB716" s="20"/>
      <c r="AC716" s="20"/>
      <c r="AD716" s="20"/>
      <c r="AE716" s="20"/>
      <c r="AF716" s="20"/>
      <c r="AG716" s="20"/>
      <c r="AH716" s="20"/>
      <c r="AI716" s="20"/>
      <c r="AJ716" s="20"/>
      <c r="AK716" s="20"/>
      <c r="AL716" s="20"/>
      <c r="AM716" s="20"/>
      <c r="AN716" s="20"/>
      <c r="AO716" s="20"/>
      <c r="AP716" s="20"/>
      <c r="AQ716" s="20"/>
      <c r="AR716" s="20"/>
      <c r="AS716" s="20"/>
      <c r="AT716" s="20"/>
      <c r="AU716" s="20"/>
      <c r="AV716" s="20"/>
      <c r="AW716" s="20"/>
      <c r="AX716" s="20"/>
      <c r="AY716" s="20"/>
      <c r="AZ716" s="20"/>
      <c r="BA716" s="20"/>
      <c r="BB716" s="20"/>
      <c r="BC716" s="20"/>
    </row>
    <row r="717" ht="13.5" customHeight="1" spans="1:55">
      <c r="A717" s="20"/>
      <c r="B717" s="20"/>
      <c r="C717" s="20"/>
      <c r="D717" s="20"/>
      <c r="E717" s="20"/>
      <c r="F717" s="20"/>
      <c r="G717" s="52"/>
      <c r="H717" s="20"/>
      <c r="I717" s="20"/>
      <c r="J717" s="20"/>
      <c r="K717" s="20"/>
      <c r="L717" s="20"/>
      <c r="M717" s="20"/>
      <c r="N717" s="20"/>
      <c r="O717" s="20"/>
      <c r="P717" s="20"/>
      <c r="Q717" s="20"/>
      <c r="R717" s="20"/>
      <c r="S717" s="20"/>
      <c r="T717" s="20"/>
      <c r="U717" s="20"/>
      <c r="V717" s="20"/>
      <c r="W717" s="20"/>
      <c r="X717" s="20"/>
      <c r="Y717" s="20"/>
      <c r="Z717" s="20"/>
      <c r="AA717" s="20"/>
      <c r="AB717" s="20"/>
      <c r="AC717" s="20"/>
      <c r="AD717" s="20"/>
      <c r="AE717" s="20"/>
      <c r="AF717" s="20"/>
      <c r="AG717" s="20"/>
      <c r="AH717" s="20"/>
      <c r="AI717" s="20"/>
      <c r="AJ717" s="20"/>
      <c r="AK717" s="20"/>
      <c r="AL717" s="20"/>
      <c r="AM717" s="20"/>
      <c r="AN717" s="20"/>
      <c r="AO717" s="20"/>
      <c r="AP717" s="20"/>
      <c r="AQ717" s="20"/>
      <c r="AR717" s="20"/>
      <c r="AS717" s="20"/>
      <c r="AT717" s="20"/>
      <c r="AU717" s="20"/>
      <c r="AV717" s="20"/>
      <c r="AW717" s="20"/>
      <c r="AX717" s="20"/>
      <c r="AY717" s="20"/>
      <c r="AZ717" s="20"/>
      <c r="BA717" s="20"/>
      <c r="BB717" s="20"/>
      <c r="BC717" s="20"/>
    </row>
    <row r="718" ht="13.5" customHeight="1" spans="1:55">
      <c r="A718" s="20"/>
      <c r="B718" s="20"/>
      <c r="C718" s="20"/>
      <c r="D718" s="20"/>
      <c r="E718" s="20"/>
      <c r="F718" s="20"/>
      <c r="G718" s="52"/>
      <c r="H718" s="20"/>
      <c r="I718" s="20"/>
      <c r="J718" s="20"/>
      <c r="K718" s="20"/>
      <c r="L718" s="20"/>
      <c r="M718" s="20"/>
      <c r="N718" s="20"/>
      <c r="O718" s="20"/>
      <c r="P718" s="20"/>
      <c r="Q718" s="20"/>
      <c r="R718" s="20"/>
      <c r="S718" s="20"/>
      <c r="T718" s="20"/>
      <c r="U718" s="20"/>
      <c r="V718" s="20"/>
      <c r="W718" s="20"/>
      <c r="X718" s="20"/>
      <c r="Y718" s="20"/>
      <c r="Z718" s="20"/>
      <c r="AA718" s="20"/>
      <c r="AB718" s="20"/>
      <c r="AC718" s="20"/>
      <c r="AD718" s="20"/>
      <c r="AE718" s="20"/>
      <c r="AF718" s="20"/>
      <c r="AG718" s="20"/>
      <c r="AH718" s="20"/>
      <c r="AI718" s="20"/>
      <c r="AJ718" s="20"/>
      <c r="AK718" s="20"/>
      <c r="AL718" s="20"/>
      <c r="AM718" s="20"/>
      <c r="AN718" s="20"/>
      <c r="AO718" s="20"/>
      <c r="AP718" s="20"/>
      <c r="AQ718" s="20"/>
      <c r="AR718" s="20"/>
      <c r="AS718" s="20"/>
      <c r="AT718" s="20"/>
      <c r="AU718" s="20"/>
      <c r="AV718" s="20"/>
      <c r="AW718" s="20"/>
      <c r="AX718" s="20"/>
      <c r="AY718" s="20"/>
      <c r="AZ718" s="20"/>
      <c r="BA718" s="20"/>
      <c r="BB718" s="20"/>
      <c r="BC718" s="20"/>
    </row>
    <row r="719" ht="13.5" customHeight="1" spans="1:55">
      <c r="A719" s="20"/>
      <c r="B719" s="20"/>
      <c r="C719" s="20"/>
      <c r="D719" s="20"/>
      <c r="E719" s="20"/>
      <c r="F719" s="20"/>
      <c r="G719" s="52"/>
      <c r="H719" s="20"/>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row>
    <row r="720" ht="13.5" customHeight="1" spans="1:55">
      <c r="A720" s="20"/>
      <c r="B720" s="20"/>
      <c r="C720" s="20"/>
      <c r="D720" s="20"/>
      <c r="E720" s="20"/>
      <c r="F720" s="20"/>
      <c r="G720" s="52"/>
      <c r="H720" s="20"/>
      <c r="I720" s="20"/>
      <c r="J720" s="20"/>
      <c r="K720" s="20"/>
      <c r="L720" s="20"/>
      <c r="M720" s="20"/>
      <c r="N720" s="20"/>
      <c r="O720" s="20"/>
      <c r="P720" s="20"/>
      <c r="Q720" s="20"/>
      <c r="R720" s="20"/>
      <c r="S720" s="20"/>
      <c r="T720" s="20"/>
      <c r="U720" s="20"/>
      <c r="V720" s="20"/>
      <c r="W720" s="20"/>
      <c r="X720" s="20"/>
      <c r="Y720" s="20"/>
      <c r="Z720" s="20"/>
      <c r="AA720" s="20"/>
      <c r="AB720" s="20"/>
      <c r="AC720" s="20"/>
      <c r="AD720" s="20"/>
      <c r="AE720" s="20"/>
      <c r="AF720" s="20"/>
      <c r="AG720" s="20"/>
      <c r="AH720" s="20"/>
      <c r="AI720" s="20"/>
      <c r="AJ720" s="20"/>
      <c r="AK720" s="20"/>
      <c r="AL720" s="20"/>
      <c r="AM720" s="20"/>
      <c r="AN720" s="20"/>
      <c r="AO720" s="20"/>
      <c r="AP720" s="20"/>
      <c r="AQ720" s="20"/>
      <c r="AR720" s="20"/>
      <c r="AS720" s="20"/>
      <c r="AT720" s="20"/>
      <c r="AU720" s="20"/>
      <c r="AV720" s="20"/>
      <c r="AW720" s="20"/>
      <c r="AX720" s="20"/>
      <c r="AY720" s="20"/>
      <c r="AZ720" s="20"/>
      <c r="BA720" s="20"/>
      <c r="BB720" s="20"/>
      <c r="BC720" s="20"/>
    </row>
    <row r="721" ht="13.5" customHeight="1" spans="1:55">
      <c r="A721" s="20"/>
      <c r="B721" s="20"/>
      <c r="C721" s="20"/>
      <c r="D721" s="20"/>
      <c r="E721" s="20"/>
      <c r="F721" s="20"/>
      <c r="G721" s="52"/>
      <c r="H721" s="20"/>
      <c r="I721" s="20"/>
      <c r="J721" s="20"/>
      <c r="K721" s="20"/>
      <c r="L721" s="20"/>
      <c r="M721" s="20"/>
      <c r="N721" s="20"/>
      <c r="O721" s="20"/>
      <c r="P721" s="20"/>
      <c r="Q721" s="20"/>
      <c r="R721" s="20"/>
      <c r="S721" s="20"/>
      <c r="T721" s="20"/>
      <c r="U721" s="20"/>
      <c r="V721" s="20"/>
      <c r="W721" s="20"/>
      <c r="X721" s="20"/>
      <c r="Y721" s="20"/>
      <c r="Z721" s="20"/>
      <c r="AA721" s="20"/>
      <c r="AB721" s="20"/>
      <c r="AC721" s="20"/>
      <c r="AD721" s="20"/>
      <c r="AE721" s="20"/>
      <c r="AF721" s="20"/>
      <c r="AG721" s="20"/>
      <c r="AH721" s="20"/>
      <c r="AI721" s="20"/>
      <c r="AJ721" s="20"/>
      <c r="AK721" s="20"/>
      <c r="AL721" s="20"/>
      <c r="AM721" s="20"/>
      <c r="AN721" s="20"/>
      <c r="AO721" s="20"/>
      <c r="AP721" s="20"/>
      <c r="AQ721" s="20"/>
      <c r="AR721" s="20"/>
      <c r="AS721" s="20"/>
      <c r="AT721" s="20"/>
      <c r="AU721" s="20"/>
      <c r="AV721" s="20"/>
      <c r="AW721" s="20"/>
      <c r="AX721" s="20"/>
      <c r="AY721" s="20"/>
      <c r="AZ721" s="20"/>
      <c r="BA721" s="20"/>
      <c r="BB721" s="20"/>
      <c r="BC721" s="20"/>
    </row>
    <row r="722" ht="13.5" customHeight="1" spans="1:55">
      <c r="A722" s="20"/>
      <c r="B722" s="20"/>
      <c r="C722" s="20"/>
      <c r="D722" s="20"/>
      <c r="E722" s="20"/>
      <c r="F722" s="20"/>
      <c r="G722" s="52"/>
      <c r="H722" s="20"/>
      <c r="I722" s="20"/>
      <c r="J722" s="20"/>
      <c r="K722" s="20"/>
      <c r="L722" s="20"/>
      <c r="M722" s="20"/>
      <c r="N722" s="20"/>
      <c r="O722" s="20"/>
      <c r="P722" s="20"/>
      <c r="Q722" s="20"/>
      <c r="R722" s="20"/>
      <c r="S722" s="20"/>
      <c r="T722" s="20"/>
      <c r="U722" s="20"/>
      <c r="V722" s="20"/>
      <c r="W722" s="20"/>
      <c r="X722" s="20"/>
      <c r="Y722" s="20"/>
      <c r="Z722" s="20"/>
      <c r="AA722" s="20"/>
      <c r="AB722" s="20"/>
      <c r="AC722" s="20"/>
      <c r="AD722" s="20"/>
      <c r="AE722" s="20"/>
      <c r="AF722" s="20"/>
      <c r="AG722" s="20"/>
      <c r="AH722" s="20"/>
      <c r="AI722" s="20"/>
      <c r="AJ722" s="20"/>
      <c r="AK722" s="20"/>
      <c r="AL722" s="20"/>
      <c r="AM722" s="20"/>
      <c r="AN722" s="20"/>
      <c r="AO722" s="20"/>
      <c r="AP722" s="20"/>
      <c r="AQ722" s="20"/>
      <c r="AR722" s="20"/>
      <c r="AS722" s="20"/>
      <c r="AT722" s="20"/>
      <c r="AU722" s="20"/>
      <c r="AV722" s="20"/>
      <c r="AW722" s="20"/>
      <c r="AX722" s="20"/>
      <c r="AY722" s="20"/>
      <c r="AZ722" s="20"/>
      <c r="BA722" s="20"/>
      <c r="BB722" s="20"/>
      <c r="BC722" s="20"/>
    </row>
    <row r="723" ht="13.5" customHeight="1" spans="1:55">
      <c r="A723" s="20"/>
      <c r="B723" s="20"/>
      <c r="C723" s="20"/>
      <c r="D723" s="20"/>
      <c r="E723" s="20"/>
      <c r="F723" s="20"/>
      <c r="G723" s="52"/>
      <c r="H723" s="20"/>
      <c r="I723" s="20"/>
      <c r="J723" s="20"/>
      <c r="K723" s="20"/>
      <c r="L723" s="20"/>
      <c r="M723" s="20"/>
      <c r="N723" s="20"/>
      <c r="O723" s="20"/>
      <c r="P723" s="20"/>
      <c r="Q723" s="20"/>
      <c r="R723" s="20"/>
      <c r="S723" s="20"/>
      <c r="T723" s="20"/>
      <c r="U723" s="20"/>
      <c r="V723" s="20"/>
      <c r="W723" s="20"/>
      <c r="X723" s="20"/>
      <c r="Y723" s="20"/>
      <c r="Z723" s="20"/>
      <c r="AA723" s="20"/>
      <c r="AB723" s="20"/>
      <c r="AC723" s="20"/>
      <c r="AD723" s="20"/>
      <c r="AE723" s="20"/>
      <c r="AF723" s="20"/>
      <c r="AG723" s="20"/>
      <c r="AH723" s="20"/>
      <c r="AI723" s="20"/>
      <c r="AJ723" s="20"/>
      <c r="AK723" s="20"/>
      <c r="AL723" s="20"/>
      <c r="AM723" s="20"/>
      <c r="AN723" s="20"/>
      <c r="AO723" s="20"/>
      <c r="AP723" s="20"/>
      <c r="AQ723" s="20"/>
      <c r="AR723" s="20"/>
      <c r="AS723" s="20"/>
      <c r="AT723" s="20"/>
      <c r="AU723" s="20"/>
      <c r="AV723" s="20"/>
      <c r="AW723" s="20"/>
      <c r="AX723" s="20"/>
      <c r="AY723" s="20"/>
      <c r="AZ723" s="20"/>
      <c r="BA723" s="20"/>
      <c r="BB723" s="20"/>
      <c r="BC723" s="20"/>
    </row>
    <row r="724" ht="13.5" customHeight="1" spans="1:55">
      <c r="A724" s="20"/>
      <c r="B724" s="20"/>
      <c r="C724" s="20"/>
      <c r="D724" s="20"/>
      <c r="E724" s="20"/>
      <c r="F724" s="20"/>
      <c r="G724" s="52"/>
      <c r="H724" s="20"/>
      <c r="I724" s="20"/>
      <c r="J724" s="20"/>
      <c r="K724" s="20"/>
      <c r="L724" s="20"/>
      <c r="M724" s="20"/>
      <c r="N724" s="20"/>
      <c r="O724" s="20"/>
      <c r="P724" s="20"/>
      <c r="Q724" s="20"/>
      <c r="R724" s="20"/>
      <c r="S724" s="20"/>
      <c r="T724" s="20"/>
      <c r="U724" s="20"/>
      <c r="V724" s="20"/>
      <c r="W724" s="20"/>
      <c r="X724" s="20"/>
      <c r="Y724" s="20"/>
      <c r="Z724" s="20"/>
      <c r="AA724" s="20"/>
      <c r="AB724" s="20"/>
      <c r="AC724" s="20"/>
      <c r="AD724" s="20"/>
      <c r="AE724" s="20"/>
      <c r="AF724" s="20"/>
      <c r="AG724" s="20"/>
      <c r="AH724" s="20"/>
      <c r="AI724" s="20"/>
      <c r="AJ724" s="20"/>
      <c r="AK724" s="20"/>
      <c r="AL724" s="20"/>
      <c r="AM724" s="20"/>
      <c r="AN724" s="20"/>
      <c r="AO724" s="20"/>
      <c r="AP724" s="20"/>
      <c r="AQ724" s="20"/>
      <c r="AR724" s="20"/>
      <c r="AS724" s="20"/>
      <c r="AT724" s="20"/>
      <c r="AU724" s="20"/>
      <c r="AV724" s="20"/>
      <c r="AW724" s="20"/>
      <c r="AX724" s="20"/>
      <c r="AY724" s="20"/>
      <c r="AZ724" s="20"/>
      <c r="BA724" s="20"/>
      <c r="BB724" s="20"/>
      <c r="BC724" s="20"/>
    </row>
    <row r="725" ht="13.5" customHeight="1" spans="1:55">
      <c r="A725" s="20"/>
      <c r="B725" s="20"/>
      <c r="C725" s="20"/>
      <c r="D725" s="20"/>
      <c r="E725" s="20"/>
      <c r="F725" s="20"/>
      <c r="G725" s="52"/>
      <c r="H725" s="20"/>
      <c r="I725" s="20"/>
      <c r="J725" s="20"/>
      <c r="K725" s="20"/>
      <c r="L725" s="20"/>
      <c r="M725" s="20"/>
      <c r="N725" s="20"/>
      <c r="O725" s="20"/>
      <c r="P725" s="20"/>
      <c r="Q725" s="20"/>
      <c r="R725" s="20"/>
      <c r="S725" s="20"/>
      <c r="T725" s="20"/>
      <c r="U725" s="20"/>
      <c r="V725" s="20"/>
      <c r="W725" s="20"/>
      <c r="X725" s="20"/>
      <c r="Y725" s="20"/>
      <c r="Z725" s="20"/>
      <c r="AA725" s="20"/>
      <c r="AB725" s="20"/>
      <c r="AC725" s="20"/>
      <c r="AD725" s="20"/>
      <c r="AE725" s="20"/>
      <c r="AF725" s="20"/>
      <c r="AG725" s="20"/>
      <c r="AH725" s="20"/>
      <c r="AI725" s="20"/>
      <c r="AJ725" s="20"/>
      <c r="AK725" s="20"/>
      <c r="AL725" s="20"/>
      <c r="AM725" s="20"/>
      <c r="AN725" s="20"/>
      <c r="AO725" s="20"/>
      <c r="AP725" s="20"/>
      <c r="AQ725" s="20"/>
      <c r="AR725" s="20"/>
      <c r="AS725" s="20"/>
      <c r="AT725" s="20"/>
      <c r="AU725" s="20"/>
      <c r="AV725" s="20"/>
      <c r="AW725" s="20"/>
      <c r="AX725" s="20"/>
      <c r="AY725" s="20"/>
      <c r="AZ725" s="20"/>
      <c r="BA725" s="20"/>
      <c r="BB725" s="20"/>
      <c r="BC725" s="20"/>
    </row>
    <row r="726" ht="13.5" customHeight="1" spans="1:55">
      <c r="A726" s="20"/>
      <c r="B726" s="20"/>
      <c r="C726" s="20"/>
      <c r="D726" s="20"/>
      <c r="E726" s="20"/>
      <c r="F726" s="20"/>
      <c r="G726" s="52"/>
      <c r="H726" s="20"/>
      <c r="I726" s="20"/>
      <c r="J726" s="20"/>
      <c r="K726" s="20"/>
      <c r="L726" s="20"/>
      <c r="M726" s="20"/>
      <c r="N726" s="20"/>
      <c r="O726" s="20"/>
      <c r="P726" s="20"/>
      <c r="Q726" s="20"/>
      <c r="R726" s="20"/>
      <c r="S726" s="20"/>
      <c r="T726" s="20"/>
      <c r="U726" s="20"/>
      <c r="V726" s="20"/>
      <c r="W726" s="20"/>
      <c r="X726" s="20"/>
      <c r="Y726" s="20"/>
      <c r="Z726" s="20"/>
      <c r="AA726" s="20"/>
      <c r="AB726" s="20"/>
      <c r="AC726" s="20"/>
      <c r="AD726" s="20"/>
      <c r="AE726" s="20"/>
      <c r="AF726" s="20"/>
      <c r="AG726" s="20"/>
      <c r="AH726" s="20"/>
      <c r="AI726" s="20"/>
      <c r="AJ726" s="20"/>
      <c r="AK726" s="20"/>
      <c r="AL726" s="20"/>
      <c r="AM726" s="20"/>
      <c r="AN726" s="20"/>
      <c r="AO726" s="20"/>
      <c r="AP726" s="20"/>
      <c r="AQ726" s="20"/>
      <c r="AR726" s="20"/>
      <c r="AS726" s="20"/>
      <c r="AT726" s="20"/>
      <c r="AU726" s="20"/>
      <c r="AV726" s="20"/>
      <c r="AW726" s="20"/>
      <c r="AX726" s="20"/>
      <c r="AY726" s="20"/>
      <c r="AZ726" s="20"/>
      <c r="BA726" s="20"/>
      <c r="BB726" s="20"/>
      <c r="BC726" s="20"/>
    </row>
    <row r="727" ht="13.5" customHeight="1" spans="1:55">
      <c r="A727" s="20"/>
      <c r="B727" s="20"/>
      <c r="C727" s="20"/>
      <c r="D727" s="20"/>
      <c r="E727" s="20"/>
      <c r="F727" s="20"/>
      <c r="G727" s="52"/>
      <c r="H727" s="20"/>
      <c r="I727" s="20"/>
      <c r="J727" s="20"/>
      <c r="K727" s="20"/>
      <c r="L727" s="20"/>
      <c r="M727" s="20"/>
      <c r="N727" s="20"/>
      <c r="O727" s="20"/>
      <c r="P727" s="20"/>
      <c r="Q727" s="20"/>
      <c r="R727" s="20"/>
      <c r="S727" s="20"/>
      <c r="T727" s="20"/>
      <c r="U727" s="20"/>
      <c r="V727" s="20"/>
      <c r="W727" s="20"/>
      <c r="X727" s="20"/>
      <c r="Y727" s="20"/>
      <c r="Z727" s="20"/>
      <c r="AA727" s="20"/>
      <c r="AB727" s="20"/>
      <c r="AC727" s="20"/>
      <c r="AD727" s="20"/>
      <c r="AE727" s="20"/>
      <c r="AF727" s="20"/>
      <c r="AG727" s="20"/>
      <c r="AH727" s="20"/>
      <c r="AI727" s="20"/>
      <c r="AJ727" s="20"/>
      <c r="AK727" s="20"/>
      <c r="AL727" s="20"/>
      <c r="AM727" s="20"/>
      <c r="AN727" s="20"/>
      <c r="AO727" s="20"/>
      <c r="AP727" s="20"/>
      <c r="AQ727" s="20"/>
      <c r="AR727" s="20"/>
      <c r="AS727" s="20"/>
      <c r="AT727" s="20"/>
      <c r="AU727" s="20"/>
      <c r="AV727" s="20"/>
      <c r="AW727" s="20"/>
      <c r="AX727" s="20"/>
      <c r="AY727" s="20"/>
      <c r="AZ727" s="20"/>
      <c r="BA727" s="20"/>
      <c r="BB727" s="20"/>
      <c r="BC727" s="20"/>
    </row>
    <row r="728" ht="13.5" customHeight="1" spans="1:55">
      <c r="A728" s="20"/>
      <c r="B728" s="20"/>
      <c r="C728" s="20"/>
      <c r="D728" s="20"/>
      <c r="E728" s="20"/>
      <c r="F728" s="20"/>
      <c r="G728" s="52"/>
      <c r="H728" s="20"/>
      <c r="I728" s="20"/>
      <c r="J728" s="20"/>
      <c r="K728" s="20"/>
      <c r="L728" s="20"/>
      <c r="M728" s="20"/>
      <c r="N728" s="20"/>
      <c r="O728" s="20"/>
      <c r="P728" s="20"/>
      <c r="Q728" s="20"/>
      <c r="R728" s="20"/>
      <c r="S728" s="20"/>
      <c r="T728" s="20"/>
      <c r="U728" s="20"/>
      <c r="V728" s="20"/>
      <c r="W728" s="20"/>
      <c r="X728" s="20"/>
      <c r="Y728" s="20"/>
      <c r="Z728" s="20"/>
      <c r="AA728" s="20"/>
      <c r="AB728" s="20"/>
      <c r="AC728" s="20"/>
      <c r="AD728" s="20"/>
      <c r="AE728" s="20"/>
      <c r="AF728" s="20"/>
      <c r="AG728" s="20"/>
      <c r="AH728" s="20"/>
      <c r="AI728" s="20"/>
      <c r="AJ728" s="20"/>
      <c r="AK728" s="20"/>
      <c r="AL728" s="20"/>
      <c r="AM728" s="20"/>
      <c r="AN728" s="20"/>
      <c r="AO728" s="20"/>
      <c r="AP728" s="20"/>
      <c r="AQ728" s="20"/>
      <c r="AR728" s="20"/>
      <c r="AS728" s="20"/>
      <c r="AT728" s="20"/>
      <c r="AU728" s="20"/>
      <c r="AV728" s="20"/>
      <c r="AW728" s="20"/>
      <c r="AX728" s="20"/>
      <c r="AY728" s="20"/>
      <c r="AZ728" s="20"/>
      <c r="BA728" s="20"/>
      <c r="BB728" s="20"/>
      <c r="BC728" s="20"/>
    </row>
    <row r="729" ht="13.5" customHeight="1" spans="1:55">
      <c r="A729" s="20"/>
      <c r="B729" s="20"/>
      <c r="C729" s="20"/>
      <c r="D729" s="20"/>
      <c r="E729" s="20"/>
      <c r="F729" s="20"/>
      <c r="G729" s="52"/>
      <c r="H729" s="20"/>
      <c r="I729" s="20"/>
      <c r="J729" s="20"/>
      <c r="K729" s="20"/>
      <c r="L729" s="20"/>
      <c r="M729" s="20"/>
      <c r="N729" s="20"/>
      <c r="O729" s="20"/>
      <c r="P729" s="20"/>
      <c r="Q729" s="20"/>
      <c r="R729" s="20"/>
      <c r="S729" s="20"/>
      <c r="T729" s="20"/>
      <c r="U729" s="20"/>
      <c r="V729" s="20"/>
      <c r="W729" s="20"/>
      <c r="X729" s="20"/>
      <c r="Y729" s="20"/>
      <c r="Z729" s="20"/>
      <c r="AA729" s="20"/>
      <c r="AB729" s="20"/>
      <c r="AC729" s="20"/>
      <c r="AD729" s="20"/>
      <c r="AE729" s="20"/>
      <c r="AF729" s="20"/>
      <c r="AG729" s="20"/>
      <c r="AH729" s="20"/>
      <c r="AI729" s="20"/>
      <c r="AJ729" s="20"/>
      <c r="AK729" s="20"/>
      <c r="AL729" s="20"/>
      <c r="AM729" s="20"/>
      <c r="AN729" s="20"/>
      <c r="AO729" s="20"/>
      <c r="AP729" s="20"/>
      <c r="AQ729" s="20"/>
      <c r="AR729" s="20"/>
      <c r="AS729" s="20"/>
      <c r="AT729" s="20"/>
      <c r="AU729" s="20"/>
      <c r="AV729" s="20"/>
      <c r="AW729" s="20"/>
      <c r="AX729" s="20"/>
      <c r="AY729" s="20"/>
      <c r="AZ729" s="20"/>
      <c r="BA729" s="20"/>
      <c r="BB729" s="20"/>
      <c r="BC729" s="20"/>
    </row>
    <row r="730" ht="13.5" customHeight="1" spans="1:55">
      <c r="A730" s="20"/>
      <c r="B730" s="20"/>
      <c r="C730" s="20"/>
      <c r="D730" s="20"/>
      <c r="E730" s="20"/>
      <c r="F730" s="20"/>
      <c r="G730" s="52"/>
      <c r="H730" s="20"/>
      <c r="I730" s="20"/>
      <c r="J730" s="20"/>
      <c r="K730" s="20"/>
      <c r="L730" s="20"/>
      <c r="M730" s="20"/>
      <c r="N730" s="20"/>
      <c r="O730" s="20"/>
      <c r="P730" s="20"/>
      <c r="Q730" s="20"/>
      <c r="R730" s="20"/>
      <c r="S730" s="20"/>
      <c r="T730" s="20"/>
      <c r="U730" s="20"/>
      <c r="V730" s="20"/>
      <c r="W730" s="20"/>
      <c r="X730" s="20"/>
      <c r="Y730" s="20"/>
      <c r="Z730" s="20"/>
      <c r="AA730" s="20"/>
      <c r="AB730" s="20"/>
      <c r="AC730" s="20"/>
      <c r="AD730" s="20"/>
      <c r="AE730" s="20"/>
      <c r="AF730" s="20"/>
      <c r="AG730" s="20"/>
      <c r="AH730" s="20"/>
      <c r="AI730" s="20"/>
      <c r="AJ730" s="20"/>
      <c r="AK730" s="20"/>
      <c r="AL730" s="20"/>
      <c r="AM730" s="20"/>
      <c r="AN730" s="20"/>
      <c r="AO730" s="20"/>
      <c r="AP730" s="20"/>
      <c r="AQ730" s="20"/>
      <c r="AR730" s="20"/>
      <c r="AS730" s="20"/>
      <c r="AT730" s="20"/>
      <c r="AU730" s="20"/>
      <c r="AV730" s="20"/>
      <c r="AW730" s="20"/>
      <c r="AX730" s="20"/>
      <c r="AY730" s="20"/>
      <c r="AZ730" s="20"/>
      <c r="BA730" s="20"/>
      <c r="BB730" s="20"/>
      <c r="BC730" s="20"/>
    </row>
    <row r="731" ht="13.5" customHeight="1" spans="1:55">
      <c r="A731" s="20"/>
      <c r="B731" s="20"/>
      <c r="C731" s="20"/>
      <c r="D731" s="20"/>
      <c r="E731" s="20"/>
      <c r="F731" s="20"/>
      <c r="G731" s="52"/>
      <c r="H731" s="20"/>
      <c r="I731" s="20"/>
      <c r="J731" s="20"/>
      <c r="K731" s="20"/>
      <c r="L731" s="20"/>
      <c r="M731" s="20"/>
      <c r="N731" s="20"/>
      <c r="O731" s="20"/>
      <c r="P731" s="20"/>
      <c r="Q731" s="20"/>
      <c r="R731" s="20"/>
      <c r="S731" s="20"/>
      <c r="T731" s="20"/>
      <c r="U731" s="20"/>
      <c r="V731" s="20"/>
      <c r="W731" s="20"/>
      <c r="X731" s="20"/>
      <c r="Y731" s="20"/>
      <c r="Z731" s="20"/>
      <c r="AA731" s="20"/>
      <c r="AB731" s="20"/>
      <c r="AC731" s="20"/>
      <c r="AD731" s="20"/>
      <c r="AE731" s="20"/>
      <c r="AF731" s="20"/>
      <c r="AG731" s="20"/>
      <c r="AH731" s="20"/>
      <c r="AI731" s="20"/>
      <c r="AJ731" s="20"/>
      <c r="AK731" s="20"/>
      <c r="AL731" s="20"/>
      <c r="AM731" s="20"/>
      <c r="AN731" s="20"/>
      <c r="AO731" s="20"/>
      <c r="AP731" s="20"/>
      <c r="AQ731" s="20"/>
      <c r="AR731" s="20"/>
      <c r="AS731" s="20"/>
      <c r="AT731" s="20"/>
      <c r="AU731" s="20"/>
      <c r="AV731" s="20"/>
      <c r="AW731" s="20"/>
      <c r="AX731" s="20"/>
      <c r="AY731" s="20"/>
      <c r="AZ731" s="20"/>
      <c r="BA731" s="20"/>
      <c r="BB731" s="20"/>
      <c r="BC731" s="20"/>
    </row>
    <row r="732" ht="13.5" customHeight="1" spans="1:55">
      <c r="A732" s="20"/>
      <c r="B732" s="20"/>
      <c r="C732" s="20"/>
      <c r="D732" s="20"/>
      <c r="E732" s="20"/>
      <c r="F732" s="20"/>
      <c r="G732" s="52"/>
      <c r="H732" s="20"/>
      <c r="I732" s="20"/>
      <c r="J732" s="20"/>
      <c r="K732" s="20"/>
      <c r="L732" s="20"/>
      <c r="M732" s="20"/>
      <c r="N732" s="20"/>
      <c r="O732" s="20"/>
      <c r="P732" s="20"/>
      <c r="Q732" s="20"/>
      <c r="R732" s="20"/>
      <c r="S732" s="20"/>
      <c r="T732" s="20"/>
      <c r="U732" s="20"/>
      <c r="V732" s="20"/>
      <c r="W732" s="20"/>
      <c r="X732" s="20"/>
      <c r="Y732" s="20"/>
      <c r="Z732" s="20"/>
      <c r="AA732" s="20"/>
      <c r="AB732" s="20"/>
      <c r="AC732" s="20"/>
      <c r="AD732" s="20"/>
      <c r="AE732" s="20"/>
      <c r="AF732" s="20"/>
      <c r="AG732" s="20"/>
      <c r="AH732" s="20"/>
      <c r="AI732" s="20"/>
      <c r="AJ732" s="20"/>
      <c r="AK732" s="20"/>
      <c r="AL732" s="20"/>
      <c r="AM732" s="20"/>
      <c r="AN732" s="20"/>
      <c r="AO732" s="20"/>
      <c r="AP732" s="20"/>
      <c r="AQ732" s="20"/>
      <c r="AR732" s="20"/>
      <c r="AS732" s="20"/>
      <c r="AT732" s="20"/>
      <c r="AU732" s="20"/>
      <c r="AV732" s="20"/>
      <c r="AW732" s="20"/>
      <c r="AX732" s="20"/>
      <c r="AY732" s="20"/>
      <c r="AZ732" s="20"/>
      <c r="BA732" s="20"/>
      <c r="BB732" s="20"/>
      <c r="BC732" s="20"/>
    </row>
    <row r="733" ht="13.5" customHeight="1" spans="1:55">
      <c r="A733" s="20"/>
      <c r="B733" s="20"/>
      <c r="C733" s="20"/>
      <c r="D733" s="20"/>
      <c r="E733" s="20"/>
      <c r="F733" s="20"/>
      <c r="G733" s="52"/>
      <c r="H733" s="20"/>
      <c r="I733" s="20"/>
      <c r="J733" s="20"/>
      <c r="K733" s="20"/>
      <c r="L733" s="20"/>
      <c r="M733" s="20"/>
      <c r="N733" s="20"/>
      <c r="O733" s="20"/>
      <c r="P733" s="20"/>
      <c r="Q733" s="20"/>
      <c r="R733" s="20"/>
      <c r="S733" s="20"/>
      <c r="T733" s="20"/>
      <c r="U733" s="20"/>
      <c r="V733" s="20"/>
      <c r="W733" s="20"/>
      <c r="X733" s="20"/>
      <c r="Y733" s="20"/>
      <c r="Z733" s="20"/>
      <c r="AA733" s="20"/>
      <c r="AB733" s="20"/>
      <c r="AC733" s="20"/>
      <c r="AD733" s="20"/>
      <c r="AE733" s="20"/>
      <c r="AF733" s="20"/>
      <c r="AG733" s="20"/>
      <c r="AH733" s="20"/>
      <c r="AI733" s="20"/>
      <c r="AJ733" s="20"/>
      <c r="AK733" s="20"/>
      <c r="AL733" s="20"/>
      <c r="AM733" s="20"/>
      <c r="AN733" s="20"/>
      <c r="AO733" s="20"/>
      <c r="AP733" s="20"/>
      <c r="AQ733" s="20"/>
      <c r="AR733" s="20"/>
      <c r="AS733" s="20"/>
      <c r="AT733" s="20"/>
      <c r="AU733" s="20"/>
      <c r="AV733" s="20"/>
      <c r="AW733" s="20"/>
      <c r="AX733" s="20"/>
      <c r="AY733" s="20"/>
      <c r="AZ733" s="20"/>
      <c r="BA733" s="20"/>
      <c r="BB733" s="20"/>
      <c r="BC733" s="20"/>
    </row>
    <row r="734" ht="13.5" customHeight="1" spans="1:55">
      <c r="A734" s="20"/>
      <c r="B734" s="20"/>
      <c r="C734" s="20"/>
      <c r="D734" s="20"/>
      <c r="E734" s="20"/>
      <c r="F734" s="20"/>
      <c r="G734" s="52"/>
      <c r="H734" s="20"/>
      <c r="I734" s="20"/>
      <c r="J734" s="20"/>
      <c r="K734" s="20"/>
      <c r="L734" s="20"/>
      <c r="M734" s="20"/>
      <c r="N734" s="20"/>
      <c r="O734" s="20"/>
      <c r="P734" s="20"/>
      <c r="Q734" s="20"/>
      <c r="R734" s="20"/>
      <c r="S734" s="20"/>
      <c r="T734" s="20"/>
      <c r="U734" s="20"/>
      <c r="V734" s="20"/>
      <c r="W734" s="20"/>
      <c r="X734" s="20"/>
      <c r="Y734" s="20"/>
      <c r="Z734" s="20"/>
      <c r="AA734" s="20"/>
      <c r="AB734" s="20"/>
      <c r="AC734" s="20"/>
      <c r="AD734" s="20"/>
      <c r="AE734" s="20"/>
      <c r="AF734" s="20"/>
      <c r="AG734" s="20"/>
      <c r="AH734" s="20"/>
      <c r="AI734" s="20"/>
      <c r="AJ734" s="20"/>
      <c r="AK734" s="20"/>
      <c r="AL734" s="20"/>
      <c r="AM734" s="20"/>
      <c r="AN734" s="20"/>
      <c r="AO734" s="20"/>
      <c r="AP734" s="20"/>
      <c r="AQ734" s="20"/>
      <c r="AR734" s="20"/>
      <c r="AS734" s="20"/>
      <c r="AT734" s="20"/>
      <c r="AU734" s="20"/>
      <c r="AV734" s="20"/>
      <c r="AW734" s="20"/>
      <c r="AX734" s="20"/>
      <c r="AY734" s="20"/>
      <c r="AZ734" s="20"/>
      <c r="BA734" s="20"/>
      <c r="BB734" s="20"/>
      <c r="BC734" s="20"/>
    </row>
    <row r="735" ht="13.5" customHeight="1" spans="1:55">
      <c r="A735" s="20"/>
      <c r="B735" s="20"/>
      <c r="C735" s="20"/>
      <c r="D735" s="20"/>
      <c r="E735" s="20"/>
      <c r="F735" s="20"/>
      <c r="G735" s="52"/>
      <c r="H735" s="20"/>
      <c r="I735" s="20"/>
      <c r="J735" s="20"/>
      <c r="K735" s="20"/>
      <c r="L735" s="20"/>
      <c r="M735" s="20"/>
      <c r="N735" s="20"/>
      <c r="O735" s="20"/>
      <c r="P735" s="20"/>
      <c r="Q735" s="20"/>
      <c r="R735" s="20"/>
      <c r="S735" s="20"/>
      <c r="T735" s="20"/>
      <c r="U735" s="20"/>
      <c r="V735" s="20"/>
      <c r="W735" s="20"/>
      <c r="X735" s="20"/>
      <c r="Y735" s="20"/>
      <c r="Z735" s="20"/>
      <c r="AA735" s="20"/>
      <c r="AB735" s="20"/>
      <c r="AC735" s="20"/>
      <c r="AD735" s="20"/>
      <c r="AE735" s="20"/>
      <c r="AF735" s="20"/>
      <c r="AG735" s="20"/>
      <c r="AH735" s="20"/>
      <c r="AI735" s="20"/>
      <c r="AJ735" s="20"/>
      <c r="AK735" s="20"/>
      <c r="AL735" s="20"/>
      <c r="AM735" s="20"/>
      <c r="AN735" s="20"/>
      <c r="AO735" s="20"/>
      <c r="AP735" s="20"/>
      <c r="AQ735" s="20"/>
      <c r="AR735" s="20"/>
      <c r="AS735" s="20"/>
      <c r="AT735" s="20"/>
      <c r="AU735" s="20"/>
      <c r="AV735" s="20"/>
      <c r="AW735" s="20"/>
      <c r="AX735" s="20"/>
      <c r="AY735" s="20"/>
      <c r="AZ735" s="20"/>
      <c r="BA735" s="20"/>
      <c r="BB735" s="20"/>
      <c r="BC735" s="20"/>
    </row>
    <row r="736" ht="13.5" customHeight="1" spans="1:55">
      <c r="A736" s="20"/>
      <c r="B736" s="20"/>
      <c r="C736" s="20"/>
      <c r="D736" s="20"/>
      <c r="E736" s="20"/>
      <c r="F736" s="20"/>
      <c r="G736" s="52"/>
      <c r="H736" s="20"/>
      <c r="I736" s="20"/>
      <c r="J736" s="20"/>
      <c r="K736" s="20"/>
      <c r="L736" s="20"/>
      <c r="M736" s="20"/>
      <c r="N736" s="20"/>
      <c r="O736" s="20"/>
      <c r="P736" s="20"/>
      <c r="Q736" s="20"/>
      <c r="R736" s="20"/>
      <c r="S736" s="20"/>
      <c r="T736" s="20"/>
      <c r="U736" s="20"/>
      <c r="V736" s="20"/>
      <c r="W736" s="20"/>
      <c r="X736" s="20"/>
      <c r="Y736" s="20"/>
      <c r="Z736" s="20"/>
      <c r="AA736" s="20"/>
      <c r="AB736" s="20"/>
      <c r="AC736" s="20"/>
      <c r="AD736" s="20"/>
      <c r="AE736" s="20"/>
      <c r="AF736" s="20"/>
      <c r="AG736" s="20"/>
      <c r="AH736" s="20"/>
      <c r="AI736" s="20"/>
      <c r="AJ736" s="20"/>
      <c r="AK736" s="20"/>
      <c r="AL736" s="20"/>
      <c r="AM736" s="20"/>
      <c r="AN736" s="20"/>
      <c r="AO736" s="20"/>
      <c r="AP736" s="20"/>
      <c r="AQ736" s="20"/>
      <c r="AR736" s="20"/>
      <c r="AS736" s="20"/>
      <c r="AT736" s="20"/>
      <c r="AU736" s="20"/>
      <c r="AV736" s="20"/>
      <c r="AW736" s="20"/>
      <c r="AX736" s="20"/>
      <c r="AY736" s="20"/>
      <c r="AZ736" s="20"/>
      <c r="BA736" s="20"/>
      <c r="BB736" s="20"/>
      <c r="BC736" s="20"/>
    </row>
    <row r="737" ht="13.5" customHeight="1" spans="1:55">
      <c r="A737" s="20"/>
      <c r="B737" s="20"/>
      <c r="C737" s="20"/>
      <c r="D737" s="20"/>
      <c r="E737" s="20"/>
      <c r="F737" s="20"/>
      <c r="G737" s="52"/>
      <c r="H737" s="20"/>
      <c r="I737" s="20"/>
      <c r="J737" s="20"/>
      <c r="K737" s="20"/>
      <c r="L737" s="20"/>
      <c r="M737" s="20"/>
      <c r="N737" s="20"/>
      <c r="O737" s="20"/>
      <c r="P737" s="20"/>
      <c r="Q737" s="20"/>
      <c r="R737" s="20"/>
      <c r="S737" s="20"/>
      <c r="T737" s="20"/>
      <c r="U737" s="20"/>
      <c r="V737" s="20"/>
      <c r="W737" s="20"/>
      <c r="X737" s="20"/>
      <c r="Y737" s="20"/>
      <c r="Z737" s="20"/>
      <c r="AA737" s="20"/>
      <c r="AB737" s="20"/>
      <c r="AC737" s="20"/>
      <c r="AD737" s="20"/>
      <c r="AE737" s="20"/>
      <c r="AF737" s="20"/>
      <c r="AG737" s="20"/>
      <c r="AH737" s="20"/>
      <c r="AI737" s="20"/>
      <c r="AJ737" s="20"/>
      <c r="AK737" s="20"/>
      <c r="AL737" s="20"/>
      <c r="AM737" s="20"/>
      <c r="AN737" s="20"/>
      <c r="AO737" s="20"/>
      <c r="AP737" s="20"/>
      <c r="AQ737" s="20"/>
      <c r="AR737" s="20"/>
      <c r="AS737" s="20"/>
      <c r="AT737" s="20"/>
      <c r="AU737" s="20"/>
      <c r="AV737" s="20"/>
      <c r="AW737" s="20"/>
      <c r="AX737" s="20"/>
      <c r="AY737" s="20"/>
      <c r="AZ737" s="20"/>
      <c r="BA737" s="20"/>
      <c r="BB737" s="20"/>
      <c r="BC737" s="20"/>
    </row>
    <row r="738" ht="13.5" customHeight="1" spans="1:55">
      <c r="A738" s="20"/>
      <c r="B738" s="20"/>
      <c r="C738" s="20"/>
      <c r="D738" s="20"/>
      <c r="E738" s="20"/>
      <c r="F738" s="20"/>
      <c r="G738" s="52"/>
      <c r="H738" s="20"/>
      <c r="I738" s="20"/>
      <c r="J738" s="20"/>
      <c r="K738" s="20"/>
      <c r="L738" s="20"/>
      <c r="M738" s="20"/>
      <c r="N738" s="20"/>
      <c r="O738" s="20"/>
      <c r="P738" s="20"/>
      <c r="Q738" s="20"/>
      <c r="R738" s="20"/>
      <c r="S738" s="20"/>
      <c r="T738" s="20"/>
      <c r="U738" s="20"/>
      <c r="V738" s="20"/>
      <c r="W738" s="20"/>
      <c r="X738" s="20"/>
      <c r="Y738" s="20"/>
      <c r="Z738" s="20"/>
      <c r="AA738" s="20"/>
      <c r="AB738" s="20"/>
      <c r="AC738" s="20"/>
      <c r="AD738" s="20"/>
      <c r="AE738" s="20"/>
      <c r="AF738" s="20"/>
      <c r="AG738" s="20"/>
      <c r="AH738" s="20"/>
      <c r="AI738" s="20"/>
      <c r="AJ738" s="20"/>
      <c r="AK738" s="20"/>
      <c r="AL738" s="20"/>
      <c r="AM738" s="20"/>
      <c r="AN738" s="20"/>
      <c r="AO738" s="20"/>
      <c r="AP738" s="20"/>
      <c r="AQ738" s="20"/>
      <c r="AR738" s="20"/>
      <c r="AS738" s="20"/>
      <c r="AT738" s="20"/>
      <c r="AU738" s="20"/>
      <c r="AV738" s="20"/>
      <c r="AW738" s="20"/>
      <c r="AX738" s="20"/>
      <c r="AY738" s="20"/>
      <c r="AZ738" s="20"/>
      <c r="BA738" s="20"/>
      <c r="BB738" s="20"/>
      <c r="BC738" s="20"/>
    </row>
    <row r="739" ht="13.5" customHeight="1" spans="1:55">
      <c r="A739" s="20"/>
      <c r="B739" s="20"/>
      <c r="C739" s="20"/>
      <c r="D739" s="20"/>
      <c r="E739" s="20"/>
      <c r="F739" s="20"/>
      <c r="G739" s="52"/>
      <c r="H739" s="20"/>
      <c r="I739" s="20"/>
      <c r="J739" s="20"/>
      <c r="K739" s="20"/>
      <c r="L739" s="20"/>
      <c r="M739" s="20"/>
      <c r="N739" s="20"/>
      <c r="O739" s="20"/>
      <c r="P739" s="20"/>
      <c r="Q739" s="20"/>
      <c r="R739" s="20"/>
      <c r="S739" s="20"/>
      <c r="T739" s="20"/>
      <c r="U739" s="20"/>
      <c r="V739" s="20"/>
      <c r="W739" s="20"/>
      <c r="X739" s="20"/>
      <c r="Y739" s="20"/>
      <c r="Z739" s="20"/>
      <c r="AA739" s="20"/>
      <c r="AB739" s="20"/>
      <c r="AC739" s="20"/>
      <c r="AD739" s="20"/>
      <c r="AE739" s="20"/>
      <c r="AF739" s="20"/>
      <c r="AG739" s="20"/>
      <c r="AH739" s="20"/>
      <c r="AI739" s="20"/>
      <c r="AJ739" s="20"/>
      <c r="AK739" s="20"/>
      <c r="AL739" s="20"/>
      <c r="AM739" s="20"/>
      <c r="AN739" s="20"/>
      <c r="AO739" s="20"/>
      <c r="AP739" s="20"/>
      <c r="AQ739" s="20"/>
      <c r="AR739" s="20"/>
      <c r="AS739" s="20"/>
      <c r="AT739" s="20"/>
      <c r="AU739" s="20"/>
      <c r="AV739" s="20"/>
      <c r="AW739" s="20"/>
      <c r="AX739" s="20"/>
      <c r="AY739" s="20"/>
      <c r="AZ739" s="20"/>
      <c r="BA739" s="20"/>
      <c r="BB739" s="20"/>
      <c r="BC739" s="20"/>
    </row>
    <row r="740" ht="13.5" customHeight="1" spans="1:55">
      <c r="A740" s="20"/>
      <c r="B740" s="20"/>
      <c r="C740" s="20"/>
      <c r="D740" s="20"/>
      <c r="E740" s="20"/>
      <c r="F740" s="20"/>
      <c r="G740" s="52"/>
      <c r="H740" s="20"/>
      <c r="I740" s="20"/>
      <c r="J740" s="20"/>
      <c r="K740" s="20"/>
      <c r="L740" s="20"/>
      <c r="M740" s="20"/>
      <c r="N740" s="20"/>
      <c r="O740" s="20"/>
      <c r="P740" s="20"/>
      <c r="Q740" s="20"/>
      <c r="R740" s="20"/>
      <c r="S740" s="20"/>
      <c r="T740" s="20"/>
      <c r="U740" s="20"/>
      <c r="V740" s="20"/>
      <c r="W740" s="20"/>
      <c r="X740" s="20"/>
      <c r="Y740" s="20"/>
      <c r="Z740" s="20"/>
      <c r="AA740" s="20"/>
      <c r="AB740" s="20"/>
      <c r="AC740" s="20"/>
      <c r="AD740" s="20"/>
      <c r="AE740" s="20"/>
      <c r="AF740" s="20"/>
      <c r="AG740" s="20"/>
      <c r="AH740" s="20"/>
      <c r="AI740" s="20"/>
      <c r="AJ740" s="20"/>
      <c r="AK740" s="20"/>
      <c r="AL740" s="20"/>
      <c r="AM740" s="20"/>
      <c r="AN740" s="20"/>
      <c r="AO740" s="20"/>
      <c r="AP740" s="20"/>
      <c r="AQ740" s="20"/>
      <c r="AR740" s="20"/>
      <c r="AS740" s="20"/>
      <c r="AT740" s="20"/>
      <c r="AU740" s="20"/>
      <c r="AV740" s="20"/>
      <c r="AW740" s="20"/>
      <c r="AX740" s="20"/>
      <c r="AY740" s="20"/>
      <c r="AZ740" s="20"/>
      <c r="BA740" s="20"/>
      <c r="BB740" s="20"/>
      <c r="BC740" s="20"/>
    </row>
    <row r="741" ht="13.5" customHeight="1" spans="1:55">
      <c r="A741" s="20"/>
      <c r="B741" s="20"/>
      <c r="C741" s="20"/>
      <c r="D741" s="20"/>
      <c r="E741" s="20"/>
      <c r="F741" s="20"/>
      <c r="G741" s="52"/>
      <c r="H741" s="20"/>
      <c r="I741" s="20"/>
      <c r="J741" s="20"/>
      <c r="K741" s="20"/>
      <c r="L741" s="20"/>
      <c r="M741" s="20"/>
      <c r="N741" s="20"/>
      <c r="O741" s="20"/>
      <c r="P741" s="20"/>
      <c r="Q741" s="20"/>
      <c r="R741" s="20"/>
      <c r="S741" s="20"/>
      <c r="T741" s="20"/>
      <c r="U741" s="20"/>
      <c r="V741" s="20"/>
      <c r="W741" s="20"/>
      <c r="X741" s="20"/>
      <c r="Y741" s="20"/>
      <c r="Z741" s="20"/>
      <c r="AA741" s="20"/>
      <c r="AB741" s="20"/>
      <c r="AC741" s="20"/>
      <c r="AD741" s="20"/>
      <c r="AE741" s="20"/>
      <c r="AF741" s="20"/>
      <c r="AG741" s="20"/>
      <c r="AH741" s="20"/>
      <c r="AI741" s="20"/>
      <c r="AJ741" s="20"/>
      <c r="AK741" s="20"/>
      <c r="AL741" s="20"/>
      <c r="AM741" s="20"/>
      <c r="AN741" s="20"/>
      <c r="AO741" s="20"/>
      <c r="AP741" s="20"/>
      <c r="AQ741" s="20"/>
      <c r="AR741" s="20"/>
      <c r="AS741" s="20"/>
      <c r="AT741" s="20"/>
      <c r="AU741" s="20"/>
      <c r="AV741" s="20"/>
      <c r="AW741" s="20"/>
      <c r="AX741" s="20"/>
      <c r="AY741" s="20"/>
      <c r="AZ741" s="20"/>
      <c r="BA741" s="20"/>
      <c r="BB741" s="20"/>
      <c r="BC741" s="20"/>
    </row>
    <row r="742" ht="13.5" customHeight="1" spans="1:55">
      <c r="A742" s="20"/>
      <c r="B742" s="20"/>
      <c r="C742" s="20"/>
      <c r="D742" s="20"/>
      <c r="E742" s="20"/>
      <c r="F742" s="20"/>
      <c r="G742" s="52"/>
      <c r="H742" s="20"/>
      <c r="I742" s="20"/>
      <c r="J742" s="20"/>
      <c r="K742" s="20"/>
      <c r="L742" s="20"/>
      <c r="M742" s="20"/>
      <c r="N742" s="20"/>
      <c r="O742" s="20"/>
      <c r="P742" s="20"/>
      <c r="Q742" s="20"/>
      <c r="R742" s="20"/>
      <c r="S742" s="20"/>
      <c r="T742" s="20"/>
      <c r="U742" s="20"/>
      <c r="V742" s="20"/>
      <c r="W742" s="20"/>
      <c r="X742" s="20"/>
      <c r="Y742" s="20"/>
      <c r="Z742" s="20"/>
      <c r="AA742" s="20"/>
      <c r="AB742" s="20"/>
      <c r="AC742" s="20"/>
      <c r="AD742" s="20"/>
      <c r="AE742" s="20"/>
      <c r="AF742" s="20"/>
      <c r="AG742" s="20"/>
      <c r="AH742" s="20"/>
      <c r="AI742" s="20"/>
      <c r="AJ742" s="20"/>
      <c r="AK742" s="20"/>
      <c r="AL742" s="20"/>
      <c r="AM742" s="20"/>
      <c r="AN742" s="20"/>
      <c r="AO742" s="20"/>
      <c r="AP742" s="20"/>
      <c r="AQ742" s="20"/>
      <c r="AR742" s="20"/>
      <c r="AS742" s="20"/>
      <c r="AT742" s="20"/>
      <c r="AU742" s="20"/>
      <c r="AV742" s="20"/>
      <c r="AW742" s="20"/>
      <c r="AX742" s="20"/>
      <c r="AY742" s="20"/>
      <c r="AZ742" s="20"/>
      <c r="BA742" s="20"/>
      <c r="BB742" s="20"/>
      <c r="BC742" s="20"/>
    </row>
    <row r="743" ht="13.5" customHeight="1" spans="1:55">
      <c r="A743" s="20"/>
      <c r="B743" s="20"/>
      <c r="C743" s="20"/>
      <c r="D743" s="20"/>
      <c r="E743" s="20"/>
      <c r="F743" s="20"/>
      <c r="G743" s="52"/>
      <c r="H743" s="20"/>
      <c r="I743" s="20"/>
      <c r="J743" s="20"/>
      <c r="K743" s="20"/>
      <c r="L743" s="20"/>
      <c r="M743" s="20"/>
      <c r="N743" s="20"/>
      <c r="O743" s="20"/>
      <c r="P743" s="20"/>
      <c r="Q743" s="20"/>
      <c r="R743" s="20"/>
      <c r="S743" s="20"/>
      <c r="T743" s="20"/>
      <c r="U743" s="20"/>
      <c r="V743" s="20"/>
      <c r="W743" s="20"/>
      <c r="X743" s="20"/>
      <c r="Y743" s="20"/>
      <c r="Z743" s="20"/>
      <c r="AA743" s="20"/>
      <c r="AB743" s="20"/>
      <c r="AC743" s="20"/>
      <c r="AD743" s="20"/>
      <c r="AE743" s="20"/>
      <c r="AF743" s="20"/>
      <c r="AG743" s="20"/>
      <c r="AH743" s="20"/>
      <c r="AI743" s="20"/>
      <c r="AJ743" s="20"/>
      <c r="AK743" s="20"/>
      <c r="AL743" s="20"/>
      <c r="AM743" s="20"/>
      <c r="AN743" s="20"/>
      <c r="AO743" s="20"/>
      <c r="AP743" s="20"/>
      <c r="AQ743" s="20"/>
      <c r="AR743" s="20"/>
      <c r="AS743" s="20"/>
      <c r="AT743" s="20"/>
      <c r="AU743" s="20"/>
      <c r="AV743" s="20"/>
      <c r="AW743" s="20"/>
      <c r="AX743" s="20"/>
      <c r="AY743" s="20"/>
      <c r="AZ743" s="20"/>
      <c r="BA743" s="20"/>
      <c r="BB743" s="20"/>
      <c r="BC743" s="20"/>
    </row>
    <row r="744" ht="13.5" customHeight="1" spans="1:55">
      <c r="A744" s="20"/>
      <c r="B744" s="20"/>
      <c r="C744" s="20"/>
      <c r="D744" s="20"/>
      <c r="E744" s="20"/>
      <c r="F744" s="20"/>
      <c r="G744" s="52"/>
      <c r="H744" s="20"/>
      <c r="I744" s="20"/>
      <c r="J744" s="20"/>
      <c r="K744" s="20"/>
      <c r="L744" s="20"/>
      <c r="M744" s="20"/>
      <c r="N744" s="20"/>
      <c r="O744" s="20"/>
      <c r="P744" s="20"/>
      <c r="Q744" s="20"/>
      <c r="R744" s="20"/>
      <c r="S744" s="20"/>
      <c r="T744" s="20"/>
      <c r="U744" s="20"/>
      <c r="V744" s="20"/>
      <c r="W744" s="20"/>
      <c r="X744" s="20"/>
      <c r="Y744" s="20"/>
      <c r="Z744" s="20"/>
      <c r="AA744" s="20"/>
      <c r="AB744" s="20"/>
      <c r="AC744" s="20"/>
      <c r="AD744" s="20"/>
      <c r="AE744" s="20"/>
      <c r="AF744" s="20"/>
      <c r="AG744" s="20"/>
      <c r="AH744" s="20"/>
      <c r="AI744" s="20"/>
      <c r="AJ744" s="20"/>
      <c r="AK744" s="20"/>
      <c r="AL744" s="20"/>
      <c r="AM744" s="20"/>
      <c r="AN744" s="20"/>
      <c r="AO744" s="20"/>
      <c r="AP744" s="20"/>
      <c r="AQ744" s="20"/>
      <c r="AR744" s="20"/>
      <c r="AS744" s="20"/>
      <c r="AT744" s="20"/>
      <c r="AU744" s="20"/>
      <c r="AV744" s="20"/>
      <c r="AW744" s="20"/>
      <c r="AX744" s="20"/>
      <c r="AY744" s="20"/>
      <c r="AZ744" s="20"/>
      <c r="BA744" s="20"/>
      <c r="BB744" s="20"/>
      <c r="BC744" s="20"/>
    </row>
    <row r="745" ht="13.5" customHeight="1" spans="1:55">
      <c r="A745" s="20"/>
      <c r="B745" s="20"/>
      <c r="C745" s="20"/>
      <c r="D745" s="20"/>
      <c r="E745" s="20"/>
      <c r="F745" s="20"/>
      <c r="G745" s="52"/>
      <c r="H745" s="20"/>
      <c r="I745" s="20"/>
      <c r="J745" s="20"/>
      <c r="K745" s="20"/>
      <c r="L745" s="20"/>
      <c r="M745" s="20"/>
      <c r="N745" s="20"/>
      <c r="O745" s="20"/>
      <c r="P745" s="20"/>
      <c r="Q745" s="20"/>
      <c r="R745" s="20"/>
      <c r="S745" s="20"/>
      <c r="T745" s="20"/>
      <c r="U745" s="20"/>
      <c r="V745" s="20"/>
      <c r="W745" s="20"/>
      <c r="X745" s="20"/>
      <c r="Y745" s="20"/>
      <c r="Z745" s="20"/>
      <c r="AA745" s="20"/>
      <c r="AB745" s="20"/>
      <c r="AC745" s="20"/>
      <c r="AD745" s="20"/>
      <c r="AE745" s="20"/>
      <c r="AF745" s="20"/>
      <c r="AG745" s="20"/>
      <c r="AH745" s="20"/>
      <c r="AI745" s="20"/>
      <c r="AJ745" s="20"/>
      <c r="AK745" s="20"/>
      <c r="AL745" s="20"/>
      <c r="AM745" s="20"/>
      <c r="AN745" s="20"/>
      <c r="AO745" s="20"/>
      <c r="AP745" s="20"/>
      <c r="AQ745" s="20"/>
      <c r="AR745" s="20"/>
      <c r="AS745" s="20"/>
      <c r="AT745" s="20"/>
      <c r="AU745" s="20"/>
      <c r="AV745" s="20"/>
      <c r="AW745" s="20"/>
      <c r="AX745" s="20"/>
      <c r="AY745" s="20"/>
      <c r="AZ745" s="20"/>
      <c r="BA745" s="20"/>
      <c r="BB745" s="20"/>
      <c r="BC745" s="20"/>
    </row>
    <row r="746" ht="13.5" customHeight="1" spans="1:55">
      <c r="A746" s="20"/>
      <c r="B746" s="20"/>
      <c r="C746" s="20"/>
      <c r="D746" s="20"/>
      <c r="E746" s="20"/>
      <c r="F746" s="20"/>
      <c r="G746" s="52"/>
      <c r="H746" s="20"/>
      <c r="I746" s="20"/>
      <c r="J746" s="20"/>
      <c r="K746" s="20"/>
      <c r="L746" s="20"/>
      <c r="M746" s="20"/>
      <c r="N746" s="20"/>
      <c r="O746" s="20"/>
      <c r="P746" s="20"/>
      <c r="Q746" s="20"/>
      <c r="R746" s="20"/>
      <c r="S746" s="20"/>
      <c r="T746" s="20"/>
      <c r="U746" s="20"/>
      <c r="V746" s="20"/>
      <c r="W746" s="20"/>
      <c r="X746" s="20"/>
      <c r="Y746" s="20"/>
      <c r="Z746" s="20"/>
      <c r="AA746" s="20"/>
      <c r="AB746" s="20"/>
      <c r="AC746" s="20"/>
      <c r="AD746" s="20"/>
      <c r="AE746" s="20"/>
      <c r="AF746" s="20"/>
      <c r="AG746" s="20"/>
      <c r="AH746" s="20"/>
      <c r="AI746" s="20"/>
      <c r="AJ746" s="20"/>
      <c r="AK746" s="20"/>
      <c r="AL746" s="20"/>
      <c r="AM746" s="20"/>
      <c r="AN746" s="20"/>
      <c r="AO746" s="20"/>
      <c r="AP746" s="20"/>
      <c r="AQ746" s="20"/>
      <c r="AR746" s="20"/>
      <c r="AS746" s="20"/>
      <c r="AT746" s="20"/>
      <c r="AU746" s="20"/>
      <c r="AV746" s="20"/>
      <c r="AW746" s="20"/>
      <c r="AX746" s="20"/>
      <c r="AY746" s="20"/>
      <c r="AZ746" s="20"/>
      <c r="BA746" s="20"/>
      <c r="BB746" s="20"/>
      <c r="BC746" s="20"/>
    </row>
    <row r="747" ht="13.5" customHeight="1" spans="1:55">
      <c r="A747" s="20"/>
      <c r="B747" s="20"/>
      <c r="C747" s="20"/>
      <c r="D747" s="20"/>
      <c r="E747" s="20"/>
      <c r="F747" s="20"/>
      <c r="G747" s="52"/>
      <c r="H747" s="20"/>
      <c r="I747" s="20"/>
      <c r="J747" s="20"/>
      <c r="K747" s="20"/>
      <c r="L747" s="20"/>
      <c r="M747" s="20"/>
      <c r="N747" s="20"/>
      <c r="O747" s="20"/>
      <c r="P747" s="20"/>
      <c r="Q747" s="20"/>
      <c r="R747" s="20"/>
      <c r="S747" s="20"/>
      <c r="T747" s="20"/>
      <c r="U747" s="20"/>
      <c r="V747" s="20"/>
      <c r="W747" s="20"/>
      <c r="X747" s="20"/>
      <c r="Y747" s="20"/>
      <c r="Z747" s="20"/>
      <c r="AA747" s="20"/>
      <c r="AB747" s="20"/>
      <c r="AC747" s="20"/>
      <c r="AD747" s="20"/>
      <c r="AE747" s="20"/>
      <c r="AF747" s="20"/>
      <c r="AG747" s="20"/>
      <c r="AH747" s="20"/>
      <c r="AI747" s="20"/>
      <c r="AJ747" s="20"/>
      <c r="AK747" s="20"/>
      <c r="AL747" s="20"/>
      <c r="AM747" s="20"/>
      <c r="AN747" s="20"/>
      <c r="AO747" s="20"/>
      <c r="AP747" s="20"/>
      <c r="AQ747" s="20"/>
      <c r="AR747" s="20"/>
      <c r="AS747" s="20"/>
      <c r="AT747" s="20"/>
      <c r="AU747" s="20"/>
      <c r="AV747" s="20"/>
      <c r="AW747" s="20"/>
      <c r="AX747" s="20"/>
      <c r="AY747" s="20"/>
      <c r="AZ747" s="20"/>
      <c r="BA747" s="20"/>
      <c r="BB747" s="20"/>
      <c r="BC747" s="20"/>
    </row>
    <row r="748" ht="13.5" customHeight="1" spans="1:55">
      <c r="A748" s="20"/>
      <c r="B748" s="20"/>
      <c r="C748" s="20"/>
      <c r="D748" s="20"/>
      <c r="E748" s="20"/>
      <c r="F748" s="20"/>
      <c r="G748" s="52"/>
      <c r="H748" s="20"/>
      <c r="I748" s="20"/>
      <c r="J748" s="20"/>
      <c r="K748" s="20"/>
      <c r="L748" s="20"/>
      <c r="M748" s="20"/>
      <c r="N748" s="20"/>
      <c r="O748" s="20"/>
      <c r="P748" s="20"/>
      <c r="Q748" s="20"/>
      <c r="R748" s="20"/>
      <c r="S748" s="20"/>
      <c r="T748" s="20"/>
      <c r="U748" s="20"/>
      <c r="V748" s="20"/>
      <c r="W748" s="20"/>
      <c r="X748" s="20"/>
      <c r="Y748" s="20"/>
      <c r="Z748" s="20"/>
      <c r="AA748" s="20"/>
      <c r="AB748" s="20"/>
      <c r="AC748" s="20"/>
      <c r="AD748" s="20"/>
      <c r="AE748" s="20"/>
      <c r="AF748" s="20"/>
      <c r="AG748" s="20"/>
      <c r="AH748" s="20"/>
      <c r="AI748" s="20"/>
      <c r="AJ748" s="20"/>
      <c r="AK748" s="20"/>
      <c r="AL748" s="20"/>
      <c r="AM748" s="20"/>
      <c r="AN748" s="20"/>
      <c r="AO748" s="20"/>
      <c r="AP748" s="20"/>
      <c r="AQ748" s="20"/>
      <c r="AR748" s="20"/>
      <c r="AS748" s="20"/>
      <c r="AT748" s="20"/>
      <c r="AU748" s="20"/>
      <c r="AV748" s="20"/>
      <c r="AW748" s="20"/>
      <c r="AX748" s="20"/>
      <c r="AY748" s="20"/>
      <c r="AZ748" s="20"/>
      <c r="BA748" s="20"/>
      <c r="BB748" s="20"/>
      <c r="BC748" s="20"/>
    </row>
    <row r="749" ht="13.5" customHeight="1" spans="1:55">
      <c r="A749" s="20"/>
      <c r="B749" s="20"/>
      <c r="C749" s="20"/>
      <c r="D749" s="20"/>
      <c r="E749" s="20"/>
      <c r="F749" s="20"/>
      <c r="G749" s="52"/>
      <c r="H749" s="20"/>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row>
    <row r="750" ht="13.5" customHeight="1" spans="1:55">
      <c r="A750" s="20"/>
      <c r="B750" s="20"/>
      <c r="C750" s="20"/>
      <c r="D750" s="20"/>
      <c r="E750" s="20"/>
      <c r="F750" s="20"/>
      <c r="G750" s="52"/>
      <c r="H750" s="20"/>
      <c r="I750" s="20"/>
      <c r="J750" s="20"/>
      <c r="K750" s="20"/>
      <c r="L750" s="20"/>
      <c r="M750" s="20"/>
      <c r="N750" s="20"/>
      <c r="O750" s="20"/>
      <c r="P750" s="20"/>
      <c r="Q750" s="20"/>
      <c r="R750" s="20"/>
      <c r="S750" s="20"/>
      <c r="T750" s="20"/>
      <c r="U750" s="20"/>
      <c r="V750" s="20"/>
      <c r="W750" s="20"/>
      <c r="X750" s="20"/>
      <c r="Y750" s="20"/>
      <c r="Z750" s="20"/>
      <c r="AA750" s="20"/>
      <c r="AB750" s="20"/>
      <c r="AC750" s="20"/>
      <c r="AD750" s="20"/>
      <c r="AE750" s="20"/>
      <c r="AF750" s="20"/>
      <c r="AG750" s="20"/>
      <c r="AH750" s="20"/>
      <c r="AI750" s="20"/>
      <c r="AJ750" s="20"/>
      <c r="AK750" s="20"/>
      <c r="AL750" s="20"/>
      <c r="AM750" s="20"/>
      <c r="AN750" s="20"/>
      <c r="AO750" s="20"/>
      <c r="AP750" s="20"/>
      <c r="AQ750" s="20"/>
      <c r="AR750" s="20"/>
      <c r="AS750" s="20"/>
      <c r="AT750" s="20"/>
      <c r="AU750" s="20"/>
      <c r="AV750" s="20"/>
      <c r="AW750" s="20"/>
      <c r="AX750" s="20"/>
      <c r="AY750" s="20"/>
      <c r="AZ750" s="20"/>
      <c r="BA750" s="20"/>
      <c r="BB750" s="20"/>
      <c r="BC750" s="20"/>
    </row>
    <row r="751" ht="13.5" customHeight="1" spans="1:55">
      <c r="A751" s="20"/>
      <c r="B751" s="20"/>
      <c r="C751" s="20"/>
      <c r="D751" s="20"/>
      <c r="E751" s="20"/>
      <c r="F751" s="20"/>
      <c r="G751" s="52"/>
      <c r="H751" s="20"/>
      <c r="I751" s="20"/>
      <c r="J751" s="20"/>
      <c r="K751" s="20"/>
      <c r="L751" s="20"/>
      <c r="M751" s="20"/>
      <c r="N751" s="20"/>
      <c r="O751" s="20"/>
      <c r="P751" s="20"/>
      <c r="Q751" s="20"/>
      <c r="R751" s="20"/>
      <c r="S751" s="20"/>
      <c r="T751" s="20"/>
      <c r="U751" s="20"/>
      <c r="V751" s="20"/>
      <c r="W751" s="20"/>
      <c r="X751" s="20"/>
      <c r="Y751" s="20"/>
      <c r="Z751" s="20"/>
      <c r="AA751" s="20"/>
      <c r="AB751" s="20"/>
      <c r="AC751" s="20"/>
      <c r="AD751" s="20"/>
      <c r="AE751" s="20"/>
      <c r="AF751" s="20"/>
      <c r="AG751" s="20"/>
      <c r="AH751" s="20"/>
      <c r="AI751" s="20"/>
      <c r="AJ751" s="20"/>
      <c r="AK751" s="20"/>
      <c r="AL751" s="20"/>
      <c r="AM751" s="20"/>
      <c r="AN751" s="20"/>
      <c r="AO751" s="20"/>
      <c r="AP751" s="20"/>
      <c r="AQ751" s="20"/>
      <c r="AR751" s="20"/>
      <c r="AS751" s="20"/>
      <c r="AT751" s="20"/>
      <c r="AU751" s="20"/>
      <c r="AV751" s="20"/>
      <c r="AW751" s="20"/>
      <c r="AX751" s="20"/>
      <c r="AY751" s="20"/>
      <c r="AZ751" s="20"/>
      <c r="BA751" s="20"/>
      <c r="BB751" s="20"/>
      <c r="BC751" s="20"/>
    </row>
    <row r="752" ht="13.5" customHeight="1" spans="1:55">
      <c r="A752" s="20"/>
      <c r="B752" s="20"/>
      <c r="C752" s="20"/>
      <c r="D752" s="20"/>
      <c r="E752" s="20"/>
      <c r="F752" s="20"/>
      <c r="G752" s="52"/>
      <c r="H752" s="20"/>
      <c r="I752" s="20"/>
      <c r="J752" s="20"/>
      <c r="K752" s="20"/>
      <c r="L752" s="20"/>
      <c r="M752" s="20"/>
      <c r="N752" s="20"/>
      <c r="O752" s="20"/>
      <c r="P752" s="20"/>
      <c r="Q752" s="20"/>
      <c r="R752" s="20"/>
      <c r="S752" s="20"/>
      <c r="T752" s="20"/>
      <c r="U752" s="20"/>
      <c r="V752" s="20"/>
      <c r="W752" s="20"/>
      <c r="X752" s="20"/>
      <c r="Y752" s="20"/>
      <c r="Z752" s="20"/>
      <c r="AA752" s="20"/>
      <c r="AB752" s="20"/>
      <c r="AC752" s="20"/>
      <c r="AD752" s="20"/>
      <c r="AE752" s="20"/>
      <c r="AF752" s="20"/>
      <c r="AG752" s="20"/>
      <c r="AH752" s="20"/>
      <c r="AI752" s="20"/>
      <c r="AJ752" s="20"/>
      <c r="AK752" s="20"/>
      <c r="AL752" s="20"/>
      <c r="AM752" s="20"/>
      <c r="AN752" s="20"/>
      <c r="AO752" s="20"/>
      <c r="AP752" s="20"/>
      <c r="AQ752" s="20"/>
      <c r="AR752" s="20"/>
      <c r="AS752" s="20"/>
      <c r="AT752" s="20"/>
      <c r="AU752" s="20"/>
      <c r="AV752" s="20"/>
      <c r="AW752" s="20"/>
      <c r="AX752" s="20"/>
      <c r="AY752" s="20"/>
      <c r="AZ752" s="20"/>
      <c r="BA752" s="20"/>
      <c r="BB752" s="20"/>
      <c r="BC752" s="20"/>
    </row>
    <row r="753" ht="13.5" customHeight="1" spans="1:55">
      <c r="A753" s="20"/>
      <c r="B753" s="20"/>
      <c r="C753" s="20"/>
      <c r="D753" s="20"/>
      <c r="E753" s="20"/>
      <c r="F753" s="20"/>
      <c r="G753" s="52"/>
      <c r="H753" s="20"/>
      <c r="I753" s="20"/>
      <c r="J753" s="20"/>
      <c r="K753" s="20"/>
      <c r="L753" s="20"/>
      <c r="M753" s="20"/>
      <c r="N753" s="20"/>
      <c r="O753" s="20"/>
      <c r="P753" s="20"/>
      <c r="Q753" s="20"/>
      <c r="R753" s="20"/>
      <c r="S753" s="20"/>
      <c r="T753" s="20"/>
      <c r="U753" s="20"/>
      <c r="V753" s="20"/>
      <c r="W753" s="20"/>
      <c r="X753" s="20"/>
      <c r="Y753" s="20"/>
      <c r="Z753" s="20"/>
      <c r="AA753" s="20"/>
      <c r="AB753" s="20"/>
      <c r="AC753" s="20"/>
      <c r="AD753" s="20"/>
      <c r="AE753" s="20"/>
      <c r="AF753" s="20"/>
      <c r="AG753" s="20"/>
      <c r="AH753" s="20"/>
      <c r="AI753" s="20"/>
      <c r="AJ753" s="20"/>
      <c r="AK753" s="20"/>
      <c r="AL753" s="20"/>
      <c r="AM753" s="20"/>
      <c r="AN753" s="20"/>
      <c r="AO753" s="20"/>
      <c r="AP753" s="20"/>
      <c r="AQ753" s="20"/>
      <c r="AR753" s="20"/>
      <c r="AS753" s="20"/>
      <c r="AT753" s="20"/>
      <c r="AU753" s="20"/>
      <c r="AV753" s="20"/>
      <c r="AW753" s="20"/>
      <c r="AX753" s="20"/>
      <c r="AY753" s="20"/>
      <c r="AZ753" s="20"/>
      <c r="BA753" s="20"/>
      <c r="BB753" s="20"/>
      <c r="BC753" s="20"/>
    </row>
    <row r="754" ht="13.5" customHeight="1" spans="1:55">
      <c r="A754" s="20"/>
      <c r="B754" s="20"/>
      <c r="C754" s="20"/>
      <c r="D754" s="20"/>
      <c r="E754" s="20"/>
      <c r="F754" s="20"/>
      <c r="G754" s="52"/>
      <c r="H754" s="20"/>
      <c r="I754" s="20"/>
      <c r="J754" s="20"/>
      <c r="K754" s="20"/>
      <c r="L754" s="20"/>
      <c r="M754" s="20"/>
      <c r="N754" s="20"/>
      <c r="O754" s="20"/>
      <c r="P754" s="20"/>
      <c r="Q754" s="20"/>
      <c r="R754" s="20"/>
      <c r="S754" s="20"/>
      <c r="T754" s="20"/>
      <c r="U754" s="20"/>
      <c r="V754" s="20"/>
      <c r="W754" s="20"/>
      <c r="X754" s="20"/>
      <c r="Y754" s="20"/>
      <c r="Z754" s="20"/>
      <c r="AA754" s="20"/>
      <c r="AB754" s="20"/>
      <c r="AC754" s="20"/>
      <c r="AD754" s="20"/>
      <c r="AE754" s="20"/>
      <c r="AF754" s="20"/>
      <c r="AG754" s="20"/>
      <c r="AH754" s="20"/>
      <c r="AI754" s="20"/>
      <c r="AJ754" s="20"/>
      <c r="AK754" s="20"/>
      <c r="AL754" s="20"/>
      <c r="AM754" s="20"/>
      <c r="AN754" s="20"/>
      <c r="AO754" s="20"/>
      <c r="AP754" s="20"/>
      <c r="AQ754" s="20"/>
      <c r="AR754" s="20"/>
      <c r="AS754" s="20"/>
      <c r="AT754" s="20"/>
      <c r="AU754" s="20"/>
      <c r="AV754" s="20"/>
      <c r="AW754" s="20"/>
      <c r="AX754" s="20"/>
      <c r="AY754" s="20"/>
      <c r="AZ754" s="20"/>
      <c r="BA754" s="20"/>
      <c r="BB754" s="20"/>
      <c r="BC754" s="20"/>
    </row>
    <row r="755" ht="13.5" customHeight="1" spans="1:55">
      <c r="A755" s="20"/>
      <c r="B755" s="20"/>
      <c r="C755" s="20"/>
      <c r="D755" s="20"/>
      <c r="E755" s="20"/>
      <c r="F755" s="20"/>
      <c r="G755" s="52"/>
      <c r="H755" s="20"/>
      <c r="I755" s="20"/>
      <c r="J755" s="20"/>
      <c r="K755" s="20"/>
      <c r="L755" s="20"/>
      <c r="M755" s="20"/>
      <c r="N755" s="20"/>
      <c r="O755" s="20"/>
      <c r="P755" s="20"/>
      <c r="Q755" s="20"/>
      <c r="R755" s="20"/>
      <c r="S755" s="20"/>
      <c r="T755" s="20"/>
      <c r="U755" s="20"/>
      <c r="V755" s="20"/>
      <c r="W755" s="20"/>
      <c r="X755" s="20"/>
      <c r="Y755" s="20"/>
      <c r="Z755" s="20"/>
      <c r="AA755" s="20"/>
      <c r="AB755" s="20"/>
      <c r="AC755" s="20"/>
      <c r="AD755" s="20"/>
      <c r="AE755" s="20"/>
      <c r="AF755" s="20"/>
      <c r="AG755" s="20"/>
      <c r="AH755" s="20"/>
      <c r="AI755" s="20"/>
      <c r="AJ755" s="20"/>
      <c r="AK755" s="20"/>
      <c r="AL755" s="20"/>
      <c r="AM755" s="20"/>
      <c r="AN755" s="20"/>
      <c r="AO755" s="20"/>
      <c r="AP755" s="20"/>
      <c r="AQ755" s="20"/>
      <c r="AR755" s="20"/>
      <c r="AS755" s="20"/>
      <c r="AT755" s="20"/>
      <c r="AU755" s="20"/>
      <c r="AV755" s="20"/>
      <c r="AW755" s="20"/>
      <c r="AX755" s="20"/>
      <c r="AY755" s="20"/>
      <c r="AZ755" s="20"/>
      <c r="BA755" s="20"/>
      <c r="BB755" s="20"/>
      <c r="BC755" s="20"/>
    </row>
    <row r="756" ht="13.5" customHeight="1" spans="1:55">
      <c r="A756" s="20"/>
      <c r="B756" s="20"/>
      <c r="C756" s="20"/>
      <c r="D756" s="20"/>
      <c r="E756" s="20"/>
      <c r="F756" s="20"/>
      <c r="G756" s="52"/>
      <c r="H756" s="20"/>
      <c r="I756" s="20"/>
      <c r="J756" s="20"/>
      <c r="K756" s="20"/>
      <c r="L756" s="20"/>
      <c r="M756" s="20"/>
      <c r="N756" s="20"/>
      <c r="O756" s="20"/>
      <c r="P756" s="20"/>
      <c r="Q756" s="20"/>
      <c r="R756" s="20"/>
      <c r="S756" s="20"/>
      <c r="T756" s="20"/>
      <c r="U756" s="20"/>
      <c r="V756" s="20"/>
      <c r="W756" s="20"/>
      <c r="X756" s="20"/>
      <c r="Y756" s="20"/>
      <c r="Z756" s="20"/>
      <c r="AA756" s="20"/>
      <c r="AB756" s="20"/>
      <c r="AC756" s="20"/>
      <c r="AD756" s="20"/>
      <c r="AE756" s="20"/>
      <c r="AF756" s="20"/>
      <c r="AG756" s="20"/>
      <c r="AH756" s="20"/>
      <c r="AI756" s="20"/>
      <c r="AJ756" s="20"/>
      <c r="AK756" s="20"/>
      <c r="AL756" s="20"/>
      <c r="AM756" s="20"/>
      <c r="AN756" s="20"/>
      <c r="AO756" s="20"/>
      <c r="AP756" s="20"/>
      <c r="AQ756" s="20"/>
      <c r="AR756" s="20"/>
      <c r="AS756" s="20"/>
      <c r="AT756" s="20"/>
      <c r="AU756" s="20"/>
      <c r="AV756" s="20"/>
      <c r="AW756" s="20"/>
      <c r="AX756" s="20"/>
      <c r="AY756" s="20"/>
      <c r="AZ756" s="20"/>
      <c r="BA756" s="20"/>
      <c r="BB756" s="20"/>
      <c r="BC756" s="20"/>
    </row>
    <row r="757" ht="13.5" customHeight="1" spans="1:55">
      <c r="A757" s="20"/>
      <c r="B757" s="20"/>
      <c r="C757" s="20"/>
      <c r="D757" s="20"/>
      <c r="E757" s="20"/>
      <c r="F757" s="20"/>
      <c r="G757" s="52"/>
      <c r="H757" s="20"/>
      <c r="I757" s="20"/>
      <c r="J757" s="20"/>
      <c r="K757" s="20"/>
      <c r="L757" s="20"/>
      <c r="M757" s="20"/>
      <c r="N757" s="20"/>
      <c r="O757" s="20"/>
      <c r="P757" s="20"/>
      <c r="Q757" s="20"/>
      <c r="R757" s="20"/>
      <c r="S757" s="20"/>
      <c r="T757" s="20"/>
      <c r="U757" s="20"/>
      <c r="V757" s="20"/>
      <c r="W757" s="20"/>
      <c r="X757" s="20"/>
      <c r="Y757" s="20"/>
      <c r="Z757" s="20"/>
      <c r="AA757" s="20"/>
      <c r="AB757" s="20"/>
      <c r="AC757" s="20"/>
      <c r="AD757" s="20"/>
      <c r="AE757" s="20"/>
      <c r="AF757" s="20"/>
      <c r="AG757" s="20"/>
      <c r="AH757" s="20"/>
      <c r="AI757" s="20"/>
      <c r="AJ757" s="20"/>
      <c r="AK757" s="20"/>
      <c r="AL757" s="20"/>
      <c r="AM757" s="20"/>
      <c r="AN757" s="20"/>
      <c r="AO757" s="20"/>
      <c r="AP757" s="20"/>
      <c r="AQ757" s="20"/>
      <c r="AR757" s="20"/>
      <c r="AS757" s="20"/>
      <c r="AT757" s="20"/>
      <c r="AU757" s="20"/>
      <c r="AV757" s="20"/>
      <c r="AW757" s="20"/>
      <c r="AX757" s="20"/>
      <c r="AY757" s="20"/>
      <c r="AZ757" s="20"/>
      <c r="BA757" s="20"/>
      <c r="BB757" s="20"/>
      <c r="BC757" s="20"/>
    </row>
    <row r="758" ht="13.5" customHeight="1" spans="1:55">
      <c r="A758" s="20"/>
      <c r="B758" s="20"/>
      <c r="C758" s="20"/>
      <c r="D758" s="20"/>
      <c r="E758" s="20"/>
      <c r="F758" s="20"/>
      <c r="G758" s="52"/>
      <c r="H758" s="20"/>
      <c r="I758" s="20"/>
      <c r="J758" s="20"/>
      <c r="K758" s="20"/>
      <c r="L758" s="20"/>
      <c r="M758" s="20"/>
      <c r="N758" s="20"/>
      <c r="O758" s="20"/>
      <c r="P758" s="20"/>
      <c r="Q758" s="20"/>
      <c r="R758" s="20"/>
      <c r="S758" s="20"/>
      <c r="T758" s="20"/>
      <c r="U758" s="20"/>
      <c r="V758" s="20"/>
      <c r="W758" s="20"/>
      <c r="X758" s="20"/>
      <c r="Y758" s="20"/>
      <c r="Z758" s="20"/>
      <c r="AA758" s="20"/>
      <c r="AB758" s="20"/>
      <c r="AC758" s="20"/>
      <c r="AD758" s="20"/>
      <c r="AE758" s="20"/>
      <c r="AF758" s="20"/>
      <c r="AG758" s="20"/>
      <c r="AH758" s="20"/>
      <c r="AI758" s="20"/>
      <c r="AJ758" s="20"/>
      <c r="AK758" s="20"/>
      <c r="AL758" s="20"/>
      <c r="AM758" s="20"/>
      <c r="AN758" s="20"/>
      <c r="AO758" s="20"/>
      <c r="AP758" s="20"/>
      <c r="AQ758" s="20"/>
      <c r="AR758" s="20"/>
      <c r="AS758" s="20"/>
      <c r="AT758" s="20"/>
      <c r="AU758" s="20"/>
      <c r="AV758" s="20"/>
      <c r="AW758" s="20"/>
      <c r="AX758" s="20"/>
      <c r="AY758" s="20"/>
      <c r="AZ758" s="20"/>
      <c r="BA758" s="20"/>
      <c r="BB758" s="20"/>
      <c r="BC758" s="20"/>
    </row>
    <row r="759" ht="13.5" customHeight="1" spans="1:55">
      <c r="A759" s="20"/>
      <c r="B759" s="20"/>
      <c r="C759" s="20"/>
      <c r="D759" s="20"/>
      <c r="E759" s="20"/>
      <c r="F759" s="20"/>
      <c r="G759" s="52"/>
      <c r="H759" s="20"/>
      <c r="I759" s="20"/>
      <c r="J759" s="20"/>
      <c r="K759" s="20"/>
      <c r="L759" s="20"/>
      <c r="M759" s="20"/>
      <c r="N759" s="20"/>
      <c r="O759" s="20"/>
      <c r="P759" s="20"/>
      <c r="Q759" s="20"/>
      <c r="R759" s="20"/>
      <c r="S759" s="20"/>
      <c r="T759" s="20"/>
      <c r="U759" s="20"/>
      <c r="V759" s="20"/>
      <c r="W759" s="20"/>
      <c r="X759" s="20"/>
      <c r="Y759" s="20"/>
      <c r="Z759" s="20"/>
      <c r="AA759" s="20"/>
      <c r="AB759" s="20"/>
      <c r="AC759" s="20"/>
      <c r="AD759" s="20"/>
      <c r="AE759" s="20"/>
      <c r="AF759" s="20"/>
      <c r="AG759" s="20"/>
      <c r="AH759" s="20"/>
      <c r="AI759" s="20"/>
      <c r="AJ759" s="20"/>
      <c r="AK759" s="20"/>
      <c r="AL759" s="20"/>
      <c r="AM759" s="20"/>
      <c r="AN759" s="20"/>
      <c r="AO759" s="20"/>
      <c r="AP759" s="20"/>
      <c r="AQ759" s="20"/>
      <c r="AR759" s="20"/>
      <c r="AS759" s="20"/>
      <c r="AT759" s="20"/>
      <c r="AU759" s="20"/>
      <c r="AV759" s="20"/>
      <c r="AW759" s="20"/>
      <c r="AX759" s="20"/>
      <c r="AY759" s="20"/>
      <c r="AZ759" s="20"/>
      <c r="BA759" s="20"/>
      <c r="BB759" s="20"/>
      <c r="BC759" s="20"/>
    </row>
    <row r="760" ht="13.5" customHeight="1" spans="1:55">
      <c r="A760" s="20"/>
      <c r="B760" s="20"/>
      <c r="C760" s="20"/>
      <c r="D760" s="20"/>
      <c r="E760" s="20"/>
      <c r="F760" s="20"/>
      <c r="G760" s="52"/>
      <c r="H760" s="20"/>
      <c r="I760" s="20"/>
      <c r="J760" s="20"/>
      <c r="K760" s="20"/>
      <c r="L760" s="20"/>
      <c r="M760" s="20"/>
      <c r="N760" s="20"/>
      <c r="O760" s="20"/>
      <c r="P760" s="20"/>
      <c r="Q760" s="20"/>
      <c r="R760" s="20"/>
      <c r="S760" s="20"/>
      <c r="T760" s="20"/>
      <c r="U760" s="20"/>
      <c r="V760" s="20"/>
      <c r="W760" s="20"/>
      <c r="X760" s="20"/>
      <c r="Y760" s="20"/>
      <c r="Z760" s="20"/>
      <c r="AA760" s="20"/>
      <c r="AB760" s="20"/>
      <c r="AC760" s="20"/>
      <c r="AD760" s="20"/>
      <c r="AE760" s="20"/>
      <c r="AF760" s="20"/>
      <c r="AG760" s="20"/>
      <c r="AH760" s="20"/>
      <c r="AI760" s="20"/>
      <c r="AJ760" s="20"/>
      <c r="AK760" s="20"/>
      <c r="AL760" s="20"/>
      <c r="AM760" s="20"/>
      <c r="AN760" s="20"/>
      <c r="AO760" s="20"/>
      <c r="AP760" s="20"/>
      <c r="AQ760" s="20"/>
      <c r="AR760" s="20"/>
      <c r="AS760" s="20"/>
      <c r="AT760" s="20"/>
      <c r="AU760" s="20"/>
      <c r="AV760" s="20"/>
      <c r="AW760" s="20"/>
      <c r="AX760" s="20"/>
      <c r="AY760" s="20"/>
      <c r="AZ760" s="20"/>
      <c r="BA760" s="20"/>
      <c r="BB760" s="20"/>
      <c r="BC760" s="20"/>
    </row>
    <row r="761" ht="13.5" customHeight="1" spans="1:55">
      <c r="A761" s="20"/>
      <c r="B761" s="20"/>
      <c r="C761" s="20"/>
      <c r="D761" s="20"/>
      <c r="E761" s="20"/>
      <c r="F761" s="20"/>
      <c r="G761" s="52"/>
      <c r="H761" s="20"/>
      <c r="I761" s="20"/>
      <c r="J761" s="20"/>
      <c r="K761" s="20"/>
      <c r="L761" s="20"/>
      <c r="M761" s="20"/>
      <c r="N761" s="20"/>
      <c r="O761" s="20"/>
      <c r="P761" s="20"/>
      <c r="Q761" s="20"/>
      <c r="R761" s="20"/>
      <c r="S761" s="20"/>
      <c r="T761" s="20"/>
      <c r="U761" s="20"/>
      <c r="V761" s="20"/>
      <c r="W761" s="20"/>
      <c r="X761" s="20"/>
      <c r="Y761" s="20"/>
      <c r="Z761" s="20"/>
      <c r="AA761" s="20"/>
      <c r="AB761" s="20"/>
      <c r="AC761" s="20"/>
      <c r="AD761" s="20"/>
      <c r="AE761" s="20"/>
      <c r="AF761" s="20"/>
      <c r="AG761" s="20"/>
      <c r="AH761" s="20"/>
      <c r="AI761" s="20"/>
      <c r="AJ761" s="20"/>
      <c r="AK761" s="20"/>
      <c r="AL761" s="20"/>
      <c r="AM761" s="20"/>
      <c r="AN761" s="20"/>
      <c r="AO761" s="20"/>
      <c r="AP761" s="20"/>
      <c r="AQ761" s="20"/>
      <c r="AR761" s="20"/>
      <c r="AS761" s="20"/>
      <c r="AT761" s="20"/>
      <c r="AU761" s="20"/>
      <c r="AV761" s="20"/>
      <c r="AW761" s="20"/>
      <c r="AX761" s="20"/>
      <c r="AY761" s="20"/>
      <c r="AZ761" s="20"/>
      <c r="BA761" s="20"/>
      <c r="BB761" s="20"/>
      <c r="BC761" s="20"/>
    </row>
    <row r="762" ht="13.5" customHeight="1" spans="1:55">
      <c r="A762" s="20"/>
      <c r="B762" s="20"/>
      <c r="C762" s="20"/>
      <c r="D762" s="20"/>
      <c r="E762" s="20"/>
      <c r="F762" s="20"/>
      <c r="G762" s="52"/>
      <c r="H762" s="20"/>
      <c r="I762" s="20"/>
      <c r="J762" s="20"/>
      <c r="K762" s="20"/>
      <c r="L762" s="20"/>
      <c r="M762" s="20"/>
      <c r="N762" s="20"/>
      <c r="O762" s="20"/>
      <c r="P762" s="20"/>
      <c r="Q762" s="20"/>
      <c r="R762" s="20"/>
      <c r="S762" s="20"/>
      <c r="T762" s="20"/>
      <c r="U762" s="20"/>
      <c r="V762" s="20"/>
      <c r="W762" s="20"/>
      <c r="X762" s="20"/>
      <c r="Y762" s="20"/>
      <c r="Z762" s="20"/>
      <c r="AA762" s="20"/>
      <c r="AB762" s="20"/>
      <c r="AC762" s="20"/>
      <c r="AD762" s="20"/>
      <c r="AE762" s="20"/>
      <c r="AF762" s="20"/>
      <c r="AG762" s="20"/>
      <c r="AH762" s="20"/>
      <c r="AI762" s="20"/>
      <c r="AJ762" s="20"/>
      <c r="AK762" s="20"/>
      <c r="AL762" s="20"/>
      <c r="AM762" s="20"/>
      <c r="AN762" s="20"/>
      <c r="AO762" s="20"/>
      <c r="AP762" s="20"/>
      <c r="AQ762" s="20"/>
      <c r="AR762" s="20"/>
      <c r="AS762" s="20"/>
      <c r="AT762" s="20"/>
      <c r="AU762" s="20"/>
      <c r="AV762" s="20"/>
      <c r="AW762" s="20"/>
      <c r="AX762" s="20"/>
      <c r="AY762" s="20"/>
      <c r="AZ762" s="20"/>
      <c r="BA762" s="20"/>
      <c r="BB762" s="20"/>
      <c r="BC762" s="20"/>
    </row>
    <row r="763" ht="13.5" customHeight="1" spans="1:55">
      <c r="A763" s="20"/>
      <c r="B763" s="20"/>
      <c r="C763" s="20"/>
      <c r="D763" s="20"/>
      <c r="E763" s="20"/>
      <c r="F763" s="20"/>
      <c r="G763" s="52"/>
      <c r="H763" s="20"/>
      <c r="I763" s="20"/>
      <c r="J763" s="20"/>
      <c r="K763" s="20"/>
      <c r="L763" s="20"/>
      <c r="M763" s="20"/>
      <c r="N763" s="20"/>
      <c r="O763" s="20"/>
      <c r="P763" s="20"/>
      <c r="Q763" s="20"/>
      <c r="R763" s="20"/>
      <c r="S763" s="20"/>
      <c r="T763" s="20"/>
      <c r="U763" s="20"/>
      <c r="V763" s="20"/>
      <c r="W763" s="20"/>
      <c r="X763" s="20"/>
      <c r="Y763" s="20"/>
      <c r="Z763" s="20"/>
      <c r="AA763" s="20"/>
      <c r="AB763" s="20"/>
      <c r="AC763" s="20"/>
      <c r="AD763" s="20"/>
      <c r="AE763" s="20"/>
      <c r="AF763" s="20"/>
      <c r="AG763" s="20"/>
      <c r="AH763" s="20"/>
      <c r="AI763" s="20"/>
      <c r="AJ763" s="20"/>
      <c r="AK763" s="20"/>
      <c r="AL763" s="20"/>
      <c r="AM763" s="20"/>
      <c r="AN763" s="20"/>
      <c r="AO763" s="20"/>
      <c r="AP763" s="20"/>
      <c r="AQ763" s="20"/>
      <c r="AR763" s="20"/>
      <c r="AS763" s="20"/>
      <c r="AT763" s="20"/>
      <c r="AU763" s="20"/>
      <c r="AV763" s="20"/>
      <c r="AW763" s="20"/>
      <c r="AX763" s="20"/>
      <c r="AY763" s="20"/>
      <c r="AZ763" s="20"/>
      <c r="BA763" s="20"/>
      <c r="BB763" s="20"/>
      <c r="BC763" s="20"/>
    </row>
    <row r="764" ht="13.5" customHeight="1" spans="1:55">
      <c r="A764" s="20"/>
      <c r="B764" s="20"/>
      <c r="C764" s="20"/>
      <c r="D764" s="20"/>
      <c r="E764" s="20"/>
      <c r="F764" s="20"/>
      <c r="G764" s="52"/>
      <c r="H764" s="20"/>
      <c r="I764" s="20"/>
      <c r="J764" s="20"/>
      <c r="K764" s="20"/>
      <c r="L764" s="20"/>
      <c r="M764" s="20"/>
      <c r="N764" s="20"/>
      <c r="O764" s="20"/>
      <c r="P764" s="20"/>
      <c r="Q764" s="20"/>
      <c r="R764" s="20"/>
      <c r="S764" s="20"/>
      <c r="T764" s="20"/>
      <c r="U764" s="20"/>
      <c r="V764" s="20"/>
      <c r="W764" s="20"/>
      <c r="X764" s="20"/>
      <c r="Y764" s="20"/>
      <c r="Z764" s="20"/>
      <c r="AA764" s="20"/>
      <c r="AB764" s="20"/>
      <c r="AC764" s="20"/>
      <c r="AD764" s="20"/>
      <c r="AE764" s="20"/>
      <c r="AF764" s="20"/>
      <c r="AG764" s="20"/>
      <c r="AH764" s="20"/>
      <c r="AI764" s="20"/>
      <c r="AJ764" s="20"/>
      <c r="AK764" s="20"/>
      <c r="AL764" s="20"/>
      <c r="AM764" s="20"/>
      <c r="AN764" s="20"/>
      <c r="AO764" s="20"/>
      <c r="AP764" s="20"/>
      <c r="AQ764" s="20"/>
      <c r="AR764" s="20"/>
      <c r="AS764" s="20"/>
      <c r="AT764" s="20"/>
      <c r="AU764" s="20"/>
      <c r="AV764" s="20"/>
      <c r="AW764" s="20"/>
      <c r="AX764" s="20"/>
      <c r="AY764" s="20"/>
      <c r="AZ764" s="20"/>
      <c r="BA764" s="20"/>
      <c r="BB764" s="20"/>
      <c r="BC764" s="20"/>
    </row>
    <row r="765" ht="13.5" customHeight="1" spans="1:55">
      <c r="A765" s="20"/>
      <c r="B765" s="20"/>
      <c r="C765" s="20"/>
      <c r="D765" s="20"/>
      <c r="E765" s="20"/>
      <c r="F765" s="20"/>
      <c r="G765" s="52"/>
      <c r="H765" s="20"/>
      <c r="I765" s="20"/>
      <c r="J765" s="20"/>
      <c r="K765" s="20"/>
      <c r="L765" s="20"/>
      <c r="M765" s="20"/>
      <c r="N765" s="20"/>
      <c r="O765" s="20"/>
      <c r="P765" s="20"/>
      <c r="Q765" s="20"/>
      <c r="R765" s="20"/>
      <c r="S765" s="20"/>
      <c r="T765" s="20"/>
      <c r="U765" s="20"/>
      <c r="V765" s="20"/>
      <c r="W765" s="20"/>
      <c r="X765" s="20"/>
      <c r="Y765" s="20"/>
      <c r="Z765" s="20"/>
      <c r="AA765" s="20"/>
      <c r="AB765" s="20"/>
      <c r="AC765" s="20"/>
      <c r="AD765" s="20"/>
      <c r="AE765" s="20"/>
      <c r="AF765" s="20"/>
      <c r="AG765" s="20"/>
      <c r="AH765" s="20"/>
      <c r="AI765" s="20"/>
      <c r="AJ765" s="20"/>
      <c r="AK765" s="20"/>
      <c r="AL765" s="20"/>
      <c r="AM765" s="20"/>
      <c r="AN765" s="20"/>
      <c r="AO765" s="20"/>
      <c r="AP765" s="20"/>
      <c r="AQ765" s="20"/>
      <c r="AR765" s="20"/>
      <c r="AS765" s="20"/>
      <c r="AT765" s="20"/>
      <c r="AU765" s="20"/>
      <c r="AV765" s="20"/>
      <c r="AW765" s="20"/>
      <c r="AX765" s="20"/>
      <c r="AY765" s="20"/>
      <c r="AZ765" s="20"/>
      <c r="BA765" s="20"/>
      <c r="BB765" s="20"/>
      <c r="BC765" s="20"/>
    </row>
    <row r="766" ht="13.5" customHeight="1" spans="1:55">
      <c r="A766" s="20"/>
      <c r="B766" s="20"/>
      <c r="C766" s="20"/>
      <c r="D766" s="20"/>
      <c r="E766" s="20"/>
      <c r="F766" s="20"/>
      <c r="G766" s="52"/>
      <c r="H766" s="20"/>
      <c r="I766" s="20"/>
      <c r="J766" s="20"/>
      <c r="K766" s="20"/>
      <c r="L766" s="20"/>
      <c r="M766" s="20"/>
      <c r="N766" s="20"/>
      <c r="O766" s="20"/>
      <c r="P766" s="20"/>
      <c r="Q766" s="20"/>
      <c r="R766" s="20"/>
      <c r="S766" s="20"/>
      <c r="T766" s="20"/>
      <c r="U766" s="20"/>
      <c r="V766" s="20"/>
      <c r="W766" s="20"/>
      <c r="X766" s="20"/>
      <c r="Y766" s="20"/>
      <c r="Z766" s="20"/>
      <c r="AA766" s="20"/>
      <c r="AB766" s="20"/>
      <c r="AC766" s="20"/>
      <c r="AD766" s="20"/>
      <c r="AE766" s="20"/>
      <c r="AF766" s="20"/>
      <c r="AG766" s="20"/>
      <c r="AH766" s="20"/>
      <c r="AI766" s="20"/>
      <c r="AJ766" s="20"/>
      <c r="AK766" s="20"/>
      <c r="AL766" s="20"/>
      <c r="AM766" s="20"/>
      <c r="AN766" s="20"/>
      <c r="AO766" s="20"/>
      <c r="AP766" s="20"/>
      <c r="AQ766" s="20"/>
      <c r="AR766" s="20"/>
      <c r="AS766" s="20"/>
      <c r="AT766" s="20"/>
      <c r="AU766" s="20"/>
      <c r="AV766" s="20"/>
      <c r="AW766" s="20"/>
      <c r="AX766" s="20"/>
      <c r="AY766" s="20"/>
      <c r="AZ766" s="20"/>
      <c r="BA766" s="20"/>
      <c r="BB766" s="20"/>
      <c r="BC766" s="20"/>
    </row>
    <row r="767" ht="13.5" customHeight="1" spans="1:55">
      <c r="A767" s="20"/>
      <c r="B767" s="20"/>
      <c r="C767" s="20"/>
      <c r="D767" s="20"/>
      <c r="E767" s="20"/>
      <c r="F767" s="20"/>
      <c r="G767" s="52"/>
      <c r="H767" s="20"/>
      <c r="I767" s="20"/>
      <c r="J767" s="20"/>
      <c r="K767" s="20"/>
      <c r="L767" s="20"/>
      <c r="M767" s="20"/>
      <c r="N767" s="20"/>
      <c r="O767" s="20"/>
      <c r="P767" s="20"/>
      <c r="Q767" s="20"/>
      <c r="R767" s="20"/>
      <c r="S767" s="20"/>
      <c r="T767" s="20"/>
      <c r="U767" s="20"/>
      <c r="V767" s="20"/>
      <c r="W767" s="20"/>
      <c r="X767" s="20"/>
      <c r="Y767" s="20"/>
      <c r="Z767" s="20"/>
      <c r="AA767" s="20"/>
      <c r="AB767" s="20"/>
      <c r="AC767" s="20"/>
      <c r="AD767" s="20"/>
      <c r="AE767" s="20"/>
      <c r="AF767" s="20"/>
      <c r="AG767" s="20"/>
      <c r="AH767" s="20"/>
      <c r="AI767" s="20"/>
      <c r="AJ767" s="20"/>
      <c r="AK767" s="20"/>
      <c r="AL767" s="20"/>
      <c r="AM767" s="20"/>
      <c r="AN767" s="20"/>
      <c r="AO767" s="20"/>
      <c r="AP767" s="20"/>
      <c r="AQ767" s="20"/>
      <c r="AR767" s="20"/>
      <c r="AS767" s="20"/>
      <c r="AT767" s="20"/>
      <c r="AU767" s="20"/>
      <c r="AV767" s="20"/>
      <c r="AW767" s="20"/>
      <c r="AX767" s="20"/>
      <c r="AY767" s="20"/>
      <c r="AZ767" s="20"/>
      <c r="BA767" s="20"/>
      <c r="BB767" s="20"/>
      <c r="BC767" s="20"/>
    </row>
    <row r="768" ht="13.5" customHeight="1" spans="1:55">
      <c r="A768" s="20"/>
      <c r="B768" s="20"/>
      <c r="C768" s="20"/>
      <c r="D768" s="20"/>
      <c r="E768" s="20"/>
      <c r="F768" s="20"/>
      <c r="G768" s="52"/>
      <c r="H768" s="20"/>
      <c r="I768" s="20"/>
      <c r="J768" s="20"/>
      <c r="K768" s="20"/>
      <c r="L768" s="20"/>
      <c r="M768" s="20"/>
      <c r="N768" s="20"/>
      <c r="O768" s="20"/>
      <c r="P768" s="20"/>
      <c r="Q768" s="20"/>
      <c r="R768" s="20"/>
      <c r="S768" s="20"/>
      <c r="T768" s="20"/>
      <c r="U768" s="20"/>
      <c r="V768" s="20"/>
      <c r="W768" s="20"/>
      <c r="X768" s="20"/>
      <c r="Y768" s="20"/>
      <c r="Z768" s="20"/>
      <c r="AA768" s="20"/>
      <c r="AB768" s="20"/>
      <c r="AC768" s="20"/>
      <c r="AD768" s="20"/>
      <c r="AE768" s="20"/>
      <c r="AF768" s="20"/>
      <c r="AG768" s="20"/>
      <c r="AH768" s="20"/>
      <c r="AI768" s="20"/>
      <c r="AJ768" s="20"/>
      <c r="AK768" s="20"/>
      <c r="AL768" s="20"/>
      <c r="AM768" s="20"/>
      <c r="AN768" s="20"/>
      <c r="AO768" s="20"/>
      <c r="AP768" s="20"/>
      <c r="AQ768" s="20"/>
      <c r="AR768" s="20"/>
      <c r="AS768" s="20"/>
      <c r="AT768" s="20"/>
      <c r="AU768" s="20"/>
      <c r="AV768" s="20"/>
      <c r="AW768" s="20"/>
      <c r="AX768" s="20"/>
      <c r="AY768" s="20"/>
      <c r="AZ768" s="20"/>
      <c r="BA768" s="20"/>
      <c r="BB768" s="20"/>
      <c r="BC768" s="20"/>
    </row>
    <row r="769" ht="13.5" customHeight="1" spans="1:55">
      <c r="A769" s="20"/>
      <c r="B769" s="20"/>
      <c r="C769" s="20"/>
      <c r="D769" s="20"/>
      <c r="E769" s="20"/>
      <c r="F769" s="20"/>
      <c r="G769" s="52"/>
      <c r="H769" s="20"/>
      <c r="I769" s="20"/>
      <c r="J769" s="20"/>
      <c r="K769" s="20"/>
      <c r="L769" s="20"/>
      <c r="M769" s="20"/>
      <c r="N769" s="20"/>
      <c r="O769" s="20"/>
      <c r="P769" s="20"/>
      <c r="Q769" s="20"/>
      <c r="R769" s="20"/>
      <c r="S769" s="20"/>
      <c r="T769" s="20"/>
      <c r="U769" s="20"/>
      <c r="V769" s="20"/>
      <c r="W769" s="20"/>
      <c r="X769" s="20"/>
      <c r="Y769" s="20"/>
      <c r="Z769" s="20"/>
      <c r="AA769" s="20"/>
      <c r="AB769" s="20"/>
      <c r="AC769" s="20"/>
      <c r="AD769" s="20"/>
      <c r="AE769" s="20"/>
      <c r="AF769" s="20"/>
      <c r="AG769" s="20"/>
      <c r="AH769" s="20"/>
      <c r="AI769" s="20"/>
      <c r="AJ769" s="20"/>
      <c r="AK769" s="20"/>
      <c r="AL769" s="20"/>
      <c r="AM769" s="20"/>
      <c r="AN769" s="20"/>
      <c r="AO769" s="20"/>
      <c r="AP769" s="20"/>
      <c r="AQ769" s="20"/>
      <c r="AR769" s="20"/>
      <c r="AS769" s="20"/>
      <c r="AT769" s="20"/>
      <c r="AU769" s="20"/>
      <c r="AV769" s="20"/>
      <c r="AW769" s="20"/>
      <c r="AX769" s="20"/>
      <c r="AY769" s="20"/>
      <c r="AZ769" s="20"/>
      <c r="BA769" s="20"/>
      <c r="BB769" s="20"/>
      <c r="BC769" s="20"/>
    </row>
    <row r="770" ht="13.5" customHeight="1" spans="1:55">
      <c r="A770" s="20"/>
      <c r="B770" s="20"/>
      <c r="C770" s="20"/>
      <c r="D770" s="20"/>
      <c r="E770" s="20"/>
      <c r="F770" s="20"/>
      <c r="G770" s="52"/>
      <c r="H770" s="20"/>
      <c r="I770" s="20"/>
      <c r="J770" s="20"/>
      <c r="K770" s="20"/>
      <c r="L770" s="20"/>
      <c r="M770" s="20"/>
      <c r="N770" s="20"/>
      <c r="O770" s="20"/>
      <c r="P770" s="20"/>
      <c r="Q770" s="20"/>
      <c r="R770" s="20"/>
      <c r="S770" s="20"/>
      <c r="T770" s="20"/>
      <c r="U770" s="20"/>
      <c r="V770" s="20"/>
      <c r="W770" s="20"/>
      <c r="X770" s="20"/>
      <c r="Y770" s="20"/>
      <c r="Z770" s="20"/>
      <c r="AA770" s="20"/>
      <c r="AB770" s="20"/>
      <c r="AC770" s="20"/>
      <c r="AD770" s="20"/>
      <c r="AE770" s="20"/>
      <c r="AF770" s="20"/>
      <c r="AG770" s="20"/>
      <c r="AH770" s="20"/>
      <c r="AI770" s="20"/>
      <c r="AJ770" s="20"/>
      <c r="AK770" s="20"/>
      <c r="AL770" s="20"/>
      <c r="AM770" s="20"/>
      <c r="AN770" s="20"/>
      <c r="AO770" s="20"/>
      <c r="AP770" s="20"/>
      <c r="AQ770" s="20"/>
      <c r="AR770" s="20"/>
      <c r="AS770" s="20"/>
      <c r="AT770" s="20"/>
      <c r="AU770" s="20"/>
      <c r="AV770" s="20"/>
      <c r="AW770" s="20"/>
      <c r="AX770" s="20"/>
      <c r="AY770" s="20"/>
      <c r="AZ770" s="20"/>
      <c r="BA770" s="20"/>
      <c r="BB770" s="20"/>
      <c r="BC770" s="20"/>
    </row>
    <row r="771" ht="13.5" customHeight="1" spans="1:55">
      <c r="A771" s="20"/>
      <c r="B771" s="20"/>
      <c r="C771" s="20"/>
      <c r="D771" s="20"/>
      <c r="E771" s="20"/>
      <c r="F771" s="20"/>
      <c r="G771" s="52"/>
      <c r="H771" s="20"/>
      <c r="I771" s="20"/>
      <c r="J771" s="20"/>
      <c r="K771" s="20"/>
      <c r="L771" s="20"/>
      <c r="M771" s="20"/>
      <c r="N771" s="20"/>
      <c r="O771" s="20"/>
      <c r="P771" s="20"/>
      <c r="Q771" s="20"/>
      <c r="R771" s="20"/>
      <c r="S771" s="20"/>
      <c r="T771" s="20"/>
      <c r="U771" s="20"/>
      <c r="V771" s="20"/>
      <c r="W771" s="20"/>
      <c r="X771" s="20"/>
      <c r="Y771" s="20"/>
      <c r="Z771" s="20"/>
      <c r="AA771" s="20"/>
      <c r="AB771" s="20"/>
      <c r="AC771" s="20"/>
      <c r="AD771" s="20"/>
      <c r="AE771" s="20"/>
      <c r="AF771" s="20"/>
      <c r="AG771" s="20"/>
      <c r="AH771" s="20"/>
      <c r="AI771" s="20"/>
      <c r="AJ771" s="20"/>
      <c r="AK771" s="20"/>
      <c r="AL771" s="20"/>
      <c r="AM771" s="20"/>
      <c r="AN771" s="20"/>
      <c r="AO771" s="20"/>
      <c r="AP771" s="20"/>
      <c r="AQ771" s="20"/>
      <c r="AR771" s="20"/>
      <c r="AS771" s="20"/>
      <c r="AT771" s="20"/>
      <c r="AU771" s="20"/>
      <c r="AV771" s="20"/>
      <c r="AW771" s="20"/>
      <c r="AX771" s="20"/>
      <c r="AY771" s="20"/>
      <c r="AZ771" s="20"/>
      <c r="BA771" s="20"/>
      <c r="BB771" s="20"/>
      <c r="BC771" s="20"/>
    </row>
    <row r="772" ht="13.5" customHeight="1" spans="1:55">
      <c r="A772" s="20"/>
      <c r="B772" s="20"/>
      <c r="C772" s="20"/>
      <c r="D772" s="20"/>
      <c r="E772" s="20"/>
      <c r="F772" s="20"/>
      <c r="G772" s="52"/>
      <c r="H772" s="20"/>
      <c r="I772" s="20"/>
      <c r="J772" s="20"/>
      <c r="K772" s="20"/>
      <c r="L772" s="20"/>
      <c r="M772" s="20"/>
      <c r="N772" s="20"/>
      <c r="O772" s="20"/>
      <c r="P772" s="20"/>
      <c r="Q772" s="20"/>
      <c r="R772" s="20"/>
      <c r="S772" s="20"/>
      <c r="T772" s="20"/>
      <c r="U772" s="20"/>
      <c r="V772" s="20"/>
      <c r="W772" s="20"/>
      <c r="X772" s="20"/>
      <c r="Y772" s="20"/>
      <c r="Z772" s="20"/>
      <c r="AA772" s="20"/>
      <c r="AB772" s="20"/>
      <c r="AC772" s="20"/>
      <c r="AD772" s="20"/>
      <c r="AE772" s="20"/>
      <c r="AF772" s="20"/>
      <c r="AG772" s="20"/>
      <c r="AH772" s="20"/>
      <c r="AI772" s="20"/>
      <c r="AJ772" s="20"/>
      <c r="AK772" s="20"/>
      <c r="AL772" s="20"/>
      <c r="AM772" s="20"/>
      <c r="AN772" s="20"/>
      <c r="AO772" s="20"/>
      <c r="AP772" s="20"/>
      <c r="AQ772" s="20"/>
      <c r="AR772" s="20"/>
      <c r="AS772" s="20"/>
      <c r="AT772" s="20"/>
      <c r="AU772" s="20"/>
      <c r="AV772" s="20"/>
      <c r="AW772" s="20"/>
      <c r="AX772" s="20"/>
      <c r="AY772" s="20"/>
      <c r="AZ772" s="20"/>
      <c r="BA772" s="20"/>
      <c r="BB772" s="20"/>
      <c r="BC772" s="20"/>
    </row>
    <row r="773" ht="13.5" customHeight="1" spans="1:55">
      <c r="A773" s="20"/>
      <c r="B773" s="20"/>
      <c r="C773" s="20"/>
      <c r="D773" s="20"/>
      <c r="E773" s="20"/>
      <c r="F773" s="20"/>
      <c r="G773" s="52"/>
      <c r="H773" s="20"/>
      <c r="I773" s="20"/>
      <c r="J773" s="20"/>
      <c r="K773" s="20"/>
      <c r="L773" s="20"/>
      <c r="M773" s="20"/>
      <c r="N773" s="20"/>
      <c r="O773" s="20"/>
      <c r="P773" s="20"/>
      <c r="Q773" s="20"/>
      <c r="R773" s="20"/>
      <c r="S773" s="20"/>
      <c r="T773" s="20"/>
      <c r="U773" s="20"/>
      <c r="V773" s="20"/>
      <c r="W773" s="20"/>
      <c r="X773" s="20"/>
      <c r="Y773" s="20"/>
      <c r="Z773" s="20"/>
      <c r="AA773" s="20"/>
      <c r="AB773" s="20"/>
      <c r="AC773" s="20"/>
      <c r="AD773" s="20"/>
      <c r="AE773" s="20"/>
      <c r="AF773" s="20"/>
      <c r="AG773" s="20"/>
      <c r="AH773" s="20"/>
      <c r="AI773" s="20"/>
      <c r="AJ773" s="20"/>
      <c r="AK773" s="20"/>
      <c r="AL773" s="20"/>
      <c r="AM773" s="20"/>
      <c r="AN773" s="20"/>
      <c r="AO773" s="20"/>
      <c r="AP773" s="20"/>
      <c r="AQ773" s="20"/>
      <c r="AR773" s="20"/>
      <c r="AS773" s="20"/>
      <c r="AT773" s="20"/>
      <c r="AU773" s="20"/>
      <c r="AV773" s="20"/>
      <c r="AW773" s="20"/>
      <c r="AX773" s="20"/>
      <c r="AY773" s="20"/>
      <c r="AZ773" s="20"/>
      <c r="BA773" s="20"/>
      <c r="BB773" s="20"/>
      <c r="BC773" s="20"/>
    </row>
    <row r="774" ht="13.5" customHeight="1" spans="1:55">
      <c r="A774" s="20"/>
      <c r="B774" s="20"/>
      <c r="C774" s="20"/>
      <c r="D774" s="20"/>
      <c r="E774" s="20"/>
      <c r="F774" s="20"/>
      <c r="G774" s="52"/>
      <c r="H774" s="20"/>
      <c r="I774" s="20"/>
      <c r="J774" s="20"/>
      <c r="K774" s="20"/>
      <c r="L774" s="20"/>
      <c r="M774" s="20"/>
      <c r="N774" s="20"/>
      <c r="O774" s="20"/>
      <c r="P774" s="20"/>
      <c r="Q774" s="20"/>
      <c r="R774" s="20"/>
      <c r="S774" s="20"/>
      <c r="T774" s="20"/>
      <c r="U774" s="20"/>
      <c r="V774" s="20"/>
      <c r="W774" s="20"/>
      <c r="X774" s="20"/>
      <c r="Y774" s="20"/>
      <c r="Z774" s="20"/>
      <c r="AA774" s="20"/>
      <c r="AB774" s="20"/>
      <c r="AC774" s="20"/>
      <c r="AD774" s="20"/>
      <c r="AE774" s="20"/>
      <c r="AF774" s="20"/>
      <c r="AG774" s="20"/>
      <c r="AH774" s="20"/>
      <c r="AI774" s="20"/>
      <c r="AJ774" s="20"/>
      <c r="AK774" s="20"/>
      <c r="AL774" s="20"/>
      <c r="AM774" s="20"/>
      <c r="AN774" s="20"/>
      <c r="AO774" s="20"/>
      <c r="AP774" s="20"/>
      <c r="AQ774" s="20"/>
      <c r="AR774" s="20"/>
      <c r="AS774" s="20"/>
      <c r="AT774" s="20"/>
      <c r="AU774" s="20"/>
      <c r="AV774" s="20"/>
      <c r="AW774" s="20"/>
      <c r="AX774" s="20"/>
      <c r="AY774" s="20"/>
      <c r="AZ774" s="20"/>
      <c r="BA774" s="20"/>
      <c r="BB774" s="20"/>
      <c r="BC774" s="20"/>
    </row>
    <row r="775" ht="13.5" customHeight="1" spans="1:55">
      <c r="A775" s="20"/>
      <c r="B775" s="20"/>
      <c r="C775" s="20"/>
      <c r="D775" s="20"/>
      <c r="E775" s="20"/>
      <c r="F775" s="20"/>
      <c r="G775" s="52"/>
      <c r="H775" s="20"/>
      <c r="I775" s="20"/>
      <c r="J775" s="20"/>
      <c r="K775" s="20"/>
      <c r="L775" s="20"/>
      <c r="M775" s="20"/>
      <c r="N775" s="20"/>
      <c r="O775" s="20"/>
      <c r="P775" s="20"/>
      <c r="Q775" s="20"/>
      <c r="R775" s="20"/>
      <c r="S775" s="20"/>
      <c r="T775" s="20"/>
      <c r="U775" s="20"/>
      <c r="V775" s="20"/>
      <c r="W775" s="20"/>
      <c r="X775" s="20"/>
      <c r="Y775" s="20"/>
      <c r="Z775" s="20"/>
      <c r="AA775" s="20"/>
      <c r="AB775" s="20"/>
      <c r="AC775" s="20"/>
      <c r="AD775" s="20"/>
      <c r="AE775" s="20"/>
      <c r="AF775" s="20"/>
      <c r="AG775" s="20"/>
      <c r="AH775" s="20"/>
      <c r="AI775" s="20"/>
      <c r="AJ775" s="20"/>
      <c r="AK775" s="20"/>
      <c r="AL775" s="20"/>
      <c r="AM775" s="20"/>
      <c r="AN775" s="20"/>
      <c r="AO775" s="20"/>
      <c r="AP775" s="20"/>
      <c r="AQ775" s="20"/>
      <c r="AR775" s="20"/>
      <c r="AS775" s="20"/>
      <c r="AT775" s="20"/>
      <c r="AU775" s="20"/>
      <c r="AV775" s="20"/>
      <c r="AW775" s="20"/>
      <c r="AX775" s="20"/>
      <c r="AY775" s="20"/>
      <c r="AZ775" s="20"/>
      <c r="BA775" s="20"/>
      <c r="BB775" s="20"/>
      <c r="BC775" s="20"/>
    </row>
    <row r="776" ht="13.5" customHeight="1" spans="1:55">
      <c r="A776" s="20"/>
      <c r="B776" s="20"/>
      <c r="C776" s="20"/>
      <c r="D776" s="20"/>
      <c r="E776" s="20"/>
      <c r="F776" s="20"/>
      <c r="G776" s="52"/>
      <c r="H776" s="20"/>
      <c r="I776" s="20"/>
      <c r="J776" s="20"/>
      <c r="K776" s="20"/>
      <c r="L776" s="20"/>
      <c r="M776" s="20"/>
      <c r="N776" s="20"/>
      <c r="O776" s="20"/>
      <c r="P776" s="20"/>
      <c r="Q776" s="20"/>
      <c r="R776" s="20"/>
      <c r="S776" s="20"/>
      <c r="T776" s="20"/>
      <c r="U776" s="20"/>
      <c r="V776" s="20"/>
      <c r="W776" s="20"/>
      <c r="X776" s="20"/>
      <c r="Y776" s="20"/>
      <c r="Z776" s="20"/>
      <c r="AA776" s="20"/>
      <c r="AB776" s="20"/>
      <c r="AC776" s="20"/>
      <c r="AD776" s="20"/>
      <c r="AE776" s="20"/>
      <c r="AF776" s="20"/>
      <c r="AG776" s="20"/>
      <c r="AH776" s="20"/>
      <c r="AI776" s="20"/>
      <c r="AJ776" s="20"/>
      <c r="AK776" s="20"/>
      <c r="AL776" s="20"/>
      <c r="AM776" s="20"/>
      <c r="AN776" s="20"/>
      <c r="AO776" s="20"/>
      <c r="AP776" s="20"/>
      <c r="AQ776" s="20"/>
      <c r="AR776" s="20"/>
      <c r="AS776" s="20"/>
      <c r="AT776" s="20"/>
      <c r="AU776" s="20"/>
      <c r="AV776" s="20"/>
      <c r="AW776" s="20"/>
      <c r="AX776" s="20"/>
      <c r="AY776" s="20"/>
      <c r="AZ776" s="20"/>
      <c r="BA776" s="20"/>
      <c r="BB776" s="20"/>
      <c r="BC776" s="20"/>
    </row>
    <row r="777" ht="13.5" customHeight="1" spans="1:55">
      <c r="A777" s="20"/>
      <c r="B777" s="20"/>
      <c r="C777" s="20"/>
      <c r="D777" s="20"/>
      <c r="E777" s="20"/>
      <c r="F777" s="20"/>
      <c r="G777" s="52"/>
      <c r="H777" s="20"/>
      <c r="I777" s="20"/>
      <c r="J777" s="20"/>
      <c r="K777" s="20"/>
      <c r="L777" s="20"/>
      <c r="M777" s="20"/>
      <c r="N777" s="20"/>
      <c r="O777" s="20"/>
      <c r="P777" s="20"/>
      <c r="Q777" s="20"/>
      <c r="R777" s="20"/>
      <c r="S777" s="20"/>
      <c r="T777" s="20"/>
      <c r="U777" s="20"/>
      <c r="V777" s="20"/>
      <c r="W777" s="20"/>
      <c r="X777" s="20"/>
      <c r="Y777" s="20"/>
      <c r="Z777" s="20"/>
      <c r="AA777" s="20"/>
      <c r="AB777" s="20"/>
      <c r="AC777" s="20"/>
      <c r="AD777" s="20"/>
      <c r="AE777" s="20"/>
      <c r="AF777" s="20"/>
      <c r="AG777" s="20"/>
      <c r="AH777" s="20"/>
      <c r="AI777" s="20"/>
      <c r="AJ777" s="20"/>
      <c r="AK777" s="20"/>
      <c r="AL777" s="20"/>
      <c r="AM777" s="20"/>
      <c r="AN777" s="20"/>
      <c r="AO777" s="20"/>
      <c r="AP777" s="20"/>
      <c r="AQ777" s="20"/>
      <c r="AR777" s="20"/>
      <c r="AS777" s="20"/>
      <c r="AT777" s="20"/>
      <c r="AU777" s="20"/>
      <c r="AV777" s="20"/>
      <c r="AW777" s="20"/>
      <c r="AX777" s="20"/>
      <c r="AY777" s="20"/>
      <c r="AZ777" s="20"/>
      <c r="BA777" s="20"/>
      <c r="BB777" s="20"/>
      <c r="BC777" s="20"/>
    </row>
    <row r="778" ht="13.5" customHeight="1" spans="1:55">
      <c r="A778" s="20"/>
      <c r="B778" s="20"/>
      <c r="C778" s="20"/>
      <c r="D778" s="20"/>
      <c r="E778" s="20"/>
      <c r="F778" s="20"/>
      <c r="G778" s="52"/>
      <c r="H778" s="20"/>
      <c r="I778" s="20"/>
      <c r="J778" s="20"/>
      <c r="K778" s="20"/>
      <c r="L778" s="20"/>
      <c r="M778" s="20"/>
      <c r="N778" s="20"/>
      <c r="O778" s="20"/>
      <c r="P778" s="20"/>
      <c r="Q778" s="20"/>
      <c r="R778" s="20"/>
      <c r="S778" s="20"/>
      <c r="T778" s="20"/>
      <c r="U778" s="20"/>
      <c r="V778" s="20"/>
      <c r="W778" s="20"/>
      <c r="X778" s="20"/>
      <c r="Y778" s="20"/>
      <c r="Z778" s="20"/>
      <c r="AA778" s="20"/>
      <c r="AB778" s="20"/>
      <c r="AC778" s="20"/>
      <c r="AD778" s="20"/>
      <c r="AE778" s="20"/>
      <c r="AF778" s="20"/>
      <c r="AG778" s="20"/>
      <c r="AH778" s="20"/>
      <c r="AI778" s="20"/>
      <c r="AJ778" s="20"/>
      <c r="AK778" s="20"/>
      <c r="AL778" s="20"/>
      <c r="AM778" s="20"/>
      <c r="AN778" s="20"/>
      <c r="AO778" s="20"/>
      <c r="AP778" s="20"/>
      <c r="AQ778" s="20"/>
      <c r="AR778" s="20"/>
      <c r="AS778" s="20"/>
      <c r="AT778" s="20"/>
      <c r="AU778" s="20"/>
      <c r="AV778" s="20"/>
      <c r="AW778" s="20"/>
      <c r="AX778" s="20"/>
      <c r="AY778" s="20"/>
      <c r="AZ778" s="20"/>
      <c r="BA778" s="20"/>
      <c r="BB778" s="20"/>
      <c r="BC778" s="20"/>
    </row>
    <row r="779" ht="13.5" customHeight="1" spans="1:55">
      <c r="A779" s="20"/>
      <c r="B779" s="20"/>
      <c r="C779" s="20"/>
      <c r="D779" s="20"/>
      <c r="E779" s="20"/>
      <c r="F779" s="20"/>
      <c r="G779" s="52"/>
      <c r="H779" s="20"/>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row>
    <row r="780" ht="13.5" customHeight="1" spans="1:55">
      <c r="A780" s="20"/>
      <c r="B780" s="20"/>
      <c r="C780" s="20"/>
      <c r="D780" s="20"/>
      <c r="E780" s="20"/>
      <c r="F780" s="20"/>
      <c r="G780" s="52"/>
      <c r="H780" s="20"/>
      <c r="I780" s="20"/>
      <c r="J780" s="20"/>
      <c r="K780" s="20"/>
      <c r="L780" s="20"/>
      <c r="M780" s="20"/>
      <c r="N780" s="20"/>
      <c r="O780" s="20"/>
      <c r="P780" s="20"/>
      <c r="Q780" s="20"/>
      <c r="R780" s="20"/>
      <c r="S780" s="20"/>
      <c r="T780" s="20"/>
      <c r="U780" s="20"/>
      <c r="V780" s="20"/>
      <c r="W780" s="20"/>
      <c r="X780" s="20"/>
      <c r="Y780" s="20"/>
      <c r="Z780" s="20"/>
      <c r="AA780" s="20"/>
      <c r="AB780" s="20"/>
      <c r="AC780" s="20"/>
      <c r="AD780" s="20"/>
      <c r="AE780" s="20"/>
      <c r="AF780" s="20"/>
      <c r="AG780" s="20"/>
      <c r="AH780" s="20"/>
      <c r="AI780" s="20"/>
      <c r="AJ780" s="20"/>
      <c r="AK780" s="20"/>
      <c r="AL780" s="20"/>
      <c r="AM780" s="20"/>
      <c r="AN780" s="20"/>
      <c r="AO780" s="20"/>
      <c r="AP780" s="20"/>
      <c r="AQ780" s="20"/>
      <c r="AR780" s="20"/>
      <c r="AS780" s="20"/>
      <c r="AT780" s="20"/>
      <c r="AU780" s="20"/>
      <c r="AV780" s="20"/>
      <c r="AW780" s="20"/>
      <c r="AX780" s="20"/>
      <c r="AY780" s="20"/>
      <c r="AZ780" s="20"/>
      <c r="BA780" s="20"/>
      <c r="BB780" s="20"/>
      <c r="BC780" s="20"/>
    </row>
    <row r="781" ht="13.5" customHeight="1" spans="1:55">
      <c r="A781" s="20"/>
      <c r="B781" s="20"/>
      <c r="C781" s="20"/>
      <c r="D781" s="20"/>
      <c r="E781" s="20"/>
      <c r="F781" s="20"/>
      <c r="G781" s="52"/>
      <c r="H781" s="20"/>
      <c r="I781" s="20"/>
      <c r="J781" s="20"/>
      <c r="K781" s="20"/>
      <c r="L781" s="20"/>
      <c r="M781" s="20"/>
      <c r="N781" s="20"/>
      <c r="O781" s="20"/>
      <c r="P781" s="20"/>
      <c r="Q781" s="20"/>
      <c r="R781" s="20"/>
      <c r="S781" s="20"/>
      <c r="T781" s="20"/>
      <c r="U781" s="20"/>
      <c r="V781" s="20"/>
      <c r="W781" s="20"/>
      <c r="X781" s="20"/>
      <c r="Y781" s="20"/>
      <c r="Z781" s="20"/>
      <c r="AA781" s="20"/>
      <c r="AB781" s="20"/>
      <c r="AC781" s="20"/>
      <c r="AD781" s="20"/>
      <c r="AE781" s="20"/>
      <c r="AF781" s="20"/>
      <c r="AG781" s="20"/>
      <c r="AH781" s="20"/>
      <c r="AI781" s="20"/>
      <c r="AJ781" s="20"/>
      <c r="AK781" s="20"/>
      <c r="AL781" s="20"/>
      <c r="AM781" s="20"/>
      <c r="AN781" s="20"/>
      <c r="AO781" s="20"/>
      <c r="AP781" s="20"/>
      <c r="AQ781" s="20"/>
      <c r="AR781" s="20"/>
      <c r="AS781" s="20"/>
      <c r="AT781" s="20"/>
      <c r="AU781" s="20"/>
      <c r="AV781" s="20"/>
      <c r="AW781" s="20"/>
      <c r="AX781" s="20"/>
      <c r="AY781" s="20"/>
      <c r="AZ781" s="20"/>
      <c r="BA781" s="20"/>
      <c r="BB781" s="20"/>
      <c r="BC781" s="20"/>
    </row>
    <row r="782" ht="13.5" customHeight="1" spans="1:55">
      <c r="A782" s="20"/>
      <c r="B782" s="20"/>
      <c r="C782" s="20"/>
      <c r="D782" s="20"/>
      <c r="E782" s="20"/>
      <c r="F782" s="20"/>
      <c r="G782" s="52"/>
      <c r="H782" s="20"/>
      <c r="I782" s="20"/>
      <c r="J782" s="20"/>
      <c r="K782" s="20"/>
      <c r="L782" s="20"/>
      <c r="M782" s="20"/>
      <c r="N782" s="20"/>
      <c r="O782" s="20"/>
      <c r="P782" s="20"/>
      <c r="Q782" s="20"/>
      <c r="R782" s="20"/>
      <c r="S782" s="20"/>
      <c r="T782" s="20"/>
      <c r="U782" s="20"/>
      <c r="V782" s="20"/>
      <c r="W782" s="20"/>
      <c r="X782" s="20"/>
      <c r="Y782" s="20"/>
      <c r="Z782" s="20"/>
      <c r="AA782" s="20"/>
      <c r="AB782" s="20"/>
      <c r="AC782" s="20"/>
      <c r="AD782" s="20"/>
      <c r="AE782" s="20"/>
      <c r="AF782" s="20"/>
      <c r="AG782" s="20"/>
      <c r="AH782" s="20"/>
      <c r="AI782" s="20"/>
      <c r="AJ782" s="20"/>
      <c r="AK782" s="20"/>
      <c r="AL782" s="20"/>
      <c r="AM782" s="20"/>
      <c r="AN782" s="20"/>
      <c r="AO782" s="20"/>
      <c r="AP782" s="20"/>
      <c r="AQ782" s="20"/>
      <c r="AR782" s="20"/>
      <c r="AS782" s="20"/>
      <c r="AT782" s="20"/>
      <c r="AU782" s="20"/>
      <c r="AV782" s="20"/>
      <c r="AW782" s="20"/>
      <c r="AX782" s="20"/>
      <c r="AY782" s="20"/>
      <c r="AZ782" s="20"/>
      <c r="BA782" s="20"/>
      <c r="BB782" s="20"/>
      <c r="BC782" s="20"/>
    </row>
    <row r="783" ht="13.5" customHeight="1" spans="1:55">
      <c r="A783" s="20"/>
      <c r="B783" s="20"/>
      <c r="C783" s="20"/>
      <c r="D783" s="20"/>
      <c r="E783" s="20"/>
      <c r="F783" s="20"/>
      <c r="G783" s="52"/>
      <c r="H783" s="20"/>
      <c r="I783" s="20"/>
      <c r="J783" s="20"/>
      <c r="K783" s="20"/>
      <c r="L783" s="20"/>
      <c r="M783" s="20"/>
      <c r="N783" s="20"/>
      <c r="O783" s="20"/>
      <c r="P783" s="20"/>
      <c r="Q783" s="20"/>
      <c r="R783" s="20"/>
      <c r="S783" s="20"/>
      <c r="T783" s="20"/>
      <c r="U783" s="20"/>
      <c r="V783" s="20"/>
      <c r="W783" s="20"/>
      <c r="X783" s="20"/>
      <c r="Y783" s="20"/>
      <c r="Z783" s="20"/>
      <c r="AA783" s="20"/>
      <c r="AB783" s="20"/>
      <c r="AC783" s="20"/>
      <c r="AD783" s="20"/>
      <c r="AE783" s="20"/>
      <c r="AF783" s="20"/>
      <c r="AG783" s="20"/>
      <c r="AH783" s="20"/>
      <c r="AI783" s="20"/>
      <c r="AJ783" s="20"/>
      <c r="AK783" s="20"/>
      <c r="AL783" s="20"/>
      <c r="AM783" s="20"/>
      <c r="AN783" s="20"/>
      <c r="AO783" s="20"/>
      <c r="AP783" s="20"/>
      <c r="AQ783" s="20"/>
      <c r="AR783" s="20"/>
      <c r="AS783" s="20"/>
      <c r="AT783" s="20"/>
      <c r="AU783" s="20"/>
      <c r="AV783" s="20"/>
      <c r="AW783" s="20"/>
      <c r="AX783" s="20"/>
      <c r="AY783" s="20"/>
      <c r="AZ783" s="20"/>
      <c r="BA783" s="20"/>
      <c r="BB783" s="20"/>
      <c r="BC783" s="20"/>
    </row>
    <row r="784" ht="13.5" customHeight="1" spans="1:55">
      <c r="A784" s="20"/>
      <c r="B784" s="20"/>
      <c r="C784" s="20"/>
      <c r="D784" s="20"/>
      <c r="E784" s="20"/>
      <c r="F784" s="20"/>
      <c r="G784" s="52"/>
      <c r="H784" s="20"/>
      <c r="I784" s="20"/>
      <c r="J784" s="20"/>
      <c r="K784" s="20"/>
      <c r="L784" s="20"/>
      <c r="M784" s="20"/>
      <c r="N784" s="20"/>
      <c r="O784" s="20"/>
      <c r="P784" s="20"/>
      <c r="Q784" s="20"/>
      <c r="R784" s="20"/>
      <c r="S784" s="20"/>
      <c r="T784" s="20"/>
      <c r="U784" s="20"/>
      <c r="V784" s="20"/>
      <c r="W784" s="20"/>
      <c r="X784" s="20"/>
      <c r="Y784" s="20"/>
      <c r="Z784" s="20"/>
      <c r="AA784" s="20"/>
      <c r="AB784" s="20"/>
      <c r="AC784" s="20"/>
      <c r="AD784" s="20"/>
      <c r="AE784" s="20"/>
      <c r="AF784" s="20"/>
      <c r="AG784" s="20"/>
      <c r="AH784" s="20"/>
      <c r="AI784" s="20"/>
      <c r="AJ784" s="20"/>
      <c r="AK784" s="20"/>
      <c r="AL784" s="20"/>
      <c r="AM784" s="20"/>
      <c r="AN784" s="20"/>
      <c r="AO784" s="20"/>
      <c r="AP784" s="20"/>
      <c r="AQ784" s="20"/>
      <c r="AR784" s="20"/>
      <c r="AS784" s="20"/>
      <c r="AT784" s="20"/>
      <c r="AU784" s="20"/>
      <c r="AV784" s="20"/>
      <c r="AW784" s="20"/>
      <c r="AX784" s="20"/>
      <c r="AY784" s="20"/>
      <c r="AZ784" s="20"/>
      <c r="BA784" s="20"/>
      <c r="BB784" s="20"/>
      <c r="BC784" s="20"/>
    </row>
    <row r="785" ht="13.5" customHeight="1" spans="1:55">
      <c r="A785" s="20"/>
      <c r="B785" s="20"/>
      <c r="C785" s="20"/>
      <c r="D785" s="20"/>
      <c r="E785" s="20"/>
      <c r="F785" s="20"/>
      <c r="G785" s="52"/>
      <c r="H785" s="20"/>
      <c r="I785" s="20"/>
      <c r="J785" s="20"/>
      <c r="K785" s="20"/>
      <c r="L785" s="20"/>
      <c r="M785" s="20"/>
      <c r="N785" s="20"/>
      <c r="O785" s="20"/>
      <c r="P785" s="20"/>
      <c r="Q785" s="20"/>
      <c r="R785" s="20"/>
      <c r="S785" s="20"/>
      <c r="T785" s="20"/>
      <c r="U785" s="20"/>
      <c r="V785" s="20"/>
      <c r="W785" s="20"/>
      <c r="X785" s="20"/>
      <c r="Y785" s="20"/>
      <c r="Z785" s="20"/>
      <c r="AA785" s="20"/>
      <c r="AB785" s="20"/>
      <c r="AC785" s="20"/>
      <c r="AD785" s="20"/>
      <c r="AE785" s="20"/>
      <c r="AF785" s="20"/>
      <c r="AG785" s="20"/>
      <c r="AH785" s="20"/>
      <c r="AI785" s="20"/>
      <c r="AJ785" s="20"/>
      <c r="AK785" s="20"/>
      <c r="AL785" s="20"/>
      <c r="AM785" s="20"/>
      <c r="AN785" s="20"/>
      <c r="AO785" s="20"/>
      <c r="AP785" s="20"/>
      <c r="AQ785" s="20"/>
      <c r="AR785" s="20"/>
      <c r="AS785" s="20"/>
      <c r="AT785" s="20"/>
      <c r="AU785" s="20"/>
      <c r="AV785" s="20"/>
      <c r="AW785" s="20"/>
      <c r="AX785" s="20"/>
      <c r="AY785" s="20"/>
      <c r="AZ785" s="20"/>
      <c r="BA785" s="20"/>
      <c r="BB785" s="20"/>
      <c r="BC785" s="20"/>
    </row>
    <row r="786" ht="13.5" customHeight="1" spans="1:55">
      <c r="A786" s="20"/>
      <c r="B786" s="20"/>
      <c r="C786" s="20"/>
      <c r="D786" s="20"/>
      <c r="E786" s="20"/>
      <c r="F786" s="20"/>
      <c r="G786" s="52"/>
      <c r="H786" s="20"/>
      <c r="I786" s="20"/>
      <c r="J786" s="20"/>
      <c r="K786" s="20"/>
      <c r="L786" s="20"/>
      <c r="M786" s="20"/>
      <c r="N786" s="20"/>
      <c r="O786" s="20"/>
      <c r="P786" s="20"/>
      <c r="Q786" s="20"/>
      <c r="R786" s="20"/>
      <c r="S786" s="20"/>
      <c r="T786" s="20"/>
      <c r="U786" s="20"/>
      <c r="V786" s="20"/>
      <c r="W786" s="20"/>
      <c r="X786" s="20"/>
      <c r="Y786" s="20"/>
      <c r="Z786" s="20"/>
      <c r="AA786" s="20"/>
      <c r="AB786" s="20"/>
      <c r="AC786" s="20"/>
      <c r="AD786" s="20"/>
      <c r="AE786" s="20"/>
      <c r="AF786" s="20"/>
      <c r="AG786" s="20"/>
      <c r="AH786" s="20"/>
      <c r="AI786" s="20"/>
      <c r="AJ786" s="20"/>
      <c r="AK786" s="20"/>
      <c r="AL786" s="20"/>
      <c r="AM786" s="20"/>
      <c r="AN786" s="20"/>
      <c r="AO786" s="20"/>
      <c r="AP786" s="20"/>
      <c r="AQ786" s="20"/>
      <c r="AR786" s="20"/>
      <c r="AS786" s="20"/>
      <c r="AT786" s="20"/>
      <c r="AU786" s="20"/>
      <c r="AV786" s="20"/>
      <c r="AW786" s="20"/>
      <c r="AX786" s="20"/>
      <c r="AY786" s="20"/>
      <c r="AZ786" s="20"/>
      <c r="BA786" s="20"/>
      <c r="BB786" s="20"/>
      <c r="BC786" s="20"/>
    </row>
    <row r="787" ht="13.5" customHeight="1" spans="1:55">
      <c r="A787" s="20"/>
      <c r="B787" s="20"/>
      <c r="C787" s="20"/>
      <c r="D787" s="20"/>
      <c r="E787" s="20"/>
      <c r="F787" s="20"/>
      <c r="G787" s="52"/>
      <c r="H787" s="20"/>
      <c r="I787" s="20"/>
      <c r="J787" s="20"/>
      <c r="K787" s="20"/>
      <c r="L787" s="20"/>
      <c r="M787" s="20"/>
      <c r="N787" s="20"/>
      <c r="O787" s="20"/>
      <c r="P787" s="20"/>
      <c r="Q787" s="20"/>
      <c r="R787" s="20"/>
      <c r="S787" s="20"/>
      <c r="T787" s="20"/>
      <c r="U787" s="20"/>
      <c r="V787" s="20"/>
      <c r="W787" s="20"/>
      <c r="X787" s="20"/>
      <c r="Y787" s="20"/>
      <c r="Z787" s="20"/>
      <c r="AA787" s="20"/>
      <c r="AB787" s="20"/>
      <c r="AC787" s="20"/>
      <c r="AD787" s="20"/>
      <c r="AE787" s="20"/>
      <c r="AF787" s="20"/>
      <c r="AG787" s="20"/>
      <c r="AH787" s="20"/>
      <c r="AI787" s="20"/>
      <c r="AJ787" s="20"/>
      <c r="AK787" s="20"/>
      <c r="AL787" s="20"/>
      <c r="AM787" s="20"/>
      <c r="AN787" s="20"/>
      <c r="AO787" s="20"/>
      <c r="AP787" s="20"/>
      <c r="AQ787" s="20"/>
      <c r="AR787" s="20"/>
      <c r="AS787" s="20"/>
      <c r="AT787" s="20"/>
      <c r="AU787" s="20"/>
      <c r="AV787" s="20"/>
      <c r="AW787" s="20"/>
      <c r="AX787" s="20"/>
      <c r="AY787" s="20"/>
      <c r="AZ787" s="20"/>
      <c r="BA787" s="20"/>
      <c r="BB787" s="20"/>
      <c r="BC787" s="20"/>
    </row>
    <row r="788" ht="13.5" customHeight="1" spans="1:55">
      <c r="A788" s="20"/>
      <c r="B788" s="20"/>
      <c r="C788" s="20"/>
      <c r="D788" s="20"/>
      <c r="E788" s="20"/>
      <c r="F788" s="20"/>
      <c r="G788" s="52"/>
      <c r="H788" s="20"/>
      <c r="I788" s="20"/>
      <c r="J788" s="20"/>
      <c r="K788" s="20"/>
      <c r="L788" s="20"/>
      <c r="M788" s="20"/>
      <c r="N788" s="20"/>
      <c r="O788" s="20"/>
      <c r="P788" s="20"/>
      <c r="Q788" s="20"/>
      <c r="R788" s="20"/>
      <c r="S788" s="20"/>
      <c r="T788" s="20"/>
      <c r="U788" s="20"/>
      <c r="V788" s="20"/>
      <c r="W788" s="20"/>
      <c r="X788" s="20"/>
      <c r="Y788" s="20"/>
      <c r="Z788" s="20"/>
      <c r="AA788" s="20"/>
      <c r="AB788" s="20"/>
      <c r="AC788" s="20"/>
      <c r="AD788" s="20"/>
      <c r="AE788" s="20"/>
      <c r="AF788" s="20"/>
      <c r="AG788" s="20"/>
      <c r="AH788" s="20"/>
      <c r="AI788" s="20"/>
      <c r="AJ788" s="20"/>
      <c r="AK788" s="20"/>
      <c r="AL788" s="20"/>
      <c r="AM788" s="20"/>
      <c r="AN788" s="20"/>
      <c r="AO788" s="20"/>
      <c r="AP788" s="20"/>
      <c r="AQ788" s="20"/>
      <c r="AR788" s="20"/>
      <c r="AS788" s="20"/>
      <c r="AT788" s="20"/>
      <c r="AU788" s="20"/>
      <c r="AV788" s="20"/>
      <c r="AW788" s="20"/>
      <c r="AX788" s="20"/>
      <c r="AY788" s="20"/>
      <c r="AZ788" s="20"/>
      <c r="BA788" s="20"/>
      <c r="BB788" s="20"/>
      <c r="BC788" s="20"/>
    </row>
    <row r="789" ht="13.5" customHeight="1" spans="1:55">
      <c r="A789" s="20"/>
      <c r="B789" s="20"/>
      <c r="C789" s="20"/>
      <c r="D789" s="20"/>
      <c r="E789" s="20"/>
      <c r="F789" s="20"/>
      <c r="G789" s="52"/>
      <c r="H789" s="20"/>
      <c r="I789" s="20"/>
      <c r="J789" s="20"/>
      <c r="K789" s="20"/>
      <c r="L789" s="20"/>
      <c r="M789" s="20"/>
      <c r="N789" s="20"/>
      <c r="O789" s="20"/>
      <c r="P789" s="20"/>
      <c r="Q789" s="20"/>
      <c r="R789" s="20"/>
      <c r="S789" s="20"/>
      <c r="T789" s="20"/>
      <c r="U789" s="20"/>
      <c r="V789" s="20"/>
      <c r="W789" s="20"/>
      <c r="X789" s="20"/>
      <c r="Y789" s="20"/>
      <c r="Z789" s="20"/>
      <c r="AA789" s="20"/>
      <c r="AB789" s="20"/>
      <c r="AC789" s="20"/>
      <c r="AD789" s="20"/>
      <c r="AE789" s="20"/>
      <c r="AF789" s="20"/>
      <c r="AG789" s="20"/>
      <c r="AH789" s="20"/>
      <c r="AI789" s="20"/>
      <c r="AJ789" s="20"/>
      <c r="AK789" s="20"/>
      <c r="AL789" s="20"/>
      <c r="AM789" s="20"/>
      <c r="AN789" s="20"/>
      <c r="AO789" s="20"/>
      <c r="AP789" s="20"/>
      <c r="AQ789" s="20"/>
      <c r="AR789" s="20"/>
      <c r="AS789" s="20"/>
      <c r="AT789" s="20"/>
      <c r="AU789" s="20"/>
      <c r="AV789" s="20"/>
      <c r="AW789" s="20"/>
      <c r="AX789" s="20"/>
      <c r="AY789" s="20"/>
      <c r="AZ789" s="20"/>
      <c r="BA789" s="20"/>
      <c r="BB789" s="20"/>
      <c r="BC789" s="20"/>
    </row>
    <row r="790" ht="13.5" customHeight="1" spans="1:55">
      <c r="A790" s="20"/>
      <c r="B790" s="20"/>
      <c r="C790" s="20"/>
      <c r="D790" s="20"/>
      <c r="E790" s="20"/>
      <c r="F790" s="20"/>
      <c r="G790" s="52"/>
      <c r="H790" s="20"/>
      <c r="I790" s="20"/>
      <c r="J790" s="20"/>
      <c r="K790" s="20"/>
      <c r="L790" s="20"/>
      <c r="M790" s="20"/>
      <c r="N790" s="20"/>
      <c r="O790" s="20"/>
      <c r="P790" s="20"/>
      <c r="Q790" s="20"/>
      <c r="R790" s="20"/>
      <c r="S790" s="20"/>
      <c r="T790" s="20"/>
      <c r="U790" s="20"/>
      <c r="V790" s="20"/>
      <c r="W790" s="20"/>
      <c r="X790" s="20"/>
      <c r="Y790" s="20"/>
      <c r="Z790" s="20"/>
      <c r="AA790" s="20"/>
      <c r="AB790" s="20"/>
      <c r="AC790" s="20"/>
      <c r="AD790" s="20"/>
      <c r="AE790" s="20"/>
      <c r="AF790" s="20"/>
      <c r="AG790" s="20"/>
      <c r="AH790" s="20"/>
      <c r="AI790" s="20"/>
      <c r="AJ790" s="20"/>
      <c r="AK790" s="20"/>
      <c r="AL790" s="20"/>
      <c r="AM790" s="20"/>
      <c r="AN790" s="20"/>
      <c r="AO790" s="20"/>
      <c r="AP790" s="20"/>
      <c r="AQ790" s="20"/>
      <c r="AR790" s="20"/>
      <c r="AS790" s="20"/>
      <c r="AT790" s="20"/>
      <c r="AU790" s="20"/>
      <c r="AV790" s="20"/>
      <c r="AW790" s="20"/>
      <c r="AX790" s="20"/>
      <c r="AY790" s="20"/>
      <c r="AZ790" s="20"/>
      <c r="BA790" s="20"/>
      <c r="BB790" s="20"/>
      <c r="BC790" s="20"/>
    </row>
    <row r="791" ht="13.5" customHeight="1" spans="1:55">
      <c r="A791" s="20"/>
      <c r="B791" s="20"/>
      <c r="C791" s="20"/>
      <c r="D791" s="20"/>
      <c r="E791" s="20"/>
      <c r="F791" s="20"/>
      <c r="G791" s="52"/>
      <c r="H791" s="20"/>
      <c r="I791" s="20"/>
      <c r="J791" s="20"/>
      <c r="K791" s="20"/>
      <c r="L791" s="20"/>
      <c r="M791" s="20"/>
      <c r="N791" s="20"/>
      <c r="O791" s="20"/>
      <c r="P791" s="20"/>
      <c r="Q791" s="20"/>
      <c r="R791" s="20"/>
      <c r="S791" s="20"/>
      <c r="T791" s="20"/>
      <c r="U791" s="20"/>
      <c r="V791" s="20"/>
      <c r="W791" s="20"/>
      <c r="X791" s="20"/>
      <c r="Y791" s="20"/>
      <c r="Z791" s="20"/>
      <c r="AA791" s="20"/>
      <c r="AB791" s="20"/>
      <c r="AC791" s="20"/>
      <c r="AD791" s="20"/>
      <c r="AE791" s="20"/>
      <c r="AF791" s="20"/>
      <c r="AG791" s="20"/>
      <c r="AH791" s="20"/>
      <c r="AI791" s="20"/>
      <c r="AJ791" s="20"/>
      <c r="AK791" s="20"/>
      <c r="AL791" s="20"/>
      <c r="AM791" s="20"/>
      <c r="AN791" s="20"/>
      <c r="AO791" s="20"/>
      <c r="AP791" s="20"/>
      <c r="AQ791" s="20"/>
      <c r="AR791" s="20"/>
      <c r="AS791" s="20"/>
      <c r="AT791" s="20"/>
      <c r="AU791" s="20"/>
      <c r="AV791" s="20"/>
      <c r="AW791" s="20"/>
      <c r="AX791" s="20"/>
      <c r="AY791" s="20"/>
      <c r="AZ791" s="20"/>
      <c r="BA791" s="20"/>
      <c r="BB791" s="20"/>
      <c r="BC791" s="20"/>
    </row>
    <row r="792" ht="13.5" customHeight="1" spans="1:55">
      <c r="A792" s="20"/>
      <c r="B792" s="20"/>
      <c r="C792" s="20"/>
      <c r="D792" s="20"/>
      <c r="E792" s="20"/>
      <c r="F792" s="20"/>
      <c r="G792" s="52"/>
      <c r="H792" s="20"/>
      <c r="I792" s="20"/>
      <c r="J792" s="20"/>
      <c r="K792" s="20"/>
      <c r="L792" s="20"/>
      <c r="M792" s="20"/>
      <c r="N792" s="20"/>
      <c r="O792" s="20"/>
      <c r="P792" s="20"/>
      <c r="Q792" s="20"/>
      <c r="R792" s="20"/>
      <c r="S792" s="20"/>
      <c r="T792" s="20"/>
      <c r="U792" s="20"/>
      <c r="V792" s="20"/>
      <c r="W792" s="20"/>
      <c r="X792" s="20"/>
      <c r="Y792" s="20"/>
      <c r="Z792" s="20"/>
      <c r="AA792" s="20"/>
      <c r="AB792" s="20"/>
      <c r="AC792" s="20"/>
      <c r="AD792" s="20"/>
      <c r="AE792" s="20"/>
      <c r="AF792" s="20"/>
      <c r="AG792" s="20"/>
      <c r="AH792" s="20"/>
      <c r="AI792" s="20"/>
      <c r="AJ792" s="20"/>
      <c r="AK792" s="20"/>
      <c r="AL792" s="20"/>
      <c r="AM792" s="20"/>
      <c r="AN792" s="20"/>
      <c r="AO792" s="20"/>
      <c r="AP792" s="20"/>
      <c r="AQ792" s="20"/>
      <c r="AR792" s="20"/>
      <c r="AS792" s="20"/>
      <c r="AT792" s="20"/>
      <c r="AU792" s="20"/>
      <c r="AV792" s="20"/>
      <c r="AW792" s="20"/>
      <c r="AX792" s="20"/>
      <c r="AY792" s="20"/>
      <c r="AZ792" s="20"/>
      <c r="BA792" s="20"/>
      <c r="BB792" s="20"/>
      <c r="BC792" s="20"/>
    </row>
    <row r="793" ht="13.5" customHeight="1" spans="1:55">
      <c r="A793" s="20"/>
      <c r="B793" s="20"/>
      <c r="C793" s="20"/>
      <c r="D793" s="20"/>
      <c r="E793" s="20"/>
      <c r="F793" s="20"/>
      <c r="G793" s="52"/>
      <c r="H793" s="20"/>
      <c r="I793" s="20"/>
      <c r="J793" s="20"/>
      <c r="K793" s="20"/>
      <c r="L793" s="20"/>
      <c r="M793" s="20"/>
      <c r="N793" s="20"/>
      <c r="O793" s="20"/>
      <c r="P793" s="20"/>
      <c r="Q793" s="20"/>
      <c r="R793" s="20"/>
      <c r="S793" s="20"/>
      <c r="T793" s="20"/>
      <c r="U793" s="20"/>
      <c r="V793" s="20"/>
      <c r="W793" s="20"/>
      <c r="X793" s="20"/>
      <c r="Y793" s="20"/>
      <c r="Z793" s="20"/>
      <c r="AA793" s="20"/>
      <c r="AB793" s="20"/>
      <c r="AC793" s="20"/>
      <c r="AD793" s="20"/>
      <c r="AE793" s="20"/>
      <c r="AF793" s="20"/>
      <c r="AG793" s="20"/>
      <c r="AH793" s="20"/>
      <c r="AI793" s="20"/>
      <c r="AJ793" s="20"/>
      <c r="AK793" s="20"/>
      <c r="AL793" s="20"/>
      <c r="AM793" s="20"/>
      <c r="AN793" s="20"/>
      <c r="AO793" s="20"/>
      <c r="AP793" s="20"/>
      <c r="AQ793" s="20"/>
      <c r="AR793" s="20"/>
      <c r="AS793" s="20"/>
      <c r="AT793" s="20"/>
      <c r="AU793" s="20"/>
      <c r="AV793" s="20"/>
      <c r="AW793" s="20"/>
      <c r="AX793" s="20"/>
      <c r="AY793" s="20"/>
      <c r="AZ793" s="20"/>
      <c r="BA793" s="20"/>
      <c r="BB793" s="20"/>
      <c r="BC793" s="20"/>
    </row>
    <row r="794" ht="13.5" customHeight="1" spans="1:55">
      <c r="A794" s="20"/>
      <c r="B794" s="20"/>
      <c r="C794" s="20"/>
      <c r="D794" s="20"/>
      <c r="E794" s="20"/>
      <c r="F794" s="20"/>
      <c r="G794" s="52"/>
      <c r="H794" s="20"/>
      <c r="I794" s="20"/>
      <c r="J794" s="20"/>
      <c r="K794" s="20"/>
      <c r="L794" s="20"/>
      <c r="M794" s="20"/>
      <c r="N794" s="20"/>
      <c r="O794" s="20"/>
      <c r="P794" s="20"/>
      <c r="Q794" s="20"/>
      <c r="R794" s="20"/>
      <c r="S794" s="20"/>
      <c r="T794" s="20"/>
      <c r="U794" s="20"/>
      <c r="V794" s="20"/>
      <c r="W794" s="20"/>
      <c r="X794" s="20"/>
      <c r="Y794" s="20"/>
      <c r="Z794" s="20"/>
      <c r="AA794" s="20"/>
      <c r="AB794" s="20"/>
      <c r="AC794" s="20"/>
      <c r="AD794" s="20"/>
      <c r="AE794" s="20"/>
      <c r="AF794" s="20"/>
      <c r="AG794" s="20"/>
      <c r="AH794" s="20"/>
      <c r="AI794" s="20"/>
      <c r="AJ794" s="20"/>
      <c r="AK794" s="20"/>
      <c r="AL794" s="20"/>
      <c r="AM794" s="20"/>
      <c r="AN794" s="20"/>
      <c r="AO794" s="20"/>
      <c r="AP794" s="20"/>
      <c r="AQ794" s="20"/>
      <c r="AR794" s="20"/>
      <c r="AS794" s="20"/>
      <c r="AT794" s="20"/>
      <c r="AU794" s="20"/>
      <c r="AV794" s="20"/>
      <c r="AW794" s="20"/>
      <c r="AX794" s="20"/>
      <c r="AY794" s="20"/>
      <c r="AZ794" s="20"/>
      <c r="BA794" s="20"/>
      <c r="BB794" s="20"/>
      <c r="BC794" s="20"/>
    </row>
    <row r="795" ht="13.5" customHeight="1" spans="1:55">
      <c r="A795" s="20"/>
      <c r="B795" s="20"/>
      <c r="C795" s="20"/>
      <c r="D795" s="20"/>
      <c r="E795" s="20"/>
      <c r="F795" s="20"/>
      <c r="G795" s="52"/>
      <c r="H795" s="20"/>
      <c r="I795" s="20"/>
      <c r="J795" s="20"/>
      <c r="K795" s="20"/>
      <c r="L795" s="20"/>
      <c r="M795" s="20"/>
      <c r="N795" s="20"/>
      <c r="O795" s="20"/>
      <c r="P795" s="20"/>
      <c r="Q795" s="20"/>
      <c r="R795" s="20"/>
      <c r="S795" s="20"/>
      <c r="T795" s="20"/>
      <c r="U795" s="20"/>
      <c r="V795" s="20"/>
      <c r="W795" s="20"/>
      <c r="X795" s="20"/>
      <c r="Y795" s="20"/>
      <c r="Z795" s="20"/>
      <c r="AA795" s="20"/>
      <c r="AB795" s="20"/>
      <c r="AC795" s="20"/>
      <c r="AD795" s="20"/>
      <c r="AE795" s="20"/>
      <c r="AF795" s="20"/>
      <c r="AG795" s="20"/>
      <c r="AH795" s="20"/>
      <c r="AI795" s="20"/>
      <c r="AJ795" s="20"/>
      <c r="AK795" s="20"/>
      <c r="AL795" s="20"/>
      <c r="AM795" s="20"/>
      <c r="AN795" s="20"/>
      <c r="AO795" s="20"/>
      <c r="AP795" s="20"/>
      <c r="AQ795" s="20"/>
      <c r="AR795" s="20"/>
      <c r="AS795" s="20"/>
      <c r="AT795" s="20"/>
      <c r="AU795" s="20"/>
      <c r="AV795" s="20"/>
      <c r="AW795" s="20"/>
      <c r="AX795" s="20"/>
      <c r="AY795" s="20"/>
      <c r="AZ795" s="20"/>
      <c r="BA795" s="20"/>
      <c r="BB795" s="20"/>
      <c r="BC795" s="20"/>
    </row>
    <row r="796" ht="13.5" customHeight="1" spans="1:55">
      <c r="A796" s="20"/>
      <c r="B796" s="20"/>
      <c r="C796" s="20"/>
      <c r="D796" s="20"/>
      <c r="E796" s="20"/>
      <c r="F796" s="20"/>
      <c r="G796" s="52"/>
      <c r="H796" s="20"/>
      <c r="I796" s="20"/>
      <c r="J796" s="20"/>
      <c r="K796" s="20"/>
      <c r="L796" s="20"/>
      <c r="M796" s="20"/>
      <c r="N796" s="20"/>
      <c r="O796" s="20"/>
      <c r="P796" s="20"/>
      <c r="Q796" s="20"/>
      <c r="R796" s="20"/>
      <c r="S796" s="20"/>
      <c r="T796" s="20"/>
      <c r="U796" s="20"/>
      <c r="V796" s="20"/>
      <c r="W796" s="20"/>
      <c r="X796" s="20"/>
      <c r="Y796" s="20"/>
      <c r="Z796" s="20"/>
      <c r="AA796" s="20"/>
      <c r="AB796" s="20"/>
      <c r="AC796" s="20"/>
      <c r="AD796" s="20"/>
      <c r="AE796" s="20"/>
      <c r="AF796" s="20"/>
      <c r="AG796" s="20"/>
      <c r="AH796" s="20"/>
      <c r="AI796" s="20"/>
      <c r="AJ796" s="20"/>
      <c r="AK796" s="20"/>
      <c r="AL796" s="20"/>
      <c r="AM796" s="20"/>
      <c r="AN796" s="20"/>
      <c r="AO796" s="20"/>
      <c r="AP796" s="20"/>
      <c r="AQ796" s="20"/>
      <c r="AR796" s="20"/>
      <c r="AS796" s="20"/>
      <c r="AT796" s="20"/>
      <c r="AU796" s="20"/>
      <c r="AV796" s="20"/>
      <c r="AW796" s="20"/>
      <c r="AX796" s="20"/>
      <c r="AY796" s="20"/>
      <c r="AZ796" s="20"/>
      <c r="BA796" s="20"/>
      <c r="BB796" s="20"/>
      <c r="BC796" s="20"/>
    </row>
    <row r="797" ht="13.5" customHeight="1" spans="1:55">
      <c r="A797" s="20"/>
      <c r="B797" s="20"/>
      <c r="C797" s="20"/>
      <c r="D797" s="20"/>
      <c r="E797" s="20"/>
      <c r="F797" s="20"/>
      <c r="G797" s="52"/>
      <c r="H797" s="20"/>
      <c r="I797" s="20"/>
      <c r="J797" s="20"/>
      <c r="K797" s="20"/>
      <c r="L797" s="20"/>
      <c r="M797" s="20"/>
      <c r="N797" s="20"/>
      <c r="O797" s="20"/>
      <c r="P797" s="20"/>
      <c r="Q797" s="20"/>
      <c r="R797" s="20"/>
      <c r="S797" s="20"/>
      <c r="T797" s="20"/>
      <c r="U797" s="20"/>
      <c r="V797" s="20"/>
      <c r="W797" s="20"/>
      <c r="X797" s="20"/>
      <c r="Y797" s="20"/>
      <c r="Z797" s="20"/>
      <c r="AA797" s="20"/>
      <c r="AB797" s="20"/>
      <c r="AC797" s="20"/>
      <c r="AD797" s="20"/>
      <c r="AE797" s="20"/>
      <c r="AF797" s="20"/>
      <c r="AG797" s="20"/>
      <c r="AH797" s="20"/>
      <c r="AI797" s="20"/>
      <c r="AJ797" s="20"/>
      <c r="AK797" s="20"/>
      <c r="AL797" s="20"/>
      <c r="AM797" s="20"/>
      <c r="AN797" s="20"/>
      <c r="AO797" s="20"/>
      <c r="AP797" s="20"/>
      <c r="AQ797" s="20"/>
      <c r="AR797" s="20"/>
      <c r="AS797" s="20"/>
      <c r="AT797" s="20"/>
      <c r="AU797" s="20"/>
      <c r="AV797" s="20"/>
      <c r="AW797" s="20"/>
      <c r="AX797" s="20"/>
      <c r="AY797" s="20"/>
      <c r="AZ797" s="20"/>
      <c r="BA797" s="20"/>
      <c r="BB797" s="20"/>
      <c r="BC797" s="20"/>
    </row>
    <row r="798" ht="13.5" customHeight="1" spans="1:55">
      <c r="A798" s="20"/>
      <c r="B798" s="20"/>
      <c r="C798" s="20"/>
      <c r="D798" s="20"/>
      <c r="E798" s="20"/>
      <c r="F798" s="20"/>
      <c r="G798" s="52"/>
      <c r="H798" s="20"/>
      <c r="I798" s="20"/>
      <c r="J798" s="20"/>
      <c r="K798" s="20"/>
      <c r="L798" s="20"/>
      <c r="M798" s="20"/>
      <c r="N798" s="20"/>
      <c r="O798" s="20"/>
      <c r="P798" s="20"/>
      <c r="Q798" s="20"/>
      <c r="R798" s="20"/>
      <c r="S798" s="20"/>
      <c r="T798" s="20"/>
      <c r="U798" s="20"/>
      <c r="V798" s="20"/>
      <c r="W798" s="20"/>
      <c r="X798" s="20"/>
      <c r="Y798" s="20"/>
      <c r="Z798" s="20"/>
      <c r="AA798" s="20"/>
      <c r="AB798" s="20"/>
      <c r="AC798" s="20"/>
      <c r="AD798" s="20"/>
      <c r="AE798" s="20"/>
      <c r="AF798" s="20"/>
      <c r="AG798" s="20"/>
      <c r="AH798" s="20"/>
      <c r="AI798" s="20"/>
      <c r="AJ798" s="20"/>
      <c r="AK798" s="20"/>
      <c r="AL798" s="20"/>
      <c r="AM798" s="20"/>
      <c r="AN798" s="20"/>
      <c r="AO798" s="20"/>
      <c r="AP798" s="20"/>
      <c r="AQ798" s="20"/>
      <c r="AR798" s="20"/>
      <c r="AS798" s="20"/>
      <c r="AT798" s="20"/>
      <c r="AU798" s="20"/>
      <c r="AV798" s="20"/>
      <c r="AW798" s="20"/>
      <c r="AX798" s="20"/>
      <c r="AY798" s="20"/>
      <c r="AZ798" s="20"/>
      <c r="BA798" s="20"/>
      <c r="BB798" s="20"/>
      <c r="BC798" s="20"/>
    </row>
    <row r="799" ht="13.5" customHeight="1" spans="1:55">
      <c r="A799" s="20"/>
      <c r="B799" s="20"/>
      <c r="C799" s="20"/>
      <c r="D799" s="20"/>
      <c r="E799" s="20"/>
      <c r="F799" s="20"/>
      <c r="G799" s="52"/>
      <c r="H799" s="20"/>
      <c r="I799" s="20"/>
      <c r="J799" s="20"/>
      <c r="K799" s="20"/>
      <c r="L799" s="20"/>
      <c r="M799" s="20"/>
      <c r="N799" s="20"/>
      <c r="O799" s="20"/>
      <c r="P799" s="20"/>
      <c r="Q799" s="20"/>
      <c r="R799" s="20"/>
      <c r="S799" s="20"/>
      <c r="T799" s="20"/>
      <c r="U799" s="20"/>
      <c r="V799" s="20"/>
      <c r="W799" s="20"/>
      <c r="X799" s="20"/>
      <c r="Y799" s="20"/>
      <c r="Z799" s="20"/>
      <c r="AA799" s="20"/>
      <c r="AB799" s="20"/>
      <c r="AC799" s="20"/>
      <c r="AD799" s="20"/>
      <c r="AE799" s="20"/>
      <c r="AF799" s="20"/>
      <c r="AG799" s="20"/>
      <c r="AH799" s="20"/>
      <c r="AI799" s="20"/>
      <c r="AJ799" s="20"/>
      <c r="AK799" s="20"/>
      <c r="AL799" s="20"/>
      <c r="AM799" s="20"/>
      <c r="AN799" s="20"/>
      <c r="AO799" s="20"/>
      <c r="AP799" s="20"/>
      <c r="AQ799" s="20"/>
      <c r="AR799" s="20"/>
      <c r="AS799" s="20"/>
      <c r="AT799" s="20"/>
      <c r="AU799" s="20"/>
      <c r="AV799" s="20"/>
      <c r="AW799" s="20"/>
      <c r="AX799" s="20"/>
      <c r="AY799" s="20"/>
      <c r="AZ799" s="20"/>
      <c r="BA799" s="20"/>
      <c r="BB799" s="20"/>
      <c r="BC799" s="20"/>
    </row>
    <row r="800" ht="13.5" customHeight="1" spans="1:55">
      <c r="A800" s="20"/>
      <c r="B800" s="20"/>
      <c r="C800" s="20"/>
      <c r="D800" s="20"/>
      <c r="E800" s="20"/>
      <c r="F800" s="20"/>
      <c r="G800" s="52"/>
      <c r="H800" s="20"/>
      <c r="I800" s="20"/>
      <c r="J800" s="20"/>
      <c r="K800" s="20"/>
      <c r="L800" s="20"/>
      <c r="M800" s="20"/>
      <c r="N800" s="20"/>
      <c r="O800" s="20"/>
      <c r="P800" s="20"/>
      <c r="Q800" s="20"/>
      <c r="R800" s="20"/>
      <c r="S800" s="20"/>
      <c r="T800" s="20"/>
      <c r="U800" s="20"/>
      <c r="V800" s="20"/>
      <c r="W800" s="20"/>
      <c r="X800" s="20"/>
      <c r="Y800" s="20"/>
      <c r="Z800" s="20"/>
      <c r="AA800" s="20"/>
      <c r="AB800" s="20"/>
      <c r="AC800" s="20"/>
      <c r="AD800" s="20"/>
      <c r="AE800" s="20"/>
      <c r="AF800" s="20"/>
      <c r="AG800" s="20"/>
      <c r="AH800" s="20"/>
      <c r="AI800" s="20"/>
      <c r="AJ800" s="20"/>
      <c r="AK800" s="20"/>
      <c r="AL800" s="20"/>
      <c r="AM800" s="20"/>
      <c r="AN800" s="20"/>
      <c r="AO800" s="20"/>
      <c r="AP800" s="20"/>
      <c r="AQ800" s="20"/>
      <c r="AR800" s="20"/>
      <c r="AS800" s="20"/>
      <c r="AT800" s="20"/>
      <c r="AU800" s="20"/>
      <c r="AV800" s="20"/>
      <c r="AW800" s="20"/>
      <c r="AX800" s="20"/>
      <c r="AY800" s="20"/>
      <c r="AZ800" s="20"/>
      <c r="BA800" s="20"/>
      <c r="BB800" s="20"/>
      <c r="BC800" s="20"/>
    </row>
    <row r="801" ht="13.5" customHeight="1" spans="1:55">
      <c r="A801" s="20"/>
      <c r="B801" s="20"/>
      <c r="C801" s="20"/>
      <c r="D801" s="20"/>
      <c r="E801" s="20"/>
      <c r="F801" s="20"/>
      <c r="G801" s="52"/>
      <c r="H801" s="20"/>
      <c r="I801" s="20"/>
      <c r="J801" s="20"/>
      <c r="K801" s="20"/>
      <c r="L801" s="20"/>
      <c r="M801" s="20"/>
      <c r="N801" s="20"/>
      <c r="O801" s="20"/>
      <c r="P801" s="20"/>
      <c r="Q801" s="20"/>
      <c r="R801" s="20"/>
      <c r="S801" s="20"/>
      <c r="T801" s="20"/>
      <c r="U801" s="20"/>
      <c r="V801" s="20"/>
      <c r="W801" s="20"/>
      <c r="X801" s="20"/>
      <c r="Y801" s="20"/>
      <c r="Z801" s="20"/>
      <c r="AA801" s="20"/>
      <c r="AB801" s="20"/>
      <c r="AC801" s="20"/>
      <c r="AD801" s="20"/>
      <c r="AE801" s="20"/>
      <c r="AF801" s="20"/>
      <c r="AG801" s="20"/>
      <c r="AH801" s="20"/>
      <c r="AI801" s="20"/>
      <c r="AJ801" s="20"/>
      <c r="AK801" s="20"/>
      <c r="AL801" s="20"/>
      <c r="AM801" s="20"/>
      <c r="AN801" s="20"/>
      <c r="AO801" s="20"/>
      <c r="AP801" s="20"/>
      <c r="AQ801" s="20"/>
      <c r="AR801" s="20"/>
      <c r="AS801" s="20"/>
      <c r="AT801" s="20"/>
      <c r="AU801" s="20"/>
      <c r="AV801" s="20"/>
      <c r="AW801" s="20"/>
      <c r="AX801" s="20"/>
      <c r="AY801" s="20"/>
      <c r="AZ801" s="20"/>
      <c r="BA801" s="20"/>
      <c r="BB801" s="20"/>
      <c r="BC801" s="20"/>
    </row>
    <row r="802" ht="13.5" customHeight="1" spans="1:55">
      <c r="A802" s="20"/>
      <c r="B802" s="20"/>
      <c r="C802" s="20"/>
      <c r="D802" s="20"/>
      <c r="E802" s="20"/>
      <c r="F802" s="20"/>
      <c r="G802" s="52"/>
      <c r="H802" s="20"/>
      <c r="I802" s="20"/>
      <c r="J802" s="20"/>
      <c r="K802" s="20"/>
      <c r="L802" s="20"/>
      <c r="M802" s="20"/>
      <c r="N802" s="20"/>
      <c r="O802" s="20"/>
      <c r="P802" s="20"/>
      <c r="Q802" s="20"/>
      <c r="R802" s="20"/>
      <c r="S802" s="20"/>
      <c r="T802" s="20"/>
      <c r="U802" s="20"/>
      <c r="V802" s="20"/>
      <c r="W802" s="20"/>
      <c r="X802" s="20"/>
      <c r="Y802" s="20"/>
      <c r="Z802" s="20"/>
      <c r="AA802" s="20"/>
      <c r="AB802" s="20"/>
      <c r="AC802" s="20"/>
      <c r="AD802" s="20"/>
      <c r="AE802" s="20"/>
      <c r="AF802" s="20"/>
      <c r="AG802" s="20"/>
      <c r="AH802" s="20"/>
      <c r="AI802" s="20"/>
      <c r="AJ802" s="20"/>
      <c r="AK802" s="20"/>
      <c r="AL802" s="20"/>
      <c r="AM802" s="20"/>
      <c r="AN802" s="20"/>
      <c r="AO802" s="20"/>
      <c r="AP802" s="20"/>
      <c r="AQ802" s="20"/>
      <c r="AR802" s="20"/>
      <c r="AS802" s="20"/>
      <c r="AT802" s="20"/>
      <c r="AU802" s="20"/>
      <c r="AV802" s="20"/>
      <c r="AW802" s="20"/>
      <c r="AX802" s="20"/>
      <c r="AY802" s="20"/>
      <c r="AZ802" s="20"/>
      <c r="BA802" s="20"/>
      <c r="BB802" s="20"/>
      <c r="BC802" s="20"/>
    </row>
    <row r="803" ht="13.5" customHeight="1" spans="1:55">
      <c r="A803" s="20"/>
      <c r="B803" s="20"/>
      <c r="C803" s="20"/>
      <c r="D803" s="20"/>
      <c r="E803" s="20"/>
      <c r="F803" s="20"/>
      <c r="G803" s="52"/>
      <c r="H803" s="20"/>
      <c r="I803" s="20"/>
      <c r="J803" s="20"/>
      <c r="K803" s="20"/>
      <c r="L803" s="20"/>
      <c r="M803" s="20"/>
      <c r="N803" s="20"/>
      <c r="O803" s="20"/>
      <c r="P803" s="20"/>
      <c r="Q803" s="20"/>
      <c r="R803" s="20"/>
      <c r="S803" s="20"/>
      <c r="T803" s="20"/>
      <c r="U803" s="20"/>
      <c r="V803" s="20"/>
      <c r="W803" s="20"/>
      <c r="X803" s="20"/>
      <c r="Y803" s="20"/>
      <c r="Z803" s="20"/>
      <c r="AA803" s="20"/>
      <c r="AB803" s="20"/>
      <c r="AC803" s="20"/>
      <c r="AD803" s="20"/>
      <c r="AE803" s="20"/>
      <c r="AF803" s="20"/>
      <c r="AG803" s="20"/>
      <c r="AH803" s="20"/>
      <c r="AI803" s="20"/>
      <c r="AJ803" s="20"/>
      <c r="AK803" s="20"/>
      <c r="AL803" s="20"/>
      <c r="AM803" s="20"/>
      <c r="AN803" s="20"/>
      <c r="AO803" s="20"/>
      <c r="AP803" s="20"/>
      <c r="AQ803" s="20"/>
      <c r="AR803" s="20"/>
      <c r="AS803" s="20"/>
      <c r="AT803" s="20"/>
      <c r="AU803" s="20"/>
      <c r="AV803" s="20"/>
      <c r="AW803" s="20"/>
      <c r="AX803" s="20"/>
      <c r="AY803" s="20"/>
      <c r="AZ803" s="20"/>
      <c r="BA803" s="20"/>
      <c r="BB803" s="20"/>
      <c r="BC803" s="20"/>
    </row>
    <row r="804" ht="13.5" customHeight="1" spans="1:55">
      <c r="A804" s="20"/>
      <c r="B804" s="20"/>
      <c r="C804" s="20"/>
      <c r="D804" s="20"/>
      <c r="E804" s="20"/>
      <c r="F804" s="20"/>
      <c r="G804" s="52"/>
      <c r="H804" s="20"/>
      <c r="I804" s="20"/>
      <c r="J804" s="20"/>
      <c r="K804" s="20"/>
      <c r="L804" s="20"/>
      <c r="M804" s="20"/>
      <c r="N804" s="20"/>
      <c r="O804" s="20"/>
      <c r="P804" s="20"/>
      <c r="Q804" s="20"/>
      <c r="R804" s="20"/>
      <c r="S804" s="20"/>
      <c r="T804" s="20"/>
      <c r="U804" s="20"/>
      <c r="V804" s="20"/>
      <c r="W804" s="20"/>
      <c r="X804" s="20"/>
      <c r="Y804" s="20"/>
      <c r="Z804" s="20"/>
      <c r="AA804" s="20"/>
      <c r="AB804" s="20"/>
      <c r="AC804" s="20"/>
      <c r="AD804" s="20"/>
      <c r="AE804" s="20"/>
      <c r="AF804" s="20"/>
      <c r="AG804" s="20"/>
      <c r="AH804" s="20"/>
      <c r="AI804" s="20"/>
      <c r="AJ804" s="20"/>
      <c r="AK804" s="20"/>
      <c r="AL804" s="20"/>
      <c r="AM804" s="20"/>
      <c r="AN804" s="20"/>
      <c r="AO804" s="20"/>
      <c r="AP804" s="20"/>
      <c r="AQ804" s="20"/>
      <c r="AR804" s="20"/>
      <c r="AS804" s="20"/>
      <c r="AT804" s="20"/>
      <c r="AU804" s="20"/>
      <c r="AV804" s="20"/>
      <c r="AW804" s="20"/>
      <c r="AX804" s="20"/>
      <c r="AY804" s="20"/>
      <c r="AZ804" s="20"/>
      <c r="BA804" s="20"/>
      <c r="BB804" s="20"/>
      <c r="BC804" s="20"/>
    </row>
    <row r="805" ht="13.5" customHeight="1" spans="1:55">
      <c r="A805" s="20"/>
      <c r="B805" s="20"/>
      <c r="C805" s="20"/>
      <c r="D805" s="20"/>
      <c r="E805" s="20"/>
      <c r="F805" s="20"/>
      <c r="G805" s="52"/>
      <c r="H805" s="20"/>
      <c r="I805" s="20"/>
      <c r="J805" s="20"/>
      <c r="K805" s="20"/>
      <c r="L805" s="20"/>
      <c r="M805" s="20"/>
      <c r="N805" s="20"/>
      <c r="O805" s="20"/>
      <c r="P805" s="20"/>
      <c r="Q805" s="20"/>
      <c r="R805" s="20"/>
      <c r="S805" s="20"/>
      <c r="T805" s="20"/>
      <c r="U805" s="20"/>
      <c r="V805" s="20"/>
      <c r="W805" s="20"/>
      <c r="X805" s="20"/>
      <c r="Y805" s="20"/>
      <c r="Z805" s="20"/>
      <c r="AA805" s="20"/>
      <c r="AB805" s="20"/>
      <c r="AC805" s="20"/>
      <c r="AD805" s="20"/>
      <c r="AE805" s="20"/>
      <c r="AF805" s="20"/>
      <c r="AG805" s="20"/>
      <c r="AH805" s="20"/>
      <c r="AI805" s="20"/>
      <c r="AJ805" s="20"/>
      <c r="AK805" s="20"/>
      <c r="AL805" s="20"/>
      <c r="AM805" s="20"/>
      <c r="AN805" s="20"/>
      <c r="AO805" s="20"/>
      <c r="AP805" s="20"/>
      <c r="AQ805" s="20"/>
      <c r="AR805" s="20"/>
      <c r="AS805" s="20"/>
      <c r="AT805" s="20"/>
      <c r="AU805" s="20"/>
      <c r="AV805" s="20"/>
      <c r="AW805" s="20"/>
      <c r="AX805" s="20"/>
      <c r="AY805" s="20"/>
      <c r="AZ805" s="20"/>
      <c r="BA805" s="20"/>
      <c r="BB805" s="20"/>
      <c r="BC805" s="20"/>
    </row>
    <row r="806" ht="13.5" customHeight="1" spans="1:55">
      <c r="A806" s="20"/>
      <c r="B806" s="20"/>
      <c r="C806" s="20"/>
      <c r="D806" s="20"/>
      <c r="E806" s="20"/>
      <c r="F806" s="20"/>
      <c r="G806" s="52"/>
      <c r="H806" s="20"/>
      <c r="I806" s="20"/>
      <c r="J806" s="20"/>
      <c r="K806" s="20"/>
      <c r="L806" s="20"/>
      <c r="M806" s="20"/>
      <c r="N806" s="20"/>
      <c r="O806" s="20"/>
      <c r="P806" s="20"/>
      <c r="Q806" s="20"/>
      <c r="R806" s="20"/>
      <c r="S806" s="20"/>
      <c r="T806" s="20"/>
      <c r="U806" s="20"/>
      <c r="V806" s="20"/>
      <c r="W806" s="20"/>
      <c r="X806" s="20"/>
      <c r="Y806" s="20"/>
      <c r="Z806" s="20"/>
      <c r="AA806" s="20"/>
      <c r="AB806" s="20"/>
      <c r="AC806" s="20"/>
      <c r="AD806" s="20"/>
      <c r="AE806" s="20"/>
      <c r="AF806" s="20"/>
      <c r="AG806" s="20"/>
      <c r="AH806" s="20"/>
      <c r="AI806" s="20"/>
      <c r="AJ806" s="20"/>
      <c r="AK806" s="20"/>
      <c r="AL806" s="20"/>
      <c r="AM806" s="20"/>
      <c r="AN806" s="20"/>
      <c r="AO806" s="20"/>
      <c r="AP806" s="20"/>
      <c r="AQ806" s="20"/>
      <c r="AR806" s="20"/>
      <c r="AS806" s="20"/>
      <c r="AT806" s="20"/>
      <c r="AU806" s="20"/>
      <c r="AV806" s="20"/>
      <c r="AW806" s="20"/>
      <c r="AX806" s="20"/>
      <c r="AY806" s="20"/>
      <c r="AZ806" s="20"/>
      <c r="BA806" s="20"/>
      <c r="BB806" s="20"/>
      <c r="BC806" s="20"/>
    </row>
    <row r="807" ht="13.5" customHeight="1" spans="1:55">
      <c r="A807" s="20"/>
      <c r="B807" s="20"/>
      <c r="C807" s="20"/>
      <c r="D807" s="20"/>
      <c r="E807" s="20"/>
      <c r="F807" s="20"/>
      <c r="G807" s="52"/>
      <c r="H807" s="20"/>
      <c r="I807" s="20"/>
      <c r="J807" s="20"/>
      <c r="K807" s="20"/>
      <c r="L807" s="20"/>
      <c r="M807" s="20"/>
      <c r="N807" s="20"/>
      <c r="O807" s="20"/>
      <c r="P807" s="20"/>
      <c r="Q807" s="20"/>
      <c r="R807" s="20"/>
      <c r="S807" s="20"/>
      <c r="T807" s="20"/>
      <c r="U807" s="20"/>
      <c r="V807" s="20"/>
      <c r="W807" s="20"/>
      <c r="X807" s="20"/>
      <c r="Y807" s="20"/>
      <c r="Z807" s="20"/>
      <c r="AA807" s="20"/>
      <c r="AB807" s="20"/>
      <c r="AC807" s="20"/>
      <c r="AD807" s="20"/>
      <c r="AE807" s="20"/>
      <c r="AF807" s="20"/>
      <c r="AG807" s="20"/>
      <c r="AH807" s="20"/>
      <c r="AI807" s="20"/>
      <c r="AJ807" s="20"/>
      <c r="AK807" s="20"/>
      <c r="AL807" s="20"/>
      <c r="AM807" s="20"/>
      <c r="AN807" s="20"/>
      <c r="AO807" s="20"/>
      <c r="AP807" s="20"/>
      <c r="AQ807" s="20"/>
      <c r="AR807" s="20"/>
      <c r="AS807" s="20"/>
      <c r="AT807" s="20"/>
      <c r="AU807" s="20"/>
      <c r="AV807" s="20"/>
      <c r="AW807" s="20"/>
      <c r="AX807" s="20"/>
      <c r="AY807" s="20"/>
      <c r="AZ807" s="20"/>
      <c r="BA807" s="20"/>
      <c r="BB807" s="20"/>
      <c r="BC807" s="20"/>
    </row>
    <row r="808" ht="13.5" customHeight="1" spans="1:55">
      <c r="A808" s="20"/>
      <c r="B808" s="20"/>
      <c r="C808" s="20"/>
      <c r="D808" s="20"/>
      <c r="E808" s="20"/>
      <c r="F808" s="20"/>
      <c r="G808" s="52"/>
      <c r="H808" s="20"/>
      <c r="I808" s="20"/>
      <c r="J808" s="20"/>
      <c r="K808" s="20"/>
      <c r="L808" s="20"/>
      <c r="M808" s="20"/>
      <c r="N808" s="20"/>
      <c r="O808" s="20"/>
      <c r="P808" s="20"/>
      <c r="Q808" s="20"/>
      <c r="R808" s="20"/>
      <c r="S808" s="20"/>
      <c r="T808" s="20"/>
      <c r="U808" s="20"/>
      <c r="V808" s="20"/>
      <c r="W808" s="20"/>
      <c r="X808" s="20"/>
      <c r="Y808" s="20"/>
      <c r="Z808" s="20"/>
      <c r="AA808" s="20"/>
      <c r="AB808" s="20"/>
      <c r="AC808" s="20"/>
      <c r="AD808" s="20"/>
      <c r="AE808" s="20"/>
      <c r="AF808" s="20"/>
      <c r="AG808" s="20"/>
      <c r="AH808" s="20"/>
      <c r="AI808" s="20"/>
      <c r="AJ808" s="20"/>
      <c r="AK808" s="20"/>
      <c r="AL808" s="20"/>
      <c r="AM808" s="20"/>
      <c r="AN808" s="20"/>
      <c r="AO808" s="20"/>
      <c r="AP808" s="20"/>
      <c r="AQ808" s="20"/>
      <c r="AR808" s="20"/>
      <c r="AS808" s="20"/>
      <c r="AT808" s="20"/>
      <c r="AU808" s="20"/>
      <c r="AV808" s="20"/>
      <c r="AW808" s="20"/>
      <c r="AX808" s="20"/>
      <c r="AY808" s="20"/>
      <c r="AZ808" s="20"/>
      <c r="BA808" s="20"/>
      <c r="BB808" s="20"/>
      <c r="BC808" s="20"/>
    </row>
    <row r="809" ht="13.5" customHeight="1" spans="1:55">
      <c r="A809" s="20"/>
      <c r="B809" s="20"/>
      <c r="C809" s="20"/>
      <c r="D809" s="20"/>
      <c r="E809" s="20"/>
      <c r="F809" s="20"/>
      <c r="G809" s="52"/>
      <c r="H809" s="20"/>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row>
    <row r="810" ht="13.5" customHeight="1" spans="1:55">
      <c r="A810" s="20"/>
      <c r="B810" s="20"/>
      <c r="C810" s="20"/>
      <c r="D810" s="20"/>
      <c r="E810" s="20"/>
      <c r="F810" s="20"/>
      <c r="G810" s="52"/>
      <c r="H810" s="20"/>
      <c r="I810" s="20"/>
      <c r="J810" s="20"/>
      <c r="K810" s="20"/>
      <c r="L810" s="20"/>
      <c r="M810" s="20"/>
      <c r="N810" s="20"/>
      <c r="O810" s="20"/>
      <c r="P810" s="20"/>
      <c r="Q810" s="20"/>
      <c r="R810" s="20"/>
      <c r="S810" s="20"/>
      <c r="T810" s="20"/>
      <c r="U810" s="20"/>
      <c r="V810" s="20"/>
      <c r="W810" s="20"/>
      <c r="X810" s="20"/>
      <c r="Y810" s="20"/>
      <c r="Z810" s="20"/>
      <c r="AA810" s="20"/>
      <c r="AB810" s="20"/>
      <c r="AC810" s="20"/>
      <c r="AD810" s="20"/>
      <c r="AE810" s="20"/>
      <c r="AF810" s="20"/>
      <c r="AG810" s="20"/>
      <c r="AH810" s="20"/>
      <c r="AI810" s="20"/>
      <c r="AJ810" s="20"/>
      <c r="AK810" s="20"/>
      <c r="AL810" s="20"/>
      <c r="AM810" s="20"/>
      <c r="AN810" s="20"/>
      <c r="AO810" s="20"/>
      <c r="AP810" s="20"/>
      <c r="AQ810" s="20"/>
      <c r="AR810" s="20"/>
      <c r="AS810" s="20"/>
      <c r="AT810" s="20"/>
      <c r="AU810" s="20"/>
      <c r="AV810" s="20"/>
      <c r="AW810" s="20"/>
      <c r="AX810" s="20"/>
      <c r="AY810" s="20"/>
      <c r="AZ810" s="20"/>
      <c r="BA810" s="20"/>
      <c r="BB810" s="20"/>
      <c r="BC810" s="20"/>
    </row>
    <row r="811" ht="13.5" customHeight="1" spans="1:55">
      <c r="A811" s="20"/>
      <c r="B811" s="20"/>
      <c r="C811" s="20"/>
      <c r="D811" s="20"/>
      <c r="E811" s="20"/>
      <c r="F811" s="20"/>
      <c r="G811" s="52"/>
      <c r="H811" s="20"/>
      <c r="I811" s="20"/>
      <c r="J811" s="20"/>
      <c r="K811" s="20"/>
      <c r="L811" s="20"/>
      <c r="M811" s="20"/>
      <c r="N811" s="20"/>
      <c r="O811" s="20"/>
      <c r="P811" s="20"/>
      <c r="Q811" s="20"/>
      <c r="R811" s="20"/>
      <c r="S811" s="20"/>
      <c r="T811" s="20"/>
      <c r="U811" s="20"/>
      <c r="V811" s="20"/>
      <c r="W811" s="20"/>
      <c r="X811" s="20"/>
      <c r="Y811" s="20"/>
      <c r="Z811" s="20"/>
      <c r="AA811" s="20"/>
      <c r="AB811" s="20"/>
      <c r="AC811" s="20"/>
      <c r="AD811" s="20"/>
      <c r="AE811" s="20"/>
      <c r="AF811" s="20"/>
      <c r="AG811" s="20"/>
      <c r="AH811" s="20"/>
      <c r="AI811" s="20"/>
      <c r="AJ811" s="20"/>
      <c r="AK811" s="20"/>
      <c r="AL811" s="20"/>
      <c r="AM811" s="20"/>
      <c r="AN811" s="20"/>
      <c r="AO811" s="20"/>
      <c r="AP811" s="20"/>
      <c r="AQ811" s="20"/>
      <c r="AR811" s="20"/>
      <c r="AS811" s="20"/>
      <c r="AT811" s="20"/>
      <c r="AU811" s="20"/>
      <c r="AV811" s="20"/>
      <c r="AW811" s="20"/>
      <c r="AX811" s="20"/>
      <c r="AY811" s="20"/>
      <c r="AZ811" s="20"/>
      <c r="BA811" s="20"/>
      <c r="BB811" s="20"/>
      <c r="BC811" s="20"/>
    </row>
    <row r="812" ht="13.5" customHeight="1" spans="1:55">
      <c r="A812" s="20"/>
      <c r="B812" s="20"/>
      <c r="C812" s="20"/>
      <c r="D812" s="20"/>
      <c r="E812" s="20"/>
      <c r="F812" s="20"/>
      <c r="G812" s="52"/>
      <c r="H812" s="20"/>
      <c r="I812" s="20"/>
      <c r="J812" s="20"/>
      <c r="K812" s="20"/>
      <c r="L812" s="20"/>
      <c r="M812" s="20"/>
      <c r="N812" s="20"/>
      <c r="O812" s="20"/>
      <c r="P812" s="20"/>
      <c r="Q812" s="20"/>
      <c r="R812" s="20"/>
      <c r="S812" s="20"/>
      <c r="T812" s="20"/>
      <c r="U812" s="20"/>
      <c r="V812" s="20"/>
      <c r="W812" s="20"/>
      <c r="X812" s="20"/>
      <c r="Y812" s="20"/>
      <c r="Z812" s="20"/>
      <c r="AA812" s="20"/>
      <c r="AB812" s="20"/>
      <c r="AC812" s="20"/>
      <c r="AD812" s="20"/>
      <c r="AE812" s="20"/>
      <c r="AF812" s="20"/>
      <c r="AG812" s="20"/>
      <c r="AH812" s="20"/>
      <c r="AI812" s="20"/>
      <c r="AJ812" s="20"/>
      <c r="AK812" s="20"/>
      <c r="AL812" s="20"/>
      <c r="AM812" s="20"/>
      <c r="AN812" s="20"/>
      <c r="AO812" s="20"/>
      <c r="AP812" s="20"/>
      <c r="AQ812" s="20"/>
      <c r="AR812" s="20"/>
      <c r="AS812" s="20"/>
      <c r="AT812" s="20"/>
      <c r="AU812" s="20"/>
      <c r="AV812" s="20"/>
      <c r="AW812" s="20"/>
      <c r="AX812" s="20"/>
      <c r="AY812" s="20"/>
      <c r="AZ812" s="20"/>
      <c r="BA812" s="20"/>
      <c r="BB812" s="20"/>
      <c r="BC812" s="20"/>
    </row>
    <row r="813" ht="13.5" customHeight="1" spans="1:55">
      <c r="A813" s="20"/>
      <c r="B813" s="20"/>
      <c r="C813" s="20"/>
      <c r="D813" s="20"/>
      <c r="E813" s="20"/>
      <c r="F813" s="20"/>
      <c r="G813" s="52"/>
      <c r="H813" s="20"/>
      <c r="I813" s="20"/>
      <c r="J813" s="20"/>
      <c r="K813" s="20"/>
      <c r="L813" s="20"/>
      <c r="M813" s="20"/>
      <c r="N813" s="20"/>
      <c r="O813" s="20"/>
      <c r="P813" s="20"/>
      <c r="Q813" s="20"/>
      <c r="R813" s="20"/>
      <c r="S813" s="20"/>
      <c r="T813" s="20"/>
      <c r="U813" s="20"/>
      <c r="V813" s="20"/>
      <c r="W813" s="20"/>
      <c r="X813" s="20"/>
      <c r="Y813" s="20"/>
      <c r="Z813" s="20"/>
      <c r="AA813" s="20"/>
      <c r="AB813" s="20"/>
      <c r="AC813" s="20"/>
      <c r="AD813" s="20"/>
      <c r="AE813" s="20"/>
      <c r="AF813" s="20"/>
      <c r="AG813" s="20"/>
      <c r="AH813" s="20"/>
      <c r="AI813" s="20"/>
      <c r="AJ813" s="20"/>
      <c r="AK813" s="20"/>
      <c r="AL813" s="20"/>
      <c r="AM813" s="20"/>
      <c r="AN813" s="20"/>
      <c r="AO813" s="20"/>
      <c r="AP813" s="20"/>
      <c r="AQ813" s="20"/>
      <c r="AR813" s="20"/>
      <c r="AS813" s="20"/>
      <c r="AT813" s="20"/>
      <c r="AU813" s="20"/>
      <c r="AV813" s="20"/>
      <c r="AW813" s="20"/>
      <c r="AX813" s="20"/>
      <c r="AY813" s="20"/>
      <c r="AZ813" s="20"/>
      <c r="BA813" s="20"/>
      <c r="BB813" s="20"/>
      <c r="BC813" s="20"/>
    </row>
    <row r="814" ht="13.5" customHeight="1" spans="1:55">
      <c r="A814" s="20"/>
      <c r="B814" s="20"/>
      <c r="C814" s="20"/>
      <c r="D814" s="20"/>
      <c r="E814" s="20"/>
      <c r="F814" s="20"/>
      <c r="G814" s="52"/>
      <c r="H814" s="20"/>
      <c r="I814" s="20"/>
      <c r="J814" s="20"/>
      <c r="K814" s="20"/>
      <c r="L814" s="20"/>
      <c r="M814" s="20"/>
      <c r="N814" s="20"/>
      <c r="O814" s="20"/>
      <c r="P814" s="20"/>
      <c r="Q814" s="20"/>
      <c r="R814" s="20"/>
      <c r="S814" s="20"/>
      <c r="T814" s="20"/>
      <c r="U814" s="20"/>
      <c r="V814" s="20"/>
      <c r="W814" s="20"/>
      <c r="X814" s="20"/>
      <c r="Y814" s="20"/>
      <c r="Z814" s="20"/>
      <c r="AA814" s="20"/>
      <c r="AB814" s="20"/>
      <c r="AC814" s="20"/>
      <c r="AD814" s="20"/>
      <c r="AE814" s="20"/>
      <c r="AF814" s="20"/>
      <c r="AG814" s="20"/>
      <c r="AH814" s="20"/>
      <c r="AI814" s="20"/>
      <c r="AJ814" s="20"/>
      <c r="AK814" s="20"/>
      <c r="AL814" s="20"/>
      <c r="AM814" s="20"/>
      <c r="AN814" s="20"/>
      <c r="AO814" s="20"/>
      <c r="AP814" s="20"/>
      <c r="AQ814" s="20"/>
      <c r="AR814" s="20"/>
      <c r="AS814" s="20"/>
      <c r="AT814" s="20"/>
      <c r="AU814" s="20"/>
      <c r="AV814" s="20"/>
      <c r="AW814" s="20"/>
      <c r="AX814" s="20"/>
      <c r="AY814" s="20"/>
      <c r="AZ814" s="20"/>
      <c r="BA814" s="20"/>
      <c r="BB814" s="20"/>
      <c r="BC814" s="20"/>
    </row>
    <row r="815" ht="13.5" customHeight="1" spans="1:55">
      <c r="A815" s="20"/>
      <c r="B815" s="20"/>
      <c r="C815" s="20"/>
      <c r="D815" s="20"/>
      <c r="E815" s="20"/>
      <c r="F815" s="20"/>
      <c r="G815" s="52"/>
      <c r="H815" s="20"/>
      <c r="I815" s="20"/>
      <c r="J815" s="20"/>
      <c r="K815" s="20"/>
      <c r="L815" s="20"/>
      <c r="M815" s="20"/>
      <c r="N815" s="20"/>
      <c r="O815" s="20"/>
      <c r="P815" s="20"/>
      <c r="Q815" s="20"/>
      <c r="R815" s="20"/>
      <c r="S815" s="20"/>
      <c r="T815" s="20"/>
      <c r="U815" s="20"/>
      <c r="V815" s="20"/>
      <c r="W815" s="20"/>
      <c r="X815" s="20"/>
      <c r="Y815" s="20"/>
      <c r="Z815" s="20"/>
      <c r="AA815" s="20"/>
      <c r="AB815" s="20"/>
      <c r="AC815" s="20"/>
      <c r="AD815" s="20"/>
      <c r="AE815" s="20"/>
      <c r="AF815" s="20"/>
      <c r="AG815" s="20"/>
      <c r="AH815" s="20"/>
      <c r="AI815" s="20"/>
      <c r="AJ815" s="20"/>
      <c r="AK815" s="20"/>
      <c r="AL815" s="20"/>
      <c r="AM815" s="20"/>
      <c r="AN815" s="20"/>
      <c r="AO815" s="20"/>
      <c r="AP815" s="20"/>
      <c r="AQ815" s="20"/>
      <c r="AR815" s="20"/>
      <c r="AS815" s="20"/>
      <c r="AT815" s="20"/>
      <c r="AU815" s="20"/>
      <c r="AV815" s="20"/>
      <c r="AW815" s="20"/>
      <c r="AX815" s="20"/>
      <c r="AY815" s="20"/>
      <c r="AZ815" s="20"/>
      <c r="BA815" s="20"/>
      <c r="BB815" s="20"/>
      <c r="BC815" s="20"/>
    </row>
    <row r="816" ht="13.5" customHeight="1" spans="1:55">
      <c r="A816" s="20"/>
      <c r="B816" s="20"/>
      <c r="C816" s="20"/>
      <c r="D816" s="20"/>
      <c r="E816" s="20"/>
      <c r="F816" s="20"/>
      <c r="G816" s="52"/>
      <c r="H816" s="20"/>
      <c r="I816" s="20"/>
      <c r="J816" s="20"/>
      <c r="K816" s="20"/>
      <c r="L816" s="20"/>
      <c r="M816" s="20"/>
      <c r="N816" s="20"/>
      <c r="O816" s="20"/>
      <c r="P816" s="20"/>
      <c r="Q816" s="20"/>
      <c r="R816" s="20"/>
      <c r="S816" s="20"/>
      <c r="T816" s="20"/>
      <c r="U816" s="20"/>
      <c r="V816" s="20"/>
      <c r="W816" s="20"/>
      <c r="X816" s="20"/>
      <c r="Y816" s="20"/>
      <c r="Z816" s="20"/>
      <c r="AA816" s="20"/>
      <c r="AB816" s="20"/>
      <c r="AC816" s="20"/>
      <c r="AD816" s="20"/>
      <c r="AE816" s="20"/>
      <c r="AF816" s="20"/>
      <c r="AG816" s="20"/>
      <c r="AH816" s="20"/>
      <c r="AI816" s="20"/>
      <c r="AJ816" s="20"/>
      <c r="AK816" s="20"/>
      <c r="AL816" s="20"/>
      <c r="AM816" s="20"/>
      <c r="AN816" s="20"/>
      <c r="AO816" s="20"/>
      <c r="AP816" s="20"/>
      <c r="AQ816" s="20"/>
      <c r="AR816" s="20"/>
      <c r="AS816" s="20"/>
      <c r="AT816" s="20"/>
      <c r="AU816" s="20"/>
      <c r="AV816" s="20"/>
      <c r="AW816" s="20"/>
      <c r="AX816" s="20"/>
      <c r="AY816" s="20"/>
      <c r="AZ816" s="20"/>
      <c r="BA816" s="20"/>
      <c r="BB816" s="20"/>
      <c r="BC816" s="20"/>
    </row>
    <row r="817" ht="13.5" customHeight="1" spans="1:55">
      <c r="A817" s="20"/>
      <c r="B817" s="20"/>
      <c r="C817" s="20"/>
      <c r="D817" s="20"/>
      <c r="E817" s="20"/>
      <c r="F817" s="20"/>
      <c r="G817" s="52"/>
      <c r="H817" s="20"/>
      <c r="I817" s="20"/>
      <c r="J817" s="20"/>
      <c r="K817" s="20"/>
      <c r="L817" s="20"/>
      <c r="M817" s="20"/>
      <c r="N817" s="20"/>
      <c r="O817" s="20"/>
      <c r="P817" s="20"/>
      <c r="Q817" s="20"/>
      <c r="R817" s="20"/>
      <c r="S817" s="20"/>
      <c r="T817" s="20"/>
      <c r="U817" s="20"/>
      <c r="V817" s="20"/>
      <c r="W817" s="20"/>
      <c r="X817" s="20"/>
      <c r="Y817" s="20"/>
      <c r="Z817" s="20"/>
      <c r="AA817" s="20"/>
      <c r="AB817" s="20"/>
      <c r="AC817" s="20"/>
      <c r="AD817" s="20"/>
      <c r="AE817" s="20"/>
      <c r="AF817" s="20"/>
      <c r="AG817" s="20"/>
      <c r="AH817" s="20"/>
      <c r="AI817" s="20"/>
      <c r="AJ817" s="20"/>
      <c r="AK817" s="20"/>
      <c r="AL817" s="20"/>
      <c r="AM817" s="20"/>
      <c r="AN817" s="20"/>
      <c r="AO817" s="20"/>
      <c r="AP817" s="20"/>
      <c r="AQ817" s="20"/>
      <c r="AR817" s="20"/>
      <c r="AS817" s="20"/>
      <c r="AT817" s="20"/>
      <c r="AU817" s="20"/>
      <c r="AV817" s="20"/>
      <c r="AW817" s="20"/>
      <c r="AX817" s="20"/>
      <c r="AY817" s="20"/>
      <c r="AZ817" s="20"/>
      <c r="BA817" s="20"/>
      <c r="BB817" s="20"/>
      <c r="BC817" s="20"/>
    </row>
    <row r="818" ht="13.5" customHeight="1" spans="1:55">
      <c r="A818" s="20"/>
      <c r="B818" s="20"/>
      <c r="C818" s="20"/>
      <c r="D818" s="20"/>
      <c r="E818" s="20"/>
      <c r="F818" s="20"/>
      <c r="G818" s="52"/>
      <c r="H818" s="20"/>
      <c r="I818" s="20"/>
      <c r="J818" s="20"/>
      <c r="K818" s="20"/>
      <c r="L818" s="20"/>
      <c r="M818" s="20"/>
      <c r="N818" s="20"/>
      <c r="O818" s="20"/>
      <c r="P818" s="20"/>
      <c r="Q818" s="20"/>
      <c r="R818" s="20"/>
      <c r="S818" s="20"/>
      <c r="T818" s="20"/>
      <c r="U818" s="20"/>
      <c r="V818" s="20"/>
      <c r="W818" s="20"/>
      <c r="X818" s="20"/>
      <c r="Y818" s="20"/>
      <c r="Z818" s="20"/>
      <c r="AA818" s="20"/>
      <c r="AB818" s="20"/>
      <c r="AC818" s="20"/>
      <c r="AD818" s="20"/>
      <c r="AE818" s="20"/>
      <c r="AF818" s="20"/>
      <c r="AG818" s="20"/>
      <c r="AH818" s="20"/>
      <c r="AI818" s="20"/>
      <c r="AJ818" s="20"/>
      <c r="AK818" s="20"/>
      <c r="AL818" s="20"/>
      <c r="AM818" s="20"/>
      <c r="AN818" s="20"/>
      <c r="AO818" s="20"/>
      <c r="AP818" s="20"/>
      <c r="AQ818" s="20"/>
      <c r="AR818" s="20"/>
      <c r="AS818" s="20"/>
      <c r="AT818" s="20"/>
      <c r="AU818" s="20"/>
      <c r="AV818" s="20"/>
      <c r="AW818" s="20"/>
      <c r="AX818" s="20"/>
      <c r="AY818" s="20"/>
      <c r="AZ818" s="20"/>
      <c r="BA818" s="20"/>
      <c r="BB818" s="20"/>
      <c r="BC818" s="20"/>
    </row>
    <row r="819" ht="13.5" customHeight="1" spans="1:55">
      <c r="A819" s="20"/>
      <c r="B819" s="20"/>
      <c r="C819" s="20"/>
      <c r="D819" s="20"/>
      <c r="E819" s="20"/>
      <c r="F819" s="20"/>
      <c r="G819" s="52"/>
      <c r="H819" s="20"/>
      <c r="I819" s="20"/>
      <c r="J819" s="20"/>
      <c r="K819" s="20"/>
      <c r="L819" s="20"/>
      <c r="M819" s="20"/>
      <c r="N819" s="20"/>
      <c r="O819" s="20"/>
      <c r="P819" s="20"/>
      <c r="Q819" s="20"/>
      <c r="R819" s="20"/>
      <c r="S819" s="20"/>
      <c r="T819" s="20"/>
      <c r="U819" s="20"/>
      <c r="V819" s="20"/>
      <c r="W819" s="20"/>
      <c r="X819" s="20"/>
      <c r="Y819" s="20"/>
      <c r="Z819" s="20"/>
      <c r="AA819" s="20"/>
      <c r="AB819" s="20"/>
      <c r="AC819" s="20"/>
      <c r="AD819" s="20"/>
      <c r="AE819" s="20"/>
      <c r="AF819" s="20"/>
      <c r="AG819" s="20"/>
      <c r="AH819" s="20"/>
      <c r="AI819" s="20"/>
      <c r="AJ819" s="20"/>
      <c r="AK819" s="20"/>
      <c r="AL819" s="20"/>
      <c r="AM819" s="20"/>
      <c r="AN819" s="20"/>
      <c r="AO819" s="20"/>
      <c r="AP819" s="20"/>
      <c r="AQ819" s="20"/>
      <c r="AR819" s="20"/>
      <c r="AS819" s="20"/>
      <c r="AT819" s="20"/>
      <c r="AU819" s="20"/>
      <c r="AV819" s="20"/>
      <c r="AW819" s="20"/>
      <c r="AX819" s="20"/>
      <c r="AY819" s="20"/>
      <c r="AZ819" s="20"/>
      <c r="BA819" s="20"/>
      <c r="BB819" s="20"/>
      <c r="BC819" s="20"/>
    </row>
    <row r="820" ht="13.5" customHeight="1" spans="1:55">
      <c r="A820" s="20"/>
      <c r="B820" s="20"/>
      <c r="C820" s="20"/>
      <c r="D820" s="20"/>
      <c r="E820" s="20"/>
      <c r="F820" s="20"/>
      <c r="G820" s="52"/>
      <c r="H820" s="20"/>
      <c r="I820" s="20"/>
      <c r="J820" s="20"/>
      <c r="K820" s="20"/>
      <c r="L820" s="20"/>
      <c r="M820" s="20"/>
      <c r="N820" s="20"/>
      <c r="O820" s="20"/>
      <c r="P820" s="20"/>
      <c r="Q820" s="20"/>
      <c r="R820" s="20"/>
      <c r="S820" s="20"/>
      <c r="T820" s="20"/>
      <c r="U820" s="20"/>
      <c r="V820" s="20"/>
      <c r="W820" s="20"/>
      <c r="X820" s="20"/>
      <c r="Y820" s="20"/>
      <c r="Z820" s="20"/>
      <c r="AA820" s="20"/>
      <c r="AB820" s="20"/>
      <c r="AC820" s="20"/>
      <c r="AD820" s="20"/>
      <c r="AE820" s="20"/>
      <c r="AF820" s="20"/>
      <c r="AG820" s="20"/>
      <c r="AH820" s="20"/>
      <c r="AI820" s="20"/>
      <c r="AJ820" s="20"/>
      <c r="AK820" s="20"/>
      <c r="AL820" s="20"/>
      <c r="AM820" s="20"/>
      <c r="AN820" s="20"/>
      <c r="AO820" s="20"/>
      <c r="AP820" s="20"/>
      <c r="AQ820" s="20"/>
      <c r="AR820" s="20"/>
      <c r="AS820" s="20"/>
      <c r="AT820" s="20"/>
      <c r="AU820" s="20"/>
      <c r="AV820" s="20"/>
      <c r="AW820" s="20"/>
      <c r="AX820" s="20"/>
      <c r="AY820" s="20"/>
      <c r="AZ820" s="20"/>
      <c r="BA820" s="20"/>
      <c r="BB820" s="20"/>
      <c r="BC820" s="20"/>
    </row>
    <row r="821" ht="13.5" customHeight="1" spans="1:55">
      <c r="A821" s="20"/>
      <c r="B821" s="20"/>
      <c r="C821" s="20"/>
      <c r="D821" s="20"/>
      <c r="E821" s="20"/>
      <c r="F821" s="20"/>
      <c r="G821" s="52"/>
      <c r="H821" s="20"/>
      <c r="I821" s="20"/>
      <c r="J821" s="20"/>
      <c r="K821" s="20"/>
      <c r="L821" s="20"/>
      <c r="M821" s="20"/>
      <c r="N821" s="20"/>
      <c r="O821" s="20"/>
      <c r="P821" s="20"/>
      <c r="Q821" s="20"/>
      <c r="R821" s="20"/>
      <c r="S821" s="20"/>
      <c r="T821" s="20"/>
      <c r="U821" s="20"/>
      <c r="V821" s="20"/>
      <c r="W821" s="20"/>
      <c r="X821" s="20"/>
      <c r="Y821" s="20"/>
      <c r="Z821" s="20"/>
      <c r="AA821" s="20"/>
      <c r="AB821" s="20"/>
      <c r="AC821" s="20"/>
      <c r="AD821" s="20"/>
      <c r="AE821" s="20"/>
      <c r="AF821" s="20"/>
      <c r="AG821" s="20"/>
      <c r="AH821" s="20"/>
      <c r="AI821" s="20"/>
      <c r="AJ821" s="20"/>
      <c r="AK821" s="20"/>
      <c r="AL821" s="20"/>
      <c r="AM821" s="20"/>
      <c r="AN821" s="20"/>
      <c r="AO821" s="20"/>
      <c r="AP821" s="20"/>
      <c r="AQ821" s="20"/>
      <c r="AR821" s="20"/>
      <c r="AS821" s="20"/>
      <c r="AT821" s="20"/>
      <c r="AU821" s="20"/>
      <c r="AV821" s="20"/>
      <c r="AW821" s="20"/>
      <c r="AX821" s="20"/>
      <c r="AY821" s="20"/>
      <c r="AZ821" s="20"/>
      <c r="BA821" s="20"/>
      <c r="BB821" s="20"/>
      <c r="BC821" s="20"/>
    </row>
    <row r="822" ht="13.5" customHeight="1" spans="1:55">
      <c r="A822" s="20"/>
      <c r="B822" s="20"/>
      <c r="C822" s="20"/>
      <c r="D822" s="20"/>
      <c r="E822" s="20"/>
      <c r="F822" s="20"/>
      <c r="G822" s="52"/>
      <c r="H822" s="20"/>
      <c r="I822" s="20"/>
      <c r="J822" s="20"/>
      <c r="K822" s="20"/>
      <c r="L822" s="20"/>
      <c r="M822" s="20"/>
      <c r="N822" s="20"/>
      <c r="O822" s="20"/>
      <c r="P822" s="20"/>
      <c r="Q822" s="20"/>
      <c r="R822" s="20"/>
      <c r="S822" s="20"/>
      <c r="T822" s="20"/>
      <c r="U822" s="20"/>
      <c r="V822" s="20"/>
      <c r="W822" s="20"/>
      <c r="X822" s="20"/>
      <c r="Y822" s="20"/>
      <c r="Z822" s="20"/>
      <c r="AA822" s="20"/>
      <c r="AB822" s="20"/>
      <c r="AC822" s="20"/>
      <c r="AD822" s="20"/>
      <c r="AE822" s="20"/>
      <c r="AF822" s="20"/>
      <c r="AG822" s="20"/>
      <c r="AH822" s="20"/>
      <c r="AI822" s="20"/>
      <c r="AJ822" s="20"/>
      <c r="AK822" s="20"/>
      <c r="AL822" s="20"/>
      <c r="AM822" s="20"/>
      <c r="AN822" s="20"/>
      <c r="AO822" s="20"/>
      <c r="AP822" s="20"/>
      <c r="AQ822" s="20"/>
      <c r="AR822" s="20"/>
      <c r="AS822" s="20"/>
      <c r="AT822" s="20"/>
      <c r="AU822" s="20"/>
      <c r="AV822" s="20"/>
      <c r="AW822" s="20"/>
      <c r="AX822" s="20"/>
      <c r="AY822" s="20"/>
      <c r="AZ822" s="20"/>
      <c r="BA822" s="20"/>
      <c r="BB822" s="20"/>
      <c r="BC822" s="20"/>
    </row>
    <row r="823" ht="13.5" customHeight="1" spans="1:55">
      <c r="A823" s="20"/>
      <c r="B823" s="20"/>
      <c r="C823" s="20"/>
      <c r="D823" s="20"/>
      <c r="E823" s="20"/>
      <c r="F823" s="20"/>
      <c r="G823" s="52"/>
      <c r="H823" s="20"/>
      <c r="I823" s="20"/>
      <c r="J823" s="20"/>
      <c r="K823" s="20"/>
      <c r="L823" s="20"/>
      <c r="M823" s="20"/>
      <c r="N823" s="20"/>
      <c r="O823" s="20"/>
      <c r="P823" s="20"/>
      <c r="Q823" s="20"/>
      <c r="R823" s="20"/>
      <c r="S823" s="20"/>
      <c r="T823" s="20"/>
      <c r="U823" s="20"/>
      <c r="V823" s="20"/>
      <c r="W823" s="20"/>
      <c r="X823" s="20"/>
      <c r="Y823" s="20"/>
      <c r="Z823" s="20"/>
      <c r="AA823" s="20"/>
      <c r="AB823" s="20"/>
      <c r="AC823" s="20"/>
      <c r="AD823" s="20"/>
      <c r="AE823" s="20"/>
      <c r="AF823" s="20"/>
      <c r="AG823" s="20"/>
      <c r="AH823" s="20"/>
      <c r="AI823" s="20"/>
      <c r="AJ823" s="20"/>
      <c r="AK823" s="20"/>
      <c r="AL823" s="20"/>
      <c r="AM823" s="20"/>
      <c r="AN823" s="20"/>
      <c r="AO823" s="20"/>
      <c r="AP823" s="20"/>
      <c r="AQ823" s="20"/>
      <c r="AR823" s="20"/>
      <c r="AS823" s="20"/>
      <c r="AT823" s="20"/>
      <c r="AU823" s="20"/>
      <c r="AV823" s="20"/>
      <c r="AW823" s="20"/>
      <c r="AX823" s="20"/>
      <c r="AY823" s="20"/>
      <c r="AZ823" s="20"/>
      <c r="BA823" s="20"/>
      <c r="BB823" s="20"/>
      <c r="BC823" s="20"/>
    </row>
    <row r="824" ht="13.5" customHeight="1" spans="1:55">
      <c r="A824" s="20"/>
      <c r="B824" s="20"/>
      <c r="C824" s="20"/>
      <c r="D824" s="20"/>
      <c r="E824" s="20"/>
      <c r="F824" s="20"/>
      <c r="G824" s="52"/>
      <c r="H824" s="20"/>
      <c r="I824" s="20"/>
      <c r="J824" s="20"/>
      <c r="K824" s="20"/>
      <c r="L824" s="20"/>
      <c r="M824" s="20"/>
      <c r="N824" s="20"/>
      <c r="O824" s="20"/>
      <c r="P824" s="20"/>
      <c r="Q824" s="20"/>
      <c r="R824" s="20"/>
      <c r="S824" s="20"/>
      <c r="T824" s="20"/>
      <c r="U824" s="20"/>
      <c r="V824" s="20"/>
      <c r="W824" s="20"/>
      <c r="X824" s="20"/>
      <c r="Y824" s="20"/>
      <c r="Z824" s="20"/>
      <c r="AA824" s="20"/>
      <c r="AB824" s="20"/>
      <c r="AC824" s="20"/>
      <c r="AD824" s="20"/>
      <c r="AE824" s="20"/>
      <c r="AF824" s="20"/>
      <c r="AG824" s="20"/>
      <c r="AH824" s="20"/>
      <c r="AI824" s="20"/>
      <c r="AJ824" s="20"/>
      <c r="AK824" s="20"/>
      <c r="AL824" s="20"/>
      <c r="AM824" s="20"/>
      <c r="AN824" s="20"/>
      <c r="AO824" s="20"/>
      <c r="AP824" s="20"/>
      <c r="AQ824" s="20"/>
      <c r="AR824" s="20"/>
      <c r="AS824" s="20"/>
      <c r="AT824" s="20"/>
      <c r="AU824" s="20"/>
      <c r="AV824" s="20"/>
      <c r="AW824" s="20"/>
      <c r="AX824" s="20"/>
      <c r="AY824" s="20"/>
      <c r="AZ824" s="20"/>
      <c r="BA824" s="20"/>
      <c r="BB824" s="20"/>
      <c r="BC824" s="20"/>
    </row>
    <row r="825" ht="13.5" customHeight="1" spans="1:55">
      <c r="A825" s="20"/>
      <c r="B825" s="20"/>
      <c r="C825" s="20"/>
      <c r="D825" s="20"/>
      <c r="E825" s="20"/>
      <c r="F825" s="20"/>
      <c r="G825" s="52"/>
      <c r="H825" s="20"/>
      <c r="I825" s="20"/>
      <c r="J825" s="20"/>
      <c r="K825" s="20"/>
      <c r="L825" s="20"/>
      <c r="M825" s="20"/>
      <c r="N825" s="20"/>
      <c r="O825" s="20"/>
      <c r="P825" s="20"/>
      <c r="Q825" s="20"/>
      <c r="R825" s="20"/>
      <c r="S825" s="20"/>
      <c r="T825" s="20"/>
      <c r="U825" s="20"/>
      <c r="V825" s="20"/>
      <c r="W825" s="20"/>
      <c r="X825" s="20"/>
      <c r="Y825" s="20"/>
      <c r="Z825" s="20"/>
      <c r="AA825" s="20"/>
      <c r="AB825" s="20"/>
      <c r="AC825" s="20"/>
      <c r="AD825" s="20"/>
      <c r="AE825" s="20"/>
      <c r="AF825" s="20"/>
      <c r="AG825" s="20"/>
      <c r="AH825" s="20"/>
      <c r="AI825" s="20"/>
      <c r="AJ825" s="20"/>
      <c r="AK825" s="20"/>
      <c r="AL825" s="20"/>
      <c r="AM825" s="20"/>
      <c r="AN825" s="20"/>
      <c r="AO825" s="20"/>
      <c r="AP825" s="20"/>
      <c r="AQ825" s="20"/>
      <c r="AR825" s="20"/>
      <c r="AS825" s="20"/>
      <c r="AT825" s="20"/>
      <c r="AU825" s="20"/>
      <c r="AV825" s="20"/>
      <c r="AW825" s="20"/>
      <c r="AX825" s="20"/>
      <c r="AY825" s="20"/>
      <c r="AZ825" s="20"/>
      <c r="BA825" s="20"/>
      <c r="BB825" s="20"/>
      <c r="BC825" s="20"/>
    </row>
    <row r="826" ht="13.5" customHeight="1" spans="1:55">
      <c r="A826" s="20"/>
      <c r="B826" s="20"/>
      <c r="C826" s="20"/>
      <c r="D826" s="20"/>
      <c r="E826" s="20"/>
      <c r="F826" s="20"/>
      <c r="G826" s="52"/>
      <c r="H826" s="20"/>
      <c r="I826" s="20"/>
      <c r="J826" s="20"/>
      <c r="K826" s="20"/>
      <c r="L826" s="20"/>
      <c r="M826" s="20"/>
      <c r="N826" s="20"/>
      <c r="O826" s="20"/>
      <c r="P826" s="20"/>
      <c r="Q826" s="20"/>
      <c r="R826" s="20"/>
      <c r="S826" s="20"/>
      <c r="T826" s="20"/>
      <c r="U826" s="20"/>
      <c r="V826" s="20"/>
      <c r="W826" s="20"/>
      <c r="X826" s="20"/>
      <c r="Y826" s="20"/>
      <c r="Z826" s="20"/>
      <c r="AA826" s="20"/>
      <c r="AB826" s="20"/>
      <c r="AC826" s="20"/>
      <c r="AD826" s="20"/>
      <c r="AE826" s="20"/>
      <c r="AF826" s="20"/>
      <c r="AG826" s="20"/>
      <c r="AH826" s="20"/>
      <c r="AI826" s="20"/>
      <c r="AJ826" s="20"/>
      <c r="AK826" s="20"/>
      <c r="AL826" s="20"/>
      <c r="AM826" s="20"/>
      <c r="AN826" s="20"/>
      <c r="AO826" s="20"/>
      <c r="AP826" s="20"/>
      <c r="AQ826" s="20"/>
      <c r="AR826" s="20"/>
      <c r="AS826" s="20"/>
      <c r="AT826" s="20"/>
      <c r="AU826" s="20"/>
      <c r="AV826" s="20"/>
      <c r="AW826" s="20"/>
      <c r="AX826" s="20"/>
      <c r="AY826" s="20"/>
      <c r="AZ826" s="20"/>
      <c r="BA826" s="20"/>
      <c r="BB826" s="20"/>
      <c r="BC826" s="20"/>
    </row>
    <row r="827" ht="13.5" customHeight="1" spans="1:55">
      <c r="A827" s="20"/>
      <c r="B827" s="20"/>
      <c r="C827" s="20"/>
      <c r="D827" s="20"/>
      <c r="E827" s="20"/>
      <c r="F827" s="20"/>
      <c r="G827" s="52"/>
      <c r="H827" s="20"/>
      <c r="I827" s="20"/>
      <c r="J827" s="20"/>
      <c r="K827" s="20"/>
      <c r="L827" s="20"/>
      <c r="M827" s="20"/>
      <c r="N827" s="20"/>
      <c r="O827" s="20"/>
      <c r="P827" s="20"/>
      <c r="Q827" s="20"/>
      <c r="R827" s="20"/>
      <c r="S827" s="20"/>
      <c r="T827" s="20"/>
      <c r="U827" s="20"/>
      <c r="V827" s="20"/>
      <c r="W827" s="20"/>
      <c r="X827" s="20"/>
      <c r="Y827" s="20"/>
      <c r="Z827" s="20"/>
      <c r="AA827" s="20"/>
      <c r="AB827" s="20"/>
      <c r="AC827" s="20"/>
      <c r="AD827" s="20"/>
      <c r="AE827" s="20"/>
      <c r="AF827" s="20"/>
      <c r="AG827" s="20"/>
      <c r="AH827" s="20"/>
      <c r="AI827" s="20"/>
      <c r="AJ827" s="20"/>
      <c r="AK827" s="20"/>
      <c r="AL827" s="20"/>
      <c r="AM827" s="20"/>
      <c r="AN827" s="20"/>
      <c r="AO827" s="20"/>
      <c r="AP827" s="20"/>
      <c r="AQ827" s="20"/>
      <c r="AR827" s="20"/>
      <c r="AS827" s="20"/>
      <c r="AT827" s="20"/>
      <c r="AU827" s="20"/>
      <c r="AV827" s="20"/>
      <c r="AW827" s="20"/>
      <c r="AX827" s="20"/>
      <c r="AY827" s="20"/>
      <c r="AZ827" s="20"/>
      <c r="BA827" s="20"/>
      <c r="BB827" s="20"/>
      <c r="BC827" s="20"/>
    </row>
    <row r="828" ht="13.5" customHeight="1" spans="1:55">
      <c r="A828" s="20"/>
      <c r="B828" s="20"/>
      <c r="C828" s="20"/>
      <c r="D828" s="20"/>
      <c r="E828" s="20"/>
      <c r="F828" s="20"/>
      <c r="G828" s="52"/>
      <c r="H828" s="20"/>
      <c r="I828" s="20"/>
      <c r="J828" s="20"/>
      <c r="K828" s="20"/>
      <c r="L828" s="20"/>
      <c r="M828" s="20"/>
      <c r="N828" s="20"/>
      <c r="O828" s="20"/>
      <c r="P828" s="20"/>
      <c r="Q828" s="20"/>
      <c r="R828" s="20"/>
      <c r="S828" s="20"/>
      <c r="T828" s="20"/>
      <c r="U828" s="20"/>
      <c r="V828" s="20"/>
      <c r="W828" s="20"/>
      <c r="X828" s="20"/>
      <c r="Y828" s="20"/>
      <c r="Z828" s="20"/>
      <c r="AA828" s="20"/>
      <c r="AB828" s="20"/>
      <c r="AC828" s="20"/>
      <c r="AD828" s="20"/>
      <c r="AE828" s="20"/>
      <c r="AF828" s="20"/>
      <c r="AG828" s="20"/>
      <c r="AH828" s="20"/>
      <c r="AI828" s="20"/>
      <c r="AJ828" s="20"/>
      <c r="AK828" s="20"/>
      <c r="AL828" s="20"/>
      <c r="AM828" s="20"/>
      <c r="AN828" s="20"/>
      <c r="AO828" s="20"/>
      <c r="AP828" s="20"/>
      <c r="AQ828" s="20"/>
      <c r="AR828" s="20"/>
      <c r="AS828" s="20"/>
      <c r="AT828" s="20"/>
      <c r="AU828" s="20"/>
      <c r="AV828" s="20"/>
      <c r="AW828" s="20"/>
      <c r="AX828" s="20"/>
      <c r="AY828" s="20"/>
      <c r="AZ828" s="20"/>
      <c r="BA828" s="20"/>
      <c r="BB828" s="20"/>
      <c r="BC828" s="20"/>
    </row>
    <row r="829" ht="13.5" customHeight="1" spans="1:55">
      <c r="A829" s="20"/>
      <c r="B829" s="20"/>
      <c r="C829" s="20"/>
      <c r="D829" s="20"/>
      <c r="E829" s="20"/>
      <c r="F829" s="20"/>
      <c r="G829" s="52"/>
      <c r="H829" s="20"/>
      <c r="I829" s="20"/>
      <c r="J829" s="20"/>
      <c r="K829" s="20"/>
      <c r="L829" s="20"/>
      <c r="M829" s="20"/>
      <c r="N829" s="20"/>
      <c r="O829" s="20"/>
      <c r="P829" s="20"/>
      <c r="Q829" s="20"/>
      <c r="R829" s="20"/>
      <c r="S829" s="20"/>
      <c r="T829" s="20"/>
      <c r="U829" s="20"/>
      <c r="V829" s="20"/>
      <c r="W829" s="20"/>
      <c r="X829" s="20"/>
      <c r="Y829" s="20"/>
      <c r="Z829" s="20"/>
      <c r="AA829" s="20"/>
      <c r="AB829" s="20"/>
      <c r="AC829" s="20"/>
      <c r="AD829" s="20"/>
      <c r="AE829" s="20"/>
      <c r="AF829" s="20"/>
      <c r="AG829" s="20"/>
      <c r="AH829" s="20"/>
      <c r="AI829" s="20"/>
      <c r="AJ829" s="20"/>
      <c r="AK829" s="20"/>
      <c r="AL829" s="20"/>
      <c r="AM829" s="20"/>
      <c r="AN829" s="20"/>
      <c r="AO829" s="20"/>
      <c r="AP829" s="20"/>
      <c r="AQ829" s="20"/>
      <c r="AR829" s="20"/>
      <c r="AS829" s="20"/>
      <c r="AT829" s="20"/>
      <c r="AU829" s="20"/>
      <c r="AV829" s="20"/>
      <c r="AW829" s="20"/>
      <c r="AX829" s="20"/>
      <c r="AY829" s="20"/>
      <c r="AZ829" s="20"/>
      <c r="BA829" s="20"/>
      <c r="BB829" s="20"/>
      <c r="BC829" s="20"/>
    </row>
    <row r="830" ht="13.5" customHeight="1" spans="1:55">
      <c r="A830" s="20"/>
      <c r="B830" s="20"/>
      <c r="C830" s="20"/>
      <c r="D830" s="20"/>
      <c r="E830" s="20"/>
      <c r="F830" s="20"/>
      <c r="G830" s="52"/>
      <c r="H830" s="20"/>
      <c r="I830" s="20"/>
      <c r="J830" s="20"/>
      <c r="K830" s="20"/>
      <c r="L830" s="20"/>
      <c r="M830" s="20"/>
      <c r="N830" s="20"/>
      <c r="O830" s="20"/>
      <c r="P830" s="20"/>
      <c r="Q830" s="20"/>
      <c r="R830" s="20"/>
      <c r="S830" s="20"/>
      <c r="T830" s="20"/>
      <c r="U830" s="20"/>
      <c r="V830" s="20"/>
      <c r="W830" s="20"/>
      <c r="X830" s="20"/>
      <c r="Y830" s="20"/>
      <c r="Z830" s="20"/>
      <c r="AA830" s="20"/>
      <c r="AB830" s="20"/>
      <c r="AC830" s="20"/>
      <c r="AD830" s="20"/>
      <c r="AE830" s="20"/>
      <c r="AF830" s="20"/>
      <c r="AG830" s="20"/>
      <c r="AH830" s="20"/>
      <c r="AI830" s="20"/>
      <c r="AJ830" s="20"/>
      <c r="AK830" s="20"/>
      <c r="AL830" s="20"/>
      <c r="AM830" s="20"/>
      <c r="AN830" s="20"/>
      <c r="AO830" s="20"/>
      <c r="AP830" s="20"/>
      <c r="AQ830" s="20"/>
      <c r="AR830" s="20"/>
      <c r="AS830" s="20"/>
      <c r="AT830" s="20"/>
      <c r="AU830" s="20"/>
      <c r="AV830" s="20"/>
      <c r="AW830" s="20"/>
      <c r="AX830" s="20"/>
      <c r="AY830" s="20"/>
      <c r="AZ830" s="20"/>
      <c r="BA830" s="20"/>
      <c r="BB830" s="20"/>
      <c r="BC830" s="20"/>
    </row>
    <row r="831" ht="13.5" customHeight="1" spans="1:55">
      <c r="A831" s="20"/>
      <c r="B831" s="20"/>
      <c r="C831" s="20"/>
      <c r="D831" s="20"/>
      <c r="E831" s="20"/>
      <c r="F831" s="20"/>
      <c r="G831" s="52"/>
      <c r="H831" s="20"/>
      <c r="I831" s="20"/>
      <c r="J831" s="20"/>
      <c r="K831" s="20"/>
      <c r="L831" s="20"/>
      <c r="M831" s="20"/>
      <c r="N831" s="20"/>
      <c r="O831" s="20"/>
      <c r="P831" s="20"/>
      <c r="Q831" s="20"/>
      <c r="R831" s="20"/>
      <c r="S831" s="20"/>
      <c r="T831" s="20"/>
      <c r="U831" s="20"/>
      <c r="V831" s="20"/>
      <c r="W831" s="20"/>
      <c r="X831" s="20"/>
      <c r="Y831" s="20"/>
      <c r="Z831" s="20"/>
      <c r="AA831" s="20"/>
      <c r="AB831" s="20"/>
      <c r="AC831" s="20"/>
      <c r="AD831" s="20"/>
      <c r="AE831" s="20"/>
      <c r="AF831" s="20"/>
      <c r="AG831" s="20"/>
      <c r="AH831" s="20"/>
      <c r="AI831" s="20"/>
      <c r="AJ831" s="20"/>
      <c r="AK831" s="20"/>
      <c r="AL831" s="20"/>
      <c r="AM831" s="20"/>
      <c r="AN831" s="20"/>
      <c r="AO831" s="20"/>
      <c r="AP831" s="20"/>
      <c r="AQ831" s="20"/>
      <c r="AR831" s="20"/>
      <c r="AS831" s="20"/>
      <c r="AT831" s="20"/>
      <c r="AU831" s="20"/>
      <c r="AV831" s="20"/>
      <c r="AW831" s="20"/>
      <c r="AX831" s="20"/>
      <c r="AY831" s="20"/>
      <c r="AZ831" s="20"/>
      <c r="BA831" s="20"/>
      <c r="BB831" s="20"/>
      <c r="BC831" s="20"/>
    </row>
    <row r="832" ht="13.5" customHeight="1" spans="1:55">
      <c r="A832" s="20"/>
      <c r="B832" s="20"/>
      <c r="C832" s="20"/>
      <c r="D832" s="20"/>
      <c r="E832" s="20"/>
      <c r="F832" s="20"/>
      <c r="G832" s="52"/>
      <c r="H832" s="20"/>
      <c r="I832" s="20"/>
      <c r="J832" s="20"/>
      <c r="K832" s="20"/>
      <c r="L832" s="20"/>
      <c r="M832" s="20"/>
      <c r="N832" s="20"/>
      <c r="O832" s="20"/>
      <c r="P832" s="20"/>
      <c r="Q832" s="20"/>
      <c r="R832" s="20"/>
      <c r="S832" s="20"/>
      <c r="T832" s="20"/>
      <c r="U832" s="20"/>
      <c r="V832" s="20"/>
      <c r="W832" s="20"/>
      <c r="X832" s="20"/>
      <c r="Y832" s="20"/>
      <c r="Z832" s="20"/>
      <c r="AA832" s="20"/>
      <c r="AB832" s="20"/>
      <c r="AC832" s="20"/>
      <c r="AD832" s="20"/>
      <c r="AE832" s="20"/>
      <c r="AF832" s="20"/>
      <c r="AG832" s="20"/>
      <c r="AH832" s="20"/>
      <c r="AI832" s="20"/>
      <c r="AJ832" s="20"/>
      <c r="AK832" s="20"/>
      <c r="AL832" s="20"/>
      <c r="AM832" s="20"/>
      <c r="AN832" s="20"/>
      <c r="AO832" s="20"/>
      <c r="AP832" s="20"/>
      <c r="AQ832" s="20"/>
      <c r="AR832" s="20"/>
      <c r="AS832" s="20"/>
      <c r="AT832" s="20"/>
      <c r="AU832" s="20"/>
      <c r="AV832" s="20"/>
      <c r="AW832" s="20"/>
      <c r="AX832" s="20"/>
      <c r="AY832" s="20"/>
      <c r="AZ832" s="20"/>
      <c r="BA832" s="20"/>
      <c r="BB832" s="20"/>
      <c r="BC832" s="20"/>
    </row>
    <row r="833" ht="13.5" customHeight="1" spans="1:55">
      <c r="A833" s="20"/>
      <c r="B833" s="20"/>
      <c r="C833" s="20"/>
      <c r="D833" s="20"/>
      <c r="E833" s="20"/>
      <c r="F833" s="20"/>
      <c r="G833" s="52"/>
      <c r="H833" s="20"/>
      <c r="I833" s="20"/>
      <c r="J833" s="20"/>
      <c r="K833" s="20"/>
      <c r="L833" s="20"/>
      <c r="M833" s="20"/>
      <c r="N833" s="20"/>
      <c r="O833" s="20"/>
      <c r="P833" s="20"/>
      <c r="Q833" s="20"/>
      <c r="R833" s="20"/>
      <c r="S833" s="20"/>
      <c r="T833" s="20"/>
      <c r="U833" s="20"/>
      <c r="V833" s="20"/>
      <c r="W833" s="20"/>
      <c r="X833" s="20"/>
      <c r="Y833" s="20"/>
      <c r="Z833" s="20"/>
      <c r="AA833" s="20"/>
      <c r="AB833" s="20"/>
      <c r="AC833" s="20"/>
      <c r="AD833" s="20"/>
      <c r="AE833" s="20"/>
      <c r="AF833" s="20"/>
      <c r="AG833" s="20"/>
      <c r="AH833" s="20"/>
      <c r="AI833" s="20"/>
      <c r="AJ833" s="20"/>
      <c r="AK833" s="20"/>
      <c r="AL833" s="20"/>
      <c r="AM833" s="20"/>
      <c r="AN833" s="20"/>
      <c r="AO833" s="20"/>
      <c r="AP833" s="20"/>
      <c r="AQ833" s="20"/>
      <c r="AR833" s="20"/>
      <c r="AS833" s="20"/>
      <c r="AT833" s="20"/>
      <c r="AU833" s="20"/>
      <c r="AV833" s="20"/>
      <c r="AW833" s="20"/>
      <c r="AX833" s="20"/>
      <c r="AY833" s="20"/>
      <c r="AZ833" s="20"/>
      <c r="BA833" s="20"/>
      <c r="BB833" s="20"/>
      <c r="BC833" s="20"/>
    </row>
    <row r="834" ht="13.5" customHeight="1" spans="1:55">
      <c r="A834" s="20"/>
      <c r="B834" s="20"/>
      <c r="C834" s="20"/>
      <c r="D834" s="20"/>
      <c r="E834" s="20"/>
      <c r="F834" s="20"/>
      <c r="G834" s="52"/>
      <c r="H834" s="20"/>
      <c r="I834" s="20"/>
      <c r="J834" s="20"/>
      <c r="K834" s="20"/>
      <c r="L834" s="20"/>
      <c r="M834" s="20"/>
      <c r="N834" s="20"/>
      <c r="O834" s="20"/>
      <c r="P834" s="20"/>
      <c r="Q834" s="20"/>
      <c r="R834" s="20"/>
      <c r="S834" s="20"/>
      <c r="T834" s="20"/>
      <c r="U834" s="20"/>
      <c r="V834" s="20"/>
      <c r="W834" s="20"/>
      <c r="X834" s="20"/>
      <c r="Y834" s="20"/>
      <c r="Z834" s="20"/>
      <c r="AA834" s="20"/>
      <c r="AB834" s="20"/>
      <c r="AC834" s="20"/>
      <c r="AD834" s="20"/>
      <c r="AE834" s="20"/>
      <c r="AF834" s="20"/>
      <c r="AG834" s="20"/>
      <c r="AH834" s="20"/>
      <c r="AI834" s="20"/>
      <c r="AJ834" s="20"/>
      <c r="AK834" s="20"/>
      <c r="AL834" s="20"/>
      <c r="AM834" s="20"/>
      <c r="AN834" s="20"/>
      <c r="AO834" s="20"/>
      <c r="AP834" s="20"/>
      <c r="AQ834" s="20"/>
      <c r="AR834" s="20"/>
      <c r="AS834" s="20"/>
      <c r="AT834" s="20"/>
      <c r="AU834" s="20"/>
      <c r="AV834" s="20"/>
      <c r="AW834" s="20"/>
      <c r="AX834" s="20"/>
      <c r="AY834" s="20"/>
      <c r="AZ834" s="20"/>
      <c r="BA834" s="20"/>
      <c r="BB834" s="20"/>
      <c r="BC834" s="20"/>
    </row>
    <row r="835" ht="13.5" customHeight="1" spans="1:55">
      <c r="A835" s="20"/>
      <c r="B835" s="20"/>
      <c r="C835" s="20"/>
      <c r="D835" s="20"/>
      <c r="E835" s="20"/>
      <c r="F835" s="20"/>
      <c r="G835" s="52"/>
      <c r="H835" s="20"/>
      <c r="I835" s="20"/>
      <c r="J835" s="20"/>
      <c r="K835" s="20"/>
      <c r="L835" s="20"/>
      <c r="M835" s="20"/>
      <c r="N835" s="20"/>
      <c r="O835" s="20"/>
      <c r="P835" s="20"/>
      <c r="Q835" s="20"/>
      <c r="R835" s="20"/>
      <c r="S835" s="20"/>
      <c r="T835" s="20"/>
      <c r="U835" s="20"/>
      <c r="V835" s="20"/>
      <c r="W835" s="20"/>
      <c r="X835" s="20"/>
      <c r="Y835" s="20"/>
      <c r="Z835" s="20"/>
      <c r="AA835" s="20"/>
      <c r="AB835" s="20"/>
      <c r="AC835" s="20"/>
      <c r="AD835" s="20"/>
      <c r="AE835" s="20"/>
      <c r="AF835" s="20"/>
      <c r="AG835" s="20"/>
      <c r="AH835" s="20"/>
      <c r="AI835" s="20"/>
      <c r="AJ835" s="20"/>
      <c r="AK835" s="20"/>
      <c r="AL835" s="20"/>
      <c r="AM835" s="20"/>
      <c r="AN835" s="20"/>
      <c r="AO835" s="20"/>
      <c r="AP835" s="20"/>
      <c r="AQ835" s="20"/>
      <c r="AR835" s="20"/>
      <c r="AS835" s="20"/>
      <c r="AT835" s="20"/>
      <c r="AU835" s="20"/>
      <c r="AV835" s="20"/>
      <c r="AW835" s="20"/>
      <c r="AX835" s="20"/>
      <c r="AY835" s="20"/>
      <c r="AZ835" s="20"/>
      <c r="BA835" s="20"/>
      <c r="BB835" s="20"/>
      <c r="BC835" s="20"/>
    </row>
    <row r="836" ht="13.5" customHeight="1" spans="1:55">
      <c r="A836" s="20"/>
      <c r="B836" s="20"/>
      <c r="C836" s="20"/>
      <c r="D836" s="20"/>
      <c r="E836" s="20"/>
      <c r="F836" s="20"/>
      <c r="G836" s="52"/>
      <c r="H836" s="20"/>
      <c r="I836" s="20"/>
      <c r="J836" s="20"/>
      <c r="K836" s="20"/>
      <c r="L836" s="20"/>
      <c r="M836" s="20"/>
      <c r="N836" s="20"/>
      <c r="O836" s="20"/>
      <c r="P836" s="20"/>
      <c r="Q836" s="20"/>
      <c r="R836" s="20"/>
      <c r="S836" s="20"/>
      <c r="T836" s="20"/>
      <c r="U836" s="20"/>
      <c r="V836" s="20"/>
      <c r="W836" s="20"/>
      <c r="X836" s="20"/>
      <c r="Y836" s="20"/>
      <c r="Z836" s="20"/>
      <c r="AA836" s="20"/>
      <c r="AB836" s="20"/>
      <c r="AC836" s="20"/>
      <c r="AD836" s="20"/>
      <c r="AE836" s="20"/>
      <c r="AF836" s="20"/>
      <c r="AG836" s="20"/>
      <c r="AH836" s="20"/>
      <c r="AI836" s="20"/>
      <c r="AJ836" s="20"/>
      <c r="AK836" s="20"/>
      <c r="AL836" s="20"/>
      <c r="AM836" s="20"/>
      <c r="AN836" s="20"/>
      <c r="AO836" s="20"/>
      <c r="AP836" s="20"/>
      <c r="AQ836" s="20"/>
      <c r="AR836" s="20"/>
      <c r="AS836" s="20"/>
      <c r="AT836" s="20"/>
      <c r="AU836" s="20"/>
      <c r="AV836" s="20"/>
      <c r="AW836" s="20"/>
      <c r="AX836" s="20"/>
      <c r="AY836" s="20"/>
      <c r="AZ836" s="20"/>
      <c r="BA836" s="20"/>
      <c r="BB836" s="20"/>
      <c r="BC836" s="20"/>
    </row>
    <row r="837" ht="13.5" customHeight="1" spans="1:55">
      <c r="A837" s="20"/>
      <c r="B837" s="20"/>
      <c r="C837" s="20"/>
      <c r="D837" s="20"/>
      <c r="E837" s="20"/>
      <c r="F837" s="20"/>
      <c r="G837" s="52"/>
      <c r="H837" s="20"/>
      <c r="I837" s="20"/>
      <c r="J837" s="20"/>
      <c r="K837" s="20"/>
      <c r="L837" s="20"/>
      <c r="M837" s="20"/>
      <c r="N837" s="20"/>
      <c r="O837" s="20"/>
      <c r="P837" s="20"/>
      <c r="Q837" s="20"/>
      <c r="R837" s="20"/>
      <c r="S837" s="20"/>
      <c r="T837" s="20"/>
      <c r="U837" s="20"/>
      <c r="V837" s="20"/>
      <c r="W837" s="20"/>
      <c r="X837" s="20"/>
      <c r="Y837" s="20"/>
      <c r="Z837" s="20"/>
      <c r="AA837" s="20"/>
      <c r="AB837" s="20"/>
      <c r="AC837" s="20"/>
      <c r="AD837" s="20"/>
      <c r="AE837" s="20"/>
      <c r="AF837" s="20"/>
      <c r="AG837" s="20"/>
      <c r="AH837" s="20"/>
      <c r="AI837" s="20"/>
      <c r="AJ837" s="20"/>
      <c r="AK837" s="20"/>
      <c r="AL837" s="20"/>
      <c r="AM837" s="20"/>
      <c r="AN837" s="20"/>
      <c r="AO837" s="20"/>
      <c r="AP837" s="20"/>
      <c r="AQ837" s="20"/>
      <c r="AR837" s="20"/>
      <c r="AS837" s="20"/>
      <c r="AT837" s="20"/>
      <c r="AU837" s="20"/>
      <c r="AV837" s="20"/>
      <c r="AW837" s="20"/>
      <c r="AX837" s="20"/>
      <c r="AY837" s="20"/>
      <c r="AZ837" s="20"/>
      <c r="BA837" s="20"/>
      <c r="BB837" s="20"/>
      <c r="BC837" s="20"/>
    </row>
    <row r="838" ht="13.5" customHeight="1" spans="1:55">
      <c r="A838" s="20"/>
      <c r="B838" s="20"/>
      <c r="C838" s="20"/>
      <c r="D838" s="20"/>
      <c r="E838" s="20"/>
      <c r="F838" s="20"/>
      <c r="G838" s="52"/>
      <c r="H838" s="20"/>
      <c r="I838" s="20"/>
      <c r="J838" s="20"/>
      <c r="K838" s="20"/>
      <c r="L838" s="20"/>
      <c r="M838" s="20"/>
      <c r="N838" s="20"/>
      <c r="O838" s="20"/>
      <c r="P838" s="20"/>
      <c r="Q838" s="20"/>
      <c r="R838" s="20"/>
      <c r="S838" s="20"/>
      <c r="T838" s="20"/>
      <c r="U838" s="20"/>
      <c r="V838" s="20"/>
      <c r="W838" s="20"/>
      <c r="X838" s="20"/>
      <c r="Y838" s="20"/>
      <c r="Z838" s="20"/>
      <c r="AA838" s="20"/>
      <c r="AB838" s="20"/>
      <c r="AC838" s="20"/>
      <c r="AD838" s="20"/>
      <c r="AE838" s="20"/>
      <c r="AF838" s="20"/>
      <c r="AG838" s="20"/>
      <c r="AH838" s="20"/>
      <c r="AI838" s="20"/>
      <c r="AJ838" s="20"/>
      <c r="AK838" s="20"/>
      <c r="AL838" s="20"/>
      <c r="AM838" s="20"/>
      <c r="AN838" s="20"/>
      <c r="AO838" s="20"/>
      <c r="AP838" s="20"/>
      <c r="AQ838" s="20"/>
      <c r="AR838" s="20"/>
      <c r="AS838" s="20"/>
      <c r="AT838" s="20"/>
      <c r="AU838" s="20"/>
      <c r="AV838" s="20"/>
      <c r="AW838" s="20"/>
      <c r="AX838" s="20"/>
      <c r="AY838" s="20"/>
      <c r="AZ838" s="20"/>
      <c r="BA838" s="20"/>
      <c r="BB838" s="20"/>
      <c r="BC838" s="20"/>
    </row>
    <row r="839" ht="13.5" customHeight="1" spans="1:55">
      <c r="A839" s="20"/>
      <c r="B839" s="20"/>
      <c r="C839" s="20"/>
      <c r="D839" s="20"/>
      <c r="E839" s="20"/>
      <c r="F839" s="20"/>
      <c r="G839" s="52"/>
      <c r="H839" s="20"/>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row>
    <row r="840" ht="13.5" customHeight="1" spans="1:55">
      <c r="A840" s="20"/>
      <c r="B840" s="20"/>
      <c r="C840" s="20"/>
      <c r="D840" s="20"/>
      <c r="E840" s="20"/>
      <c r="F840" s="20"/>
      <c r="G840" s="52"/>
      <c r="H840" s="20"/>
      <c r="I840" s="20"/>
      <c r="J840" s="20"/>
      <c r="K840" s="20"/>
      <c r="L840" s="20"/>
      <c r="M840" s="20"/>
      <c r="N840" s="20"/>
      <c r="O840" s="20"/>
      <c r="P840" s="20"/>
      <c r="Q840" s="20"/>
      <c r="R840" s="20"/>
      <c r="S840" s="20"/>
      <c r="T840" s="20"/>
      <c r="U840" s="20"/>
      <c r="V840" s="20"/>
      <c r="W840" s="20"/>
      <c r="X840" s="20"/>
      <c r="Y840" s="20"/>
      <c r="Z840" s="20"/>
      <c r="AA840" s="20"/>
      <c r="AB840" s="20"/>
      <c r="AC840" s="20"/>
      <c r="AD840" s="20"/>
      <c r="AE840" s="20"/>
      <c r="AF840" s="20"/>
      <c r="AG840" s="20"/>
      <c r="AH840" s="20"/>
      <c r="AI840" s="20"/>
      <c r="AJ840" s="20"/>
      <c r="AK840" s="20"/>
      <c r="AL840" s="20"/>
      <c r="AM840" s="20"/>
      <c r="AN840" s="20"/>
      <c r="AO840" s="20"/>
      <c r="AP840" s="20"/>
      <c r="AQ840" s="20"/>
      <c r="AR840" s="20"/>
      <c r="AS840" s="20"/>
      <c r="AT840" s="20"/>
      <c r="AU840" s="20"/>
      <c r="AV840" s="20"/>
      <c r="AW840" s="20"/>
      <c r="AX840" s="20"/>
      <c r="AY840" s="20"/>
      <c r="AZ840" s="20"/>
      <c r="BA840" s="20"/>
      <c r="BB840" s="20"/>
      <c r="BC840" s="20"/>
    </row>
    <row r="841" ht="13.5" customHeight="1" spans="1:55">
      <c r="A841" s="20"/>
      <c r="B841" s="20"/>
      <c r="C841" s="20"/>
      <c r="D841" s="20"/>
      <c r="E841" s="20"/>
      <c r="F841" s="20"/>
      <c r="G841" s="52"/>
      <c r="H841" s="20"/>
      <c r="I841" s="20"/>
      <c r="J841" s="20"/>
      <c r="K841" s="20"/>
      <c r="L841" s="20"/>
      <c r="M841" s="20"/>
      <c r="N841" s="20"/>
      <c r="O841" s="20"/>
      <c r="P841" s="20"/>
      <c r="Q841" s="20"/>
      <c r="R841" s="20"/>
      <c r="S841" s="20"/>
      <c r="T841" s="20"/>
      <c r="U841" s="20"/>
      <c r="V841" s="20"/>
      <c r="W841" s="20"/>
      <c r="X841" s="20"/>
      <c r="Y841" s="20"/>
      <c r="Z841" s="20"/>
      <c r="AA841" s="20"/>
      <c r="AB841" s="20"/>
      <c r="AC841" s="20"/>
      <c r="AD841" s="20"/>
      <c r="AE841" s="20"/>
      <c r="AF841" s="20"/>
      <c r="AG841" s="20"/>
      <c r="AH841" s="20"/>
      <c r="AI841" s="20"/>
      <c r="AJ841" s="20"/>
      <c r="AK841" s="20"/>
      <c r="AL841" s="20"/>
      <c r="AM841" s="20"/>
      <c r="AN841" s="20"/>
      <c r="AO841" s="20"/>
      <c r="AP841" s="20"/>
      <c r="AQ841" s="20"/>
      <c r="AR841" s="20"/>
      <c r="AS841" s="20"/>
      <c r="AT841" s="20"/>
      <c r="AU841" s="20"/>
      <c r="AV841" s="20"/>
      <c r="AW841" s="20"/>
      <c r="AX841" s="20"/>
      <c r="AY841" s="20"/>
      <c r="AZ841" s="20"/>
      <c r="BA841" s="20"/>
      <c r="BB841" s="20"/>
      <c r="BC841" s="20"/>
    </row>
    <row r="842" ht="13.5" customHeight="1" spans="1:55">
      <c r="A842" s="20"/>
      <c r="B842" s="20"/>
      <c r="C842" s="20"/>
      <c r="D842" s="20"/>
      <c r="E842" s="20"/>
      <c r="F842" s="20"/>
      <c r="G842" s="52"/>
      <c r="H842" s="20"/>
      <c r="I842" s="20"/>
      <c r="J842" s="20"/>
      <c r="K842" s="20"/>
      <c r="L842" s="20"/>
      <c r="M842" s="20"/>
      <c r="N842" s="20"/>
      <c r="O842" s="20"/>
      <c r="P842" s="20"/>
      <c r="Q842" s="20"/>
      <c r="R842" s="20"/>
      <c r="S842" s="20"/>
      <c r="T842" s="20"/>
      <c r="U842" s="20"/>
      <c r="V842" s="20"/>
      <c r="W842" s="20"/>
      <c r="X842" s="20"/>
      <c r="Y842" s="20"/>
      <c r="Z842" s="20"/>
      <c r="AA842" s="20"/>
      <c r="AB842" s="20"/>
      <c r="AC842" s="20"/>
      <c r="AD842" s="20"/>
      <c r="AE842" s="20"/>
      <c r="AF842" s="20"/>
      <c r="AG842" s="20"/>
      <c r="AH842" s="20"/>
      <c r="AI842" s="20"/>
      <c r="AJ842" s="20"/>
      <c r="AK842" s="20"/>
      <c r="AL842" s="20"/>
      <c r="AM842" s="20"/>
      <c r="AN842" s="20"/>
      <c r="AO842" s="20"/>
      <c r="AP842" s="20"/>
      <c r="AQ842" s="20"/>
      <c r="AR842" s="20"/>
      <c r="AS842" s="20"/>
      <c r="AT842" s="20"/>
      <c r="AU842" s="20"/>
      <c r="AV842" s="20"/>
      <c r="AW842" s="20"/>
      <c r="AX842" s="20"/>
      <c r="AY842" s="20"/>
      <c r="AZ842" s="20"/>
      <c r="BA842" s="20"/>
      <c r="BB842" s="20"/>
      <c r="BC842" s="20"/>
    </row>
    <row r="843" ht="13.5" customHeight="1" spans="1:55">
      <c r="A843" s="20"/>
      <c r="B843" s="20"/>
      <c r="C843" s="20"/>
      <c r="D843" s="20"/>
      <c r="E843" s="20"/>
      <c r="F843" s="20"/>
      <c r="G843" s="52"/>
      <c r="H843" s="20"/>
      <c r="I843" s="20"/>
      <c r="J843" s="20"/>
      <c r="K843" s="20"/>
      <c r="L843" s="20"/>
      <c r="M843" s="20"/>
      <c r="N843" s="20"/>
      <c r="O843" s="20"/>
      <c r="P843" s="20"/>
      <c r="Q843" s="20"/>
      <c r="R843" s="20"/>
      <c r="S843" s="20"/>
      <c r="T843" s="20"/>
      <c r="U843" s="20"/>
      <c r="V843" s="20"/>
      <c r="W843" s="20"/>
      <c r="X843" s="20"/>
      <c r="Y843" s="20"/>
      <c r="Z843" s="20"/>
      <c r="AA843" s="20"/>
      <c r="AB843" s="20"/>
      <c r="AC843" s="20"/>
      <c r="AD843" s="20"/>
      <c r="AE843" s="20"/>
      <c r="AF843" s="20"/>
      <c r="AG843" s="20"/>
      <c r="AH843" s="20"/>
      <c r="AI843" s="20"/>
      <c r="AJ843" s="20"/>
      <c r="AK843" s="20"/>
      <c r="AL843" s="20"/>
      <c r="AM843" s="20"/>
      <c r="AN843" s="20"/>
      <c r="AO843" s="20"/>
      <c r="AP843" s="20"/>
      <c r="AQ843" s="20"/>
      <c r="AR843" s="20"/>
      <c r="AS843" s="20"/>
      <c r="AT843" s="20"/>
      <c r="AU843" s="20"/>
      <c r="AV843" s="20"/>
      <c r="AW843" s="20"/>
      <c r="AX843" s="20"/>
      <c r="AY843" s="20"/>
      <c r="AZ843" s="20"/>
      <c r="BA843" s="20"/>
      <c r="BB843" s="20"/>
      <c r="BC843" s="20"/>
    </row>
    <row r="844" ht="13.5" customHeight="1" spans="1:55">
      <c r="A844" s="20"/>
      <c r="B844" s="20"/>
      <c r="C844" s="20"/>
      <c r="D844" s="20"/>
      <c r="E844" s="20"/>
      <c r="F844" s="20"/>
      <c r="G844" s="52"/>
      <c r="H844" s="20"/>
      <c r="I844" s="20"/>
      <c r="J844" s="20"/>
      <c r="K844" s="20"/>
      <c r="L844" s="20"/>
      <c r="M844" s="20"/>
      <c r="N844" s="20"/>
      <c r="O844" s="20"/>
      <c r="P844" s="20"/>
      <c r="Q844" s="20"/>
      <c r="R844" s="20"/>
      <c r="S844" s="20"/>
      <c r="T844" s="20"/>
      <c r="U844" s="20"/>
      <c r="V844" s="20"/>
      <c r="W844" s="20"/>
      <c r="X844" s="20"/>
      <c r="Y844" s="20"/>
      <c r="Z844" s="20"/>
      <c r="AA844" s="20"/>
      <c r="AB844" s="20"/>
      <c r="AC844" s="20"/>
      <c r="AD844" s="20"/>
      <c r="AE844" s="20"/>
      <c r="AF844" s="20"/>
      <c r="AG844" s="20"/>
      <c r="AH844" s="20"/>
      <c r="AI844" s="20"/>
      <c r="AJ844" s="20"/>
      <c r="AK844" s="20"/>
      <c r="AL844" s="20"/>
      <c r="AM844" s="20"/>
      <c r="AN844" s="20"/>
      <c r="AO844" s="20"/>
      <c r="AP844" s="20"/>
      <c r="AQ844" s="20"/>
      <c r="AR844" s="20"/>
      <c r="AS844" s="20"/>
      <c r="AT844" s="20"/>
      <c r="AU844" s="20"/>
      <c r="AV844" s="20"/>
      <c r="AW844" s="20"/>
      <c r="AX844" s="20"/>
      <c r="AY844" s="20"/>
      <c r="AZ844" s="20"/>
      <c r="BA844" s="20"/>
      <c r="BB844" s="20"/>
      <c r="BC844" s="20"/>
    </row>
    <row r="845" ht="13.5" customHeight="1" spans="1:55">
      <c r="A845" s="20"/>
      <c r="B845" s="20"/>
      <c r="C845" s="20"/>
      <c r="D845" s="20"/>
      <c r="E845" s="20"/>
      <c r="F845" s="20"/>
      <c r="G845" s="52"/>
      <c r="H845" s="20"/>
      <c r="I845" s="20"/>
      <c r="J845" s="20"/>
      <c r="K845" s="20"/>
      <c r="L845" s="20"/>
      <c r="M845" s="20"/>
      <c r="N845" s="20"/>
      <c r="O845" s="20"/>
      <c r="P845" s="20"/>
      <c r="Q845" s="20"/>
      <c r="R845" s="20"/>
      <c r="S845" s="20"/>
      <c r="T845" s="20"/>
      <c r="U845" s="20"/>
      <c r="V845" s="20"/>
      <c r="W845" s="20"/>
      <c r="X845" s="20"/>
      <c r="Y845" s="20"/>
      <c r="Z845" s="20"/>
      <c r="AA845" s="20"/>
      <c r="AB845" s="20"/>
      <c r="AC845" s="20"/>
      <c r="AD845" s="20"/>
      <c r="AE845" s="20"/>
      <c r="AF845" s="20"/>
      <c r="AG845" s="20"/>
      <c r="AH845" s="20"/>
      <c r="AI845" s="20"/>
      <c r="AJ845" s="20"/>
      <c r="AK845" s="20"/>
      <c r="AL845" s="20"/>
      <c r="AM845" s="20"/>
      <c r="AN845" s="20"/>
      <c r="AO845" s="20"/>
      <c r="AP845" s="20"/>
      <c r="AQ845" s="20"/>
      <c r="AR845" s="20"/>
      <c r="AS845" s="20"/>
      <c r="AT845" s="20"/>
      <c r="AU845" s="20"/>
      <c r="AV845" s="20"/>
      <c r="AW845" s="20"/>
      <c r="AX845" s="20"/>
      <c r="AY845" s="20"/>
      <c r="AZ845" s="20"/>
      <c r="BA845" s="20"/>
      <c r="BB845" s="20"/>
      <c r="BC845" s="20"/>
    </row>
    <row r="846" ht="13.5" customHeight="1" spans="1:55">
      <c r="A846" s="20"/>
      <c r="B846" s="20"/>
      <c r="C846" s="20"/>
      <c r="D846" s="20"/>
      <c r="E846" s="20"/>
      <c r="F846" s="20"/>
      <c r="G846" s="52"/>
      <c r="H846" s="20"/>
      <c r="I846" s="20"/>
      <c r="J846" s="20"/>
      <c r="K846" s="20"/>
      <c r="L846" s="20"/>
      <c r="M846" s="20"/>
      <c r="N846" s="20"/>
      <c r="O846" s="20"/>
      <c r="P846" s="20"/>
      <c r="Q846" s="20"/>
      <c r="R846" s="20"/>
      <c r="S846" s="20"/>
      <c r="T846" s="20"/>
      <c r="U846" s="20"/>
      <c r="V846" s="20"/>
      <c r="W846" s="20"/>
      <c r="X846" s="20"/>
      <c r="Y846" s="20"/>
      <c r="Z846" s="20"/>
      <c r="AA846" s="20"/>
      <c r="AB846" s="20"/>
      <c r="AC846" s="20"/>
      <c r="AD846" s="20"/>
      <c r="AE846" s="20"/>
      <c r="AF846" s="20"/>
      <c r="AG846" s="20"/>
      <c r="AH846" s="20"/>
      <c r="AI846" s="20"/>
      <c r="AJ846" s="20"/>
      <c r="AK846" s="20"/>
      <c r="AL846" s="20"/>
      <c r="AM846" s="20"/>
      <c r="AN846" s="20"/>
      <c r="AO846" s="20"/>
      <c r="AP846" s="20"/>
      <c r="AQ846" s="20"/>
      <c r="AR846" s="20"/>
      <c r="AS846" s="20"/>
      <c r="AT846" s="20"/>
      <c r="AU846" s="20"/>
      <c r="AV846" s="20"/>
      <c r="AW846" s="20"/>
      <c r="AX846" s="20"/>
      <c r="AY846" s="20"/>
      <c r="AZ846" s="20"/>
      <c r="BA846" s="20"/>
      <c r="BB846" s="20"/>
      <c r="BC846" s="20"/>
    </row>
    <row r="847" ht="13.5" customHeight="1" spans="1:55">
      <c r="A847" s="20"/>
      <c r="B847" s="20"/>
      <c r="C847" s="20"/>
      <c r="D847" s="20"/>
      <c r="E847" s="20"/>
      <c r="F847" s="20"/>
      <c r="G847" s="52"/>
      <c r="H847" s="20"/>
      <c r="I847" s="20"/>
      <c r="J847" s="20"/>
      <c r="K847" s="20"/>
      <c r="L847" s="20"/>
      <c r="M847" s="20"/>
      <c r="N847" s="20"/>
      <c r="O847" s="20"/>
      <c r="P847" s="20"/>
      <c r="Q847" s="20"/>
      <c r="R847" s="20"/>
      <c r="S847" s="20"/>
      <c r="T847" s="20"/>
      <c r="U847" s="20"/>
      <c r="V847" s="20"/>
      <c r="W847" s="20"/>
      <c r="X847" s="20"/>
      <c r="Y847" s="20"/>
      <c r="Z847" s="20"/>
      <c r="AA847" s="20"/>
      <c r="AB847" s="20"/>
      <c r="AC847" s="20"/>
      <c r="AD847" s="20"/>
      <c r="AE847" s="20"/>
      <c r="AF847" s="20"/>
      <c r="AG847" s="20"/>
      <c r="AH847" s="20"/>
      <c r="AI847" s="20"/>
      <c r="AJ847" s="20"/>
      <c r="AK847" s="20"/>
      <c r="AL847" s="20"/>
      <c r="AM847" s="20"/>
      <c r="AN847" s="20"/>
      <c r="AO847" s="20"/>
      <c r="AP847" s="20"/>
      <c r="AQ847" s="20"/>
      <c r="AR847" s="20"/>
      <c r="AS847" s="20"/>
      <c r="AT847" s="20"/>
      <c r="AU847" s="20"/>
      <c r="AV847" s="20"/>
      <c r="AW847" s="20"/>
      <c r="AX847" s="20"/>
      <c r="AY847" s="20"/>
      <c r="AZ847" s="20"/>
      <c r="BA847" s="20"/>
      <c r="BB847" s="20"/>
      <c r="BC847" s="20"/>
    </row>
    <row r="848" ht="13.5" customHeight="1" spans="1:55">
      <c r="A848" s="20"/>
      <c r="B848" s="20"/>
      <c r="C848" s="20"/>
      <c r="D848" s="20"/>
      <c r="E848" s="20"/>
      <c r="F848" s="20"/>
      <c r="G848" s="52"/>
      <c r="H848" s="20"/>
      <c r="I848" s="20"/>
      <c r="J848" s="20"/>
      <c r="K848" s="20"/>
      <c r="L848" s="20"/>
      <c r="M848" s="20"/>
      <c r="N848" s="20"/>
      <c r="O848" s="20"/>
      <c r="P848" s="20"/>
      <c r="Q848" s="20"/>
      <c r="R848" s="20"/>
      <c r="S848" s="20"/>
      <c r="T848" s="20"/>
      <c r="U848" s="20"/>
      <c r="V848" s="20"/>
      <c r="W848" s="20"/>
      <c r="X848" s="20"/>
      <c r="Y848" s="20"/>
      <c r="Z848" s="20"/>
      <c r="AA848" s="20"/>
      <c r="AB848" s="20"/>
      <c r="AC848" s="20"/>
      <c r="AD848" s="20"/>
      <c r="AE848" s="20"/>
      <c r="AF848" s="20"/>
      <c r="AG848" s="20"/>
      <c r="AH848" s="20"/>
      <c r="AI848" s="20"/>
      <c r="AJ848" s="20"/>
      <c r="AK848" s="20"/>
      <c r="AL848" s="20"/>
      <c r="AM848" s="20"/>
      <c r="AN848" s="20"/>
      <c r="AO848" s="20"/>
      <c r="AP848" s="20"/>
      <c r="AQ848" s="20"/>
      <c r="AR848" s="20"/>
      <c r="AS848" s="20"/>
      <c r="AT848" s="20"/>
      <c r="AU848" s="20"/>
      <c r="AV848" s="20"/>
      <c r="AW848" s="20"/>
      <c r="AX848" s="20"/>
      <c r="AY848" s="20"/>
      <c r="AZ848" s="20"/>
      <c r="BA848" s="20"/>
      <c r="BB848" s="20"/>
      <c r="BC848" s="20"/>
    </row>
    <row r="849" ht="13.5" customHeight="1" spans="1:55">
      <c r="A849" s="20"/>
      <c r="B849" s="20"/>
      <c r="C849" s="20"/>
      <c r="D849" s="20"/>
      <c r="E849" s="20"/>
      <c r="F849" s="20"/>
      <c r="G849" s="52"/>
      <c r="H849" s="20"/>
      <c r="I849" s="20"/>
      <c r="J849" s="20"/>
      <c r="K849" s="20"/>
      <c r="L849" s="20"/>
      <c r="M849" s="20"/>
      <c r="N849" s="20"/>
      <c r="O849" s="20"/>
      <c r="P849" s="20"/>
      <c r="Q849" s="20"/>
      <c r="R849" s="20"/>
      <c r="S849" s="20"/>
      <c r="T849" s="20"/>
      <c r="U849" s="20"/>
      <c r="V849" s="20"/>
      <c r="W849" s="20"/>
      <c r="X849" s="20"/>
      <c r="Y849" s="20"/>
      <c r="Z849" s="20"/>
      <c r="AA849" s="20"/>
      <c r="AB849" s="20"/>
      <c r="AC849" s="20"/>
      <c r="AD849" s="20"/>
      <c r="AE849" s="20"/>
      <c r="AF849" s="20"/>
      <c r="AG849" s="20"/>
      <c r="AH849" s="20"/>
      <c r="AI849" s="20"/>
      <c r="AJ849" s="20"/>
      <c r="AK849" s="20"/>
      <c r="AL849" s="20"/>
      <c r="AM849" s="20"/>
      <c r="AN849" s="20"/>
      <c r="AO849" s="20"/>
      <c r="AP849" s="20"/>
      <c r="AQ849" s="20"/>
      <c r="AR849" s="20"/>
      <c r="AS849" s="20"/>
      <c r="AT849" s="20"/>
      <c r="AU849" s="20"/>
      <c r="AV849" s="20"/>
      <c r="AW849" s="20"/>
      <c r="AX849" s="20"/>
      <c r="AY849" s="20"/>
      <c r="AZ849" s="20"/>
      <c r="BA849" s="20"/>
      <c r="BB849" s="20"/>
      <c r="BC849" s="20"/>
    </row>
    <row r="850" ht="13.5" customHeight="1" spans="1:55">
      <c r="A850" s="20"/>
      <c r="B850" s="20"/>
      <c r="C850" s="20"/>
      <c r="D850" s="20"/>
      <c r="E850" s="20"/>
      <c r="F850" s="20"/>
      <c r="G850" s="52"/>
      <c r="H850" s="20"/>
      <c r="I850" s="20"/>
      <c r="J850" s="20"/>
      <c r="K850" s="20"/>
      <c r="L850" s="20"/>
      <c r="M850" s="20"/>
      <c r="N850" s="20"/>
      <c r="O850" s="20"/>
      <c r="P850" s="20"/>
      <c r="Q850" s="20"/>
      <c r="R850" s="20"/>
      <c r="S850" s="20"/>
      <c r="T850" s="20"/>
      <c r="U850" s="20"/>
      <c r="V850" s="20"/>
      <c r="W850" s="20"/>
      <c r="X850" s="20"/>
      <c r="Y850" s="20"/>
      <c r="Z850" s="20"/>
      <c r="AA850" s="20"/>
      <c r="AB850" s="20"/>
      <c r="AC850" s="20"/>
      <c r="AD850" s="20"/>
      <c r="AE850" s="20"/>
      <c r="AF850" s="20"/>
      <c r="AG850" s="20"/>
      <c r="AH850" s="20"/>
      <c r="AI850" s="20"/>
      <c r="AJ850" s="20"/>
      <c r="AK850" s="20"/>
      <c r="AL850" s="20"/>
      <c r="AM850" s="20"/>
      <c r="AN850" s="20"/>
      <c r="AO850" s="20"/>
      <c r="AP850" s="20"/>
      <c r="AQ850" s="20"/>
      <c r="AR850" s="20"/>
      <c r="AS850" s="20"/>
      <c r="AT850" s="20"/>
      <c r="AU850" s="20"/>
      <c r="AV850" s="20"/>
      <c r="AW850" s="20"/>
      <c r="AX850" s="20"/>
      <c r="AY850" s="20"/>
      <c r="AZ850" s="20"/>
      <c r="BA850" s="20"/>
      <c r="BB850" s="20"/>
      <c r="BC850" s="20"/>
    </row>
    <row r="851" ht="13.5" customHeight="1" spans="1:55">
      <c r="A851" s="20"/>
      <c r="B851" s="20"/>
      <c r="C851" s="20"/>
      <c r="D851" s="20"/>
      <c r="E851" s="20"/>
      <c r="F851" s="20"/>
      <c r="G851" s="52"/>
      <c r="H851" s="20"/>
      <c r="I851" s="20"/>
      <c r="J851" s="20"/>
      <c r="K851" s="20"/>
      <c r="L851" s="20"/>
      <c r="M851" s="20"/>
      <c r="N851" s="20"/>
      <c r="O851" s="20"/>
      <c r="P851" s="20"/>
      <c r="Q851" s="20"/>
      <c r="R851" s="20"/>
      <c r="S851" s="20"/>
      <c r="T851" s="20"/>
      <c r="U851" s="20"/>
      <c r="V851" s="20"/>
      <c r="W851" s="20"/>
      <c r="X851" s="20"/>
      <c r="Y851" s="20"/>
      <c r="Z851" s="20"/>
      <c r="AA851" s="20"/>
      <c r="AB851" s="20"/>
      <c r="AC851" s="20"/>
      <c r="AD851" s="20"/>
      <c r="AE851" s="20"/>
      <c r="AF851" s="20"/>
      <c r="AG851" s="20"/>
      <c r="AH851" s="20"/>
      <c r="AI851" s="20"/>
      <c r="AJ851" s="20"/>
      <c r="AK851" s="20"/>
      <c r="AL851" s="20"/>
      <c r="AM851" s="20"/>
      <c r="AN851" s="20"/>
      <c r="AO851" s="20"/>
      <c r="AP851" s="20"/>
      <c r="AQ851" s="20"/>
      <c r="AR851" s="20"/>
      <c r="AS851" s="20"/>
      <c r="AT851" s="20"/>
      <c r="AU851" s="20"/>
      <c r="AV851" s="20"/>
      <c r="AW851" s="20"/>
      <c r="AX851" s="20"/>
      <c r="AY851" s="20"/>
      <c r="AZ851" s="20"/>
      <c r="BA851" s="20"/>
      <c r="BB851" s="20"/>
      <c r="BC851" s="20"/>
    </row>
    <row r="852" ht="13.5" customHeight="1" spans="1:55">
      <c r="A852" s="20"/>
      <c r="B852" s="20"/>
      <c r="C852" s="20"/>
      <c r="D852" s="20"/>
      <c r="E852" s="20"/>
      <c r="F852" s="20"/>
      <c r="G852" s="52"/>
      <c r="H852" s="20"/>
      <c r="I852" s="20"/>
      <c r="J852" s="20"/>
      <c r="K852" s="20"/>
      <c r="L852" s="20"/>
      <c r="M852" s="20"/>
      <c r="N852" s="20"/>
      <c r="O852" s="20"/>
      <c r="P852" s="20"/>
      <c r="Q852" s="20"/>
      <c r="R852" s="20"/>
      <c r="S852" s="20"/>
      <c r="T852" s="20"/>
      <c r="U852" s="20"/>
      <c r="V852" s="20"/>
      <c r="W852" s="20"/>
      <c r="X852" s="20"/>
      <c r="Y852" s="20"/>
      <c r="Z852" s="20"/>
      <c r="AA852" s="20"/>
      <c r="AB852" s="20"/>
      <c r="AC852" s="20"/>
      <c r="AD852" s="20"/>
      <c r="AE852" s="20"/>
      <c r="AF852" s="20"/>
      <c r="AG852" s="20"/>
      <c r="AH852" s="20"/>
      <c r="AI852" s="20"/>
      <c r="AJ852" s="20"/>
      <c r="AK852" s="20"/>
      <c r="AL852" s="20"/>
      <c r="AM852" s="20"/>
      <c r="AN852" s="20"/>
      <c r="AO852" s="20"/>
      <c r="AP852" s="20"/>
      <c r="AQ852" s="20"/>
      <c r="AR852" s="20"/>
      <c r="AS852" s="20"/>
      <c r="AT852" s="20"/>
      <c r="AU852" s="20"/>
      <c r="AV852" s="20"/>
      <c r="AW852" s="20"/>
      <c r="AX852" s="20"/>
      <c r="AY852" s="20"/>
      <c r="AZ852" s="20"/>
      <c r="BA852" s="20"/>
      <c r="BB852" s="20"/>
      <c r="BC852" s="20"/>
    </row>
    <row r="853" ht="13.5" customHeight="1" spans="1:55">
      <c r="A853" s="20"/>
      <c r="B853" s="20"/>
      <c r="C853" s="20"/>
      <c r="D853" s="20"/>
      <c r="E853" s="20"/>
      <c r="F853" s="20"/>
      <c r="G853" s="52"/>
      <c r="H853" s="20"/>
      <c r="I853" s="20"/>
      <c r="J853" s="20"/>
      <c r="K853" s="20"/>
      <c r="L853" s="20"/>
      <c r="M853" s="20"/>
      <c r="N853" s="20"/>
      <c r="O853" s="20"/>
      <c r="P853" s="20"/>
      <c r="Q853" s="20"/>
      <c r="R853" s="20"/>
      <c r="S853" s="20"/>
      <c r="T853" s="20"/>
      <c r="U853" s="20"/>
      <c r="V853" s="20"/>
      <c r="W853" s="20"/>
      <c r="X853" s="20"/>
      <c r="Y853" s="20"/>
      <c r="Z853" s="20"/>
      <c r="AA853" s="20"/>
      <c r="AB853" s="20"/>
      <c r="AC853" s="20"/>
      <c r="AD853" s="20"/>
      <c r="AE853" s="20"/>
      <c r="AF853" s="20"/>
      <c r="AG853" s="20"/>
      <c r="AH853" s="20"/>
      <c r="AI853" s="20"/>
      <c r="AJ853" s="20"/>
      <c r="AK853" s="20"/>
      <c r="AL853" s="20"/>
      <c r="AM853" s="20"/>
      <c r="AN853" s="20"/>
      <c r="AO853" s="20"/>
      <c r="AP853" s="20"/>
      <c r="AQ853" s="20"/>
      <c r="AR853" s="20"/>
      <c r="AS853" s="20"/>
      <c r="AT853" s="20"/>
      <c r="AU853" s="20"/>
      <c r="AV853" s="20"/>
      <c r="AW853" s="20"/>
      <c r="AX853" s="20"/>
      <c r="AY853" s="20"/>
      <c r="AZ853" s="20"/>
      <c r="BA853" s="20"/>
      <c r="BB853" s="20"/>
      <c r="BC853" s="20"/>
    </row>
    <row r="854" ht="13.5" customHeight="1" spans="1:55">
      <c r="A854" s="20"/>
      <c r="B854" s="20"/>
      <c r="C854" s="20"/>
      <c r="D854" s="20"/>
      <c r="E854" s="20"/>
      <c r="F854" s="20"/>
      <c r="G854" s="52"/>
      <c r="H854" s="20"/>
      <c r="I854" s="20"/>
      <c r="J854" s="20"/>
      <c r="K854" s="20"/>
      <c r="L854" s="20"/>
      <c r="M854" s="20"/>
      <c r="N854" s="20"/>
      <c r="O854" s="20"/>
      <c r="P854" s="20"/>
      <c r="Q854" s="20"/>
      <c r="R854" s="20"/>
      <c r="S854" s="20"/>
      <c r="T854" s="20"/>
      <c r="U854" s="20"/>
      <c r="V854" s="20"/>
      <c r="W854" s="20"/>
      <c r="X854" s="20"/>
      <c r="Y854" s="20"/>
      <c r="Z854" s="20"/>
      <c r="AA854" s="20"/>
      <c r="AB854" s="20"/>
      <c r="AC854" s="20"/>
      <c r="AD854" s="20"/>
      <c r="AE854" s="20"/>
      <c r="AF854" s="20"/>
      <c r="AG854" s="20"/>
      <c r="AH854" s="20"/>
      <c r="AI854" s="20"/>
      <c r="AJ854" s="20"/>
      <c r="AK854" s="20"/>
      <c r="AL854" s="20"/>
      <c r="AM854" s="20"/>
      <c r="AN854" s="20"/>
      <c r="AO854" s="20"/>
      <c r="AP854" s="20"/>
      <c r="AQ854" s="20"/>
      <c r="AR854" s="20"/>
      <c r="AS854" s="20"/>
      <c r="AT854" s="20"/>
      <c r="AU854" s="20"/>
      <c r="AV854" s="20"/>
      <c r="AW854" s="20"/>
      <c r="AX854" s="20"/>
      <c r="AY854" s="20"/>
      <c r="AZ854" s="20"/>
      <c r="BA854" s="20"/>
      <c r="BB854" s="20"/>
      <c r="BC854" s="20"/>
    </row>
    <row r="855" ht="13.5" customHeight="1" spans="1:55">
      <c r="A855" s="20"/>
      <c r="B855" s="20"/>
      <c r="C855" s="20"/>
      <c r="D855" s="20"/>
      <c r="E855" s="20"/>
      <c r="F855" s="20"/>
      <c r="G855" s="52"/>
      <c r="H855" s="20"/>
      <c r="I855" s="20"/>
      <c r="J855" s="20"/>
      <c r="K855" s="20"/>
      <c r="L855" s="20"/>
      <c r="M855" s="20"/>
      <c r="N855" s="20"/>
      <c r="O855" s="20"/>
      <c r="P855" s="20"/>
      <c r="Q855" s="20"/>
      <c r="R855" s="20"/>
      <c r="S855" s="20"/>
      <c r="T855" s="20"/>
      <c r="U855" s="20"/>
      <c r="V855" s="20"/>
      <c r="W855" s="20"/>
      <c r="X855" s="20"/>
      <c r="Y855" s="20"/>
      <c r="Z855" s="20"/>
      <c r="AA855" s="20"/>
      <c r="AB855" s="20"/>
      <c r="AC855" s="20"/>
      <c r="AD855" s="20"/>
      <c r="AE855" s="20"/>
      <c r="AF855" s="20"/>
      <c r="AG855" s="20"/>
      <c r="AH855" s="20"/>
      <c r="AI855" s="20"/>
      <c r="AJ855" s="20"/>
      <c r="AK855" s="20"/>
      <c r="AL855" s="20"/>
      <c r="AM855" s="20"/>
      <c r="AN855" s="20"/>
      <c r="AO855" s="20"/>
      <c r="AP855" s="20"/>
      <c r="AQ855" s="20"/>
      <c r="AR855" s="20"/>
      <c r="AS855" s="20"/>
      <c r="AT855" s="20"/>
      <c r="AU855" s="20"/>
      <c r="AV855" s="20"/>
      <c r="AW855" s="20"/>
      <c r="AX855" s="20"/>
      <c r="AY855" s="20"/>
      <c r="AZ855" s="20"/>
      <c r="BA855" s="20"/>
      <c r="BB855" s="20"/>
      <c r="BC855" s="20"/>
    </row>
    <row r="856" ht="13.5" customHeight="1" spans="1:55">
      <c r="A856" s="20"/>
      <c r="B856" s="20"/>
      <c r="C856" s="20"/>
      <c r="D856" s="20"/>
      <c r="E856" s="20"/>
      <c r="F856" s="20"/>
      <c r="G856" s="52"/>
      <c r="H856" s="20"/>
      <c r="I856" s="20"/>
      <c r="J856" s="20"/>
      <c r="K856" s="20"/>
      <c r="L856" s="20"/>
      <c r="M856" s="20"/>
      <c r="N856" s="20"/>
      <c r="O856" s="20"/>
      <c r="P856" s="20"/>
      <c r="Q856" s="20"/>
      <c r="R856" s="20"/>
      <c r="S856" s="20"/>
      <c r="T856" s="20"/>
      <c r="U856" s="20"/>
      <c r="V856" s="20"/>
      <c r="W856" s="20"/>
      <c r="X856" s="20"/>
      <c r="Y856" s="20"/>
      <c r="Z856" s="20"/>
      <c r="AA856" s="20"/>
      <c r="AB856" s="20"/>
      <c r="AC856" s="20"/>
      <c r="AD856" s="20"/>
      <c r="AE856" s="20"/>
      <c r="AF856" s="20"/>
      <c r="AG856" s="20"/>
      <c r="AH856" s="20"/>
      <c r="AI856" s="20"/>
      <c r="AJ856" s="20"/>
      <c r="AK856" s="20"/>
      <c r="AL856" s="20"/>
      <c r="AM856" s="20"/>
      <c r="AN856" s="20"/>
      <c r="AO856" s="20"/>
      <c r="AP856" s="20"/>
      <c r="AQ856" s="20"/>
      <c r="AR856" s="20"/>
      <c r="AS856" s="20"/>
      <c r="AT856" s="20"/>
      <c r="AU856" s="20"/>
      <c r="AV856" s="20"/>
      <c r="AW856" s="20"/>
      <c r="AX856" s="20"/>
      <c r="AY856" s="20"/>
      <c r="AZ856" s="20"/>
      <c r="BA856" s="20"/>
      <c r="BB856" s="20"/>
      <c r="BC856" s="20"/>
    </row>
    <row r="857" ht="13.5" customHeight="1" spans="1:55">
      <c r="A857" s="20"/>
      <c r="B857" s="20"/>
      <c r="C857" s="20"/>
      <c r="D857" s="20"/>
      <c r="E857" s="20"/>
      <c r="F857" s="20"/>
      <c r="G857" s="52"/>
      <c r="H857" s="20"/>
      <c r="I857" s="20"/>
      <c r="J857" s="20"/>
      <c r="K857" s="20"/>
      <c r="L857" s="20"/>
      <c r="M857" s="20"/>
      <c r="N857" s="20"/>
      <c r="O857" s="20"/>
      <c r="P857" s="20"/>
      <c r="Q857" s="20"/>
      <c r="R857" s="20"/>
      <c r="S857" s="20"/>
      <c r="T857" s="20"/>
      <c r="U857" s="20"/>
      <c r="V857" s="20"/>
      <c r="W857" s="20"/>
      <c r="X857" s="20"/>
      <c r="Y857" s="20"/>
      <c r="Z857" s="20"/>
      <c r="AA857" s="20"/>
      <c r="AB857" s="20"/>
      <c r="AC857" s="20"/>
      <c r="AD857" s="20"/>
      <c r="AE857" s="20"/>
      <c r="AF857" s="20"/>
      <c r="AG857" s="20"/>
      <c r="AH857" s="20"/>
      <c r="AI857" s="20"/>
      <c r="AJ857" s="20"/>
      <c r="AK857" s="20"/>
      <c r="AL857" s="20"/>
      <c r="AM857" s="20"/>
      <c r="AN857" s="20"/>
      <c r="AO857" s="20"/>
      <c r="AP857" s="20"/>
      <c r="AQ857" s="20"/>
      <c r="AR857" s="20"/>
      <c r="AS857" s="20"/>
      <c r="AT857" s="20"/>
      <c r="AU857" s="20"/>
      <c r="AV857" s="20"/>
      <c r="AW857" s="20"/>
      <c r="AX857" s="20"/>
      <c r="AY857" s="20"/>
      <c r="AZ857" s="20"/>
      <c r="BA857" s="20"/>
      <c r="BB857" s="20"/>
      <c r="BC857" s="20"/>
    </row>
    <row r="858" ht="13.5" customHeight="1" spans="1:55">
      <c r="A858" s="20"/>
      <c r="B858" s="20"/>
      <c r="C858" s="20"/>
      <c r="D858" s="20"/>
      <c r="E858" s="20"/>
      <c r="F858" s="20"/>
      <c r="G858" s="52"/>
      <c r="H858" s="20"/>
      <c r="I858" s="20"/>
      <c r="J858" s="20"/>
      <c r="K858" s="20"/>
      <c r="L858" s="20"/>
      <c r="M858" s="20"/>
      <c r="N858" s="20"/>
      <c r="O858" s="20"/>
      <c r="P858" s="20"/>
      <c r="Q858" s="20"/>
      <c r="R858" s="20"/>
      <c r="S858" s="20"/>
      <c r="T858" s="20"/>
      <c r="U858" s="20"/>
      <c r="V858" s="20"/>
      <c r="W858" s="20"/>
      <c r="X858" s="20"/>
      <c r="Y858" s="20"/>
      <c r="Z858" s="20"/>
      <c r="AA858" s="20"/>
      <c r="AB858" s="20"/>
      <c r="AC858" s="20"/>
      <c r="AD858" s="20"/>
      <c r="AE858" s="20"/>
      <c r="AF858" s="20"/>
      <c r="AG858" s="20"/>
      <c r="AH858" s="20"/>
      <c r="AI858" s="20"/>
      <c r="AJ858" s="20"/>
      <c r="AK858" s="20"/>
      <c r="AL858" s="20"/>
      <c r="AM858" s="20"/>
      <c r="AN858" s="20"/>
      <c r="AO858" s="20"/>
      <c r="AP858" s="20"/>
      <c r="AQ858" s="20"/>
      <c r="AR858" s="20"/>
      <c r="AS858" s="20"/>
      <c r="AT858" s="20"/>
      <c r="AU858" s="20"/>
      <c r="AV858" s="20"/>
      <c r="AW858" s="20"/>
      <c r="AX858" s="20"/>
      <c r="AY858" s="20"/>
      <c r="AZ858" s="20"/>
      <c r="BA858" s="20"/>
      <c r="BB858" s="20"/>
      <c r="BC858" s="20"/>
    </row>
    <row r="859" ht="13.5" customHeight="1" spans="1:55">
      <c r="A859" s="20"/>
      <c r="B859" s="20"/>
      <c r="C859" s="20"/>
      <c r="D859" s="20"/>
      <c r="E859" s="20"/>
      <c r="F859" s="20"/>
      <c r="G859" s="52"/>
      <c r="H859" s="20"/>
      <c r="I859" s="20"/>
      <c r="J859" s="20"/>
      <c r="K859" s="20"/>
      <c r="L859" s="20"/>
      <c r="M859" s="20"/>
      <c r="N859" s="20"/>
      <c r="O859" s="20"/>
      <c r="P859" s="20"/>
      <c r="Q859" s="20"/>
      <c r="R859" s="20"/>
      <c r="S859" s="20"/>
      <c r="T859" s="20"/>
      <c r="U859" s="20"/>
      <c r="V859" s="20"/>
      <c r="W859" s="20"/>
      <c r="X859" s="20"/>
      <c r="Y859" s="20"/>
      <c r="Z859" s="20"/>
      <c r="AA859" s="20"/>
      <c r="AB859" s="20"/>
      <c r="AC859" s="20"/>
      <c r="AD859" s="20"/>
      <c r="AE859" s="20"/>
      <c r="AF859" s="20"/>
      <c r="AG859" s="20"/>
      <c r="AH859" s="20"/>
      <c r="AI859" s="20"/>
      <c r="AJ859" s="20"/>
      <c r="AK859" s="20"/>
      <c r="AL859" s="20"/>
      <c r="AM859" s="20"/>
      <c r="AN859" s="20"/>
      <c r="AO859" s="20"/>
      <c r="AP859" s="20"/>
      <c r="AQ859" s="20"/>
      <c r="AR859" s="20"/>
      <c r="AS859" s="20"/>
      <c r="AT859" s="20"/>
      <c r="AU859" s="20"/>
      <c r="AV859" s="20"/>
      <c r="AW859" s="20"/>
      <c r="AX859" s="20"/>
      <c r="AY859" s="20"/>
      <c r="AZ859" s="20"/>
      <c r="BA859" s="20"/>
      <c r="BB859" s="20"/>
      <c r="BC859" s="20"/>
    </row>
    <row r="860" ht="13.5" customHeight="1" spans="1:55">
      <c r="A860" s="20"/>
      <c r="B860" s="20"/>
      <c r="C860" s="20"/>
      <c r="D860" s="20"/>
      <c r="E860" s="20"/>
      <c r="F860" s="20"/>
      <c r="G860" s="52"/>
      <c r="H860" s="20"/>
      <c r="I860" s="20"/>
      <c r="J860" s="20"/>
      <c r="K860" s="20"/>
      <c r="L860" s="20"/>
      <c r="M860" s="20"/>
      <c r="N860" s="20"/>
      <c r="O860" s="20"/>
      <c r="P860" s="20"/>
      <c r="Q860" s="20"/>
      <c r="R860" s="20"/>
      <c r="S860" s="20"/>
      <c r="T860" s="20"/>
      <c r="U860" s="20"/>
      <c r="V860" s="20"/>
      <c r="W860" s="20"/>
      <c r="X860" s="20"/>
      <c r="Y860" s="20"/>
      <c r="Z860" s="20"/>
      <c r="AA860" s="20"/>
      <c r="AB860" s="20"/>
      <c r="AC860" s="20"/>
      <c r="AD860" s="20"/>
      <c r="AE860" s="20"/>
      <c r="AF860" s="20"/>
      <c r="AG860" s="20"/>
      <c r="AH860" s="20"/>
      <c r="AI860" s="20"/>
      <c r="AJ860" s="20"/>
      <c r="AK860" s="20"/>
      <c r="AL860" s="20"/>
      <c r="AM860" s="20"/>
      <c r="AN860" s="20"/>
      <c r="AO860" s="20"/>
      <c r="AP860" s="20"/>
      <c r="AQ860" s="20"/>
      <c r="AR860" s="20"/>
      <c r="AS860" s="20"/>
      <c r="AT860" s="20"/>
      <c r="AU860" s="20"/>
      <c r="AV860" s="20"/>
      <c r="AW860" s="20"/>
      <c r="AX860" s="20"/>
      <c r="AY860" s="20"/>
      <c r="AZ860" s="20"/>
      <c r="BA860" s="20"/>
      <c r="BB860" s="20"/>
      <c r="BC860" s="20"/>
    </row>
    <row r="861" ht="13.5" customHeight="1" spans="1:55">
      <c r="A861" s="20"/>
      <c r="B861" s="20"/>
      <c r="C861" s="20"/>
      <c r="D861" s="20"/>
      <c r="E861" s="20"/>
      <c r="F861" s="20"/>
      <c r="G861" s="52"/>
      <c r="H861" s="20"/>
      <c r="I861" s="20"/>
      <c r="J861" s="20"/>
      <c r="K861" s="20"/>
      <c r="L861" s="20"/>
      <c r="M861" s="20"/>
      <c r="N861" s="20"/>
      <c r="O861" s="20"/>
      <c r="P861" s="20"/>
      <c r="Q861" s="20"/>
      <c r="R861" s="20"/>
      <c r="S861" s="20"/>
      <c r="T861" s="20"/>
      <c r="U861" s="20"/>
      <c r="V861" s="20"/>
      <c r="W861" s="20"/>
      <c r="X861" s="20"/>
      <c r="Y861" s="20"/>
      <c r="Z861" s="20"/>
      <c r="AA861" s="20"/>
      <c r="AB861" s="20"/>
      <c r="AC861" s="20"/>
      <c r="AD861" s="20"/>
      <c r="AE861" s="20"/>
      <c r="AF861" s="20"/>
      <c r="AG861" s="20"/>
      <c r="AH861" s="20"/>
      <c r="AI861" s="20"/>
      <c r="AJ861" s="20"/>
      <c r="AK861" s="20"/>
      <c r="AL861" s="20"/>
      <c r="AM861" s="20"/>
      <c r="AN861" s="20"/>
      <c r="AO861" s="20"/>
      <c r="AP861" s="20"/>
      <c r="AQ861" s="20"/>
      <c r="AR861" s="20"/>
      <c r="AS861" s="20"/>
      <c r="AT861" s="20"/>
      <c r="AU861" s="20"/>
      <c r="AV861" s="20"/>
      <c r="AW861" s="20"/>
      <c r="AX861" s="20"/>
      <c r="AY861" s="20"/>
      <c r="AZ861" s="20"/>
      <c r="BA861" s="20"/>
      <c r="BB861" s="20"/>
      <c r="BC861" s="20"/>
    </row>
    <row r="862" ht="13.5" customHeight="1" spans="1:55">
      <c r="A862" s="20"/>
      <c r="B862" s="20"/>
      <c r="C862" s="20"/>
      <c r="D862" s="20"/>
      <c r="E862" s="20"/>
      <c r="F862" s="20"/>
      <c r="G862" s="52"/>
      <c r="H862" s="20"/>
      <c r="I862" s="20"/>
      <c r="J862" s="20"/>
      <c r="K862" s="20"/>
      <c r="L862" s="20"/>
      <c r="M862" s="20"/>
      <c r="N862" s="20"/>
      <c r="O862" s="20"/>
      <c r="P862" s="20"/>
      <c r="Q862" s="20"/>
      <c r="R862" s="20"/>
      <c r="S862" s="20"/>
      <c r="T862" s="20"/>
      <c r="U862" s="20"/>
      <c r="V862" s="20"/>
      <c r="W862" s="20"/>
      <c r="X862" s="20"/>
      <c r="Y862" s="20"/>
      <c r="Z862" s="20"/>
      <c r="AA862" s="20"/>
      <c r="AB862" s="20"/>
      <c r="AC862" s="20"/>
      <c r="AD862" s="20"/>
      <c r="AE862" s="20"/>
      <c r="AF862" s="20"/>
      <c r="AG862" s="20"/>
      <c r="AH862" s="20"/>
      <c r="AI862" s="20"/>
      <c r="AJ862" s="20"/>
      <c r="AK862" s="20"/>
      <c r="AL862" s="20"/>
      <c r="AM862" s="20"/>
      <c r="AN862" s="20"/>
      <c r="AO862" s="20"/>
      <c r="AP862" s="20"/>
      <c r="AQ862" s="20"/>
      <c r="AR862" s="20"/>
      <c r="AS862" s="20"/>
      <c r="AT862" s="20"/>
      <c r="AU862" s="20"/>
      <c r="AV862" s="20"/>
      <c r="AW862" s="20"/>
      <c r="AX862" s="20"/>
      <c r="AY862" s="20"/>
      <c r="AZ862" s="20"/>
      <c r="BA862" s="20"/>
      <c r="BB862" s="20"/>
      <c r="BC862" s="20"/>
    </row>
    <row r="863" ht="13.5" customHeight="1" spans="1:55">
      <c r="A863" s="20"/>
      <c r="B863" s="20"/>
      <c r="C863" s="20"/>
      <c r="D863" s="20"/>
      <c r="E863" s="20"/>
      <c r="F863" s="20"/>
      <c r="G863" s="52"/>
      <c r="H863" s="20"/>
      <c r="I863" s="20"/>
      <c r="J863" s="20"/>
      <c r="K863" s="20"/>
      <c r="L863" s="20"/>
      <c r="M863" s="20"/>
      <c r="N863" s="20"/>
      <c r="O863" s="20"/>
      <c r="P863" s="20"/>
      <c r="Q863" s="20"/>
      <c r="R863" s="20"/>
      <c r="S863" s="20"/>
      <c r="T863" s="20"/>
      <c r="U863" s="20"/>
      <c r="V863" s="20"/>
      <c r="W863" s="20"/>
      <c r="X863" s="20"/>
      <c r="Y863" s="20"/>
      <c r="Z863" s="20"/>
      <c r="AA863" s="20"/>
      <c r="AB863" s="20"/>
      <c r="AC863" s="20"/>
      <c r="AD863" s="20"/>
      <c r="AE863" s="20"/>
      <c r="AF863" s="20"/>
      <c r="AG863" s="20"/>
      <c r="AH863" s="20"/>
      <c r="AI863" s="20"/>
      <c r="AJ863" s="20"/>
      <c r="AK863" s="20"/>
      <c r="AL863" s="20"/>
      <c r="AM863" s="20"/>
      <c r="AN863" s="20"/>
      <c r="AO863" s="20"/>
      <c r="AP863" s="20"/>
      <c r="AQ863" s="20"/>
      <c r="AR863" s="20"/>
      <c r="AS863" s="20"/>
      <c r="AT863" s="20"/>
      <c r="AU863" s="20"/>
      <c r="AV863" s="20"/>
      <c r="AW863" s="20"/>
      <c r="AX863" s="20"/>
      <c r="AY863" s="20"/>
      <c r="AZ863" s="20"/>
      <c r="BA863" s="20"/>
      <c r="BB863" s="20"/>
      <c r="BC863" s="20"/>
    </row>
    <row r="864" ht="13.5" customHeight="1" spans="1:55">
      <c r="A864" s="20"/>
      <c r="B864" s="20"/>
      <c r="C864" s="20"/>
      <c r="D864" s="20"/>
      <c r="E864" s="20"/>
      <c r="F864" s="20"/>
      <c r="G864" s="52"/>
      <c r="H864" s="20"/>
      <c r="I864" s="20"/>
      <c r="J864" s="20"/>
      <c r="K864" s="20"/>
      <c r="L864" s="20"/>
      <c r="M864" s="20"/>
      <c r="N864" s="20"/>
      <c r="O864" s="20"/>
      <c r="P864" s="20"/>
      <c r="Q864" s="20"/>
      <c r="R864" s="20"/>
      <c r="S864" s="20"/>
      <c r="T864" s="20"/>
      <c r="U864" s="20"/>
      <c r="V864" s="20"/>
      <c r="W864" s="20"/>
      <c r="X864" s="20"/>
      <c r="Y864" s="20"/>
      <c r="Z864" s="20"/>
      <c r="AA864" s="20"/>
      <c r="AB864" s="20"/>
      <c r="AC864" s="20"/>
      <c r="AD864" s="20"/>
      <c r="AE864" s="20"/>
      <c r="AF864" s="20"/>
      <c r="AG864" s="20"/>
      <c r="AH864" s="20"/>
      <c r="AI864" s="20"/>
      <c r="AJ864" s="20"/>
      <c r="AK864" s="20"/>
      <c r="AL864" s="20"/>
      <c r="AM864" s="20"/>
      <c r="AN864" s="20"/>
      <c r="AO864" s="20"/>
      <c r="AP864" s="20"/>
      <c r="AQ864" s="20"/>
      <c r="AR864" s="20"/>
      <c r="AS864" s="20"/>
      <c r="AT864" s="20"/>
      <c r="AU864" s="20"/>
      <c r="AV864" s="20"/>
      <c r="AW864" s="20"/>
      <c r="AX864" s="20"/>
      <c r="AY864" s="20"/>
      <c r="AZ864" s="20"/>
      <c r="BA864" s="20"/>
      <c r="BB864" s="20"/>
      <c r="BC864" s="20"/>
    </row>
    <row r="865" ht="13.5" customHeight="1" spans="1:55">
      <c r="A865" s="20"/>
      <c r="B865" s="20"/>
      <c r="C865" s="20"/>
      <c r="D865" s="20"/>
      <c r="E865" s="20"/>
      <c r="F865" s="20"/>
      <c r="G865" s="52"/>
      <c r="H865" s="20"/>
      <c r="I865" s="20"/>
      <c r="J865" s="20"/>
      <c r="K865" s="20"/>
      <c r="L865" s="20"/>
      <c r="M865" s="20"/>
      <c r="N865" s="20"/>
      <c r="O865" s="20"/>
      <c r="P865" s="20"/>
      <c r="Q865" s="20"/>
      <c r="R865" s="20"/>
      <c r="S865" s="20"/>
      <c r="T865" s="20"/>
      <c r="U865" s="20"/>
      <c r="V865" s="20"/>
      <c r="W865" s="20"/>
      <c r="X865" s="20"/>
      <c r="Y865" s="20"/>
      <c r="Z865" s="20"/>
      <c r="AA865" s="20"/>
      <c r="AB865" s="20"/>
      <c r="AC865" s="20"/>
      <c r="AD865" s="20"/>
      <c r="AE865" s="20"/>
      <c r="AF865" s="20"/>
      <c r="AG865" s="20"/>
      <c r="AH865" s="20"/>
      <c r="AI865" s="20"/>
      <c r="AJ865" s="20"/>
      <c r="AK865" s="20"/>
      <c r="AL865" s="20"/>
      <c r="AM865" s="20"/>
      <c r="AN865" s="20"/>
      <c r="AO865" s="20"/>
      <c r="AP865" s="20"/>
      <c r="AQ865" s="20"/>
      <c r="AR865" s="20"/>
      <c r="AS865" s="20"/>
      <c r="AT865" s="20"/>
      <c r="AU865" s="20"/>
      <c r="AV865" s="20"/>
      <c r="AW865" s="20"/>
      <c r="AX865" s="20"/>
      <c r="AY865" s="20"/>
      <c r="AZ865" s="20"/>
      <c r="BA865" s="20"/>
      <c r="BB865" s="20"/>
      <c r="BC865" s="20"/>
    </row>
    <row r="866" ht="13.5" customHeight="1" spans="1:55">
      <c r="A866" s="20"/>
      <c r="B866" s="20"/>
      <c r="C866" s="20"/>
      <c r="D866" s="20"/>
      <c r="E866" s="20"/>
      <c r="F866" s="20"/>
      <c r="G866" s="52"/>
      <c r="H866" s="20"/>
      <c r="I866" s="20"/>
      <c r="J866" s="20"/>
      <c r="K866" s="20"/>
      <c r="L866" s="20"/>
      <c r="M866" s="20"/>
      <c r="N866" s="20"/>
      <c r="O866" s="20"/>
      <c r="P866" s="20"/>
      <c r="Q866" s="20"/>
      <c r="R866" s="20"/>
      <c r="S866" s="20"/>
      <c r="T866" s="20"/>
      <c r="U866" s="20"/>
      <c r="V866" s="20"/>
      <c r="W866" s="20"/>
      <c r="X866" s="20"/>
      <c r="Y866" s="20"/>
      <c r="Z866" s="20"/>
      <c r="AA866" s="20"/>
      <c r="AB866" s="20"/>
      <c r="AC866" s="20"/>
      <c r="AD866" s="20"/>
      <c r="AE866" s="20"/>
      <c r="AF866" s="20"/>
      <c r="AG866" s="20"/>
      <c r="AH866" s="20"/>
      <c r="AI866" s="20"/>
      <c r="AJ866" s="20"/>
      <c r="AK866" s="20"/>
      <c r="AL866" s="20"/>
      <c r="AM866" s="20"/>
      <c r="AN866" s="20"/>
      <c r="AO866" s="20"/>
      <c r="AP866" s="20"/>
      <c r="AQ866" s="20"/>
      <c r="AR866" s="20"/>
      <c r="AS866" s="20"/>
      <c r="AT866" s="20"/>
      <c r="AU866" s="20"/>
      <c r="AV866" s="20"/>
      <c r="AW866" s="20"/>
      <c r="AX866" s="20"/>
      <c r="AY866" s="20"/>
      <c r="AZ866" s="20"/>
      <c r="BA866" s="20"/>
      <c r="BB866" s="20"/>
      <c r="BC866" s="20"/>
    </row>
    <row r="867" ht="13.5" customHeight="1" spans="1:55">
      <c r="A867" s="20"/>
      <c r="B867" s="20"/>
      <c r="C867" s="20"/>
      <c r="D867" s="20"/>
      <c r="E867" s="20"/>
      <c r="F867" s="20"/>
      <c r="G867" s="52"/>
      <c r="H867" s="20"/>
      <c r="I867" s="20"/>
      <c r="J867" s="20"/>
      <c r="K867" s="20"/>
      <c r="L867" s="20"/>
      <c r="M867" s="20"/>
      <c r="N867" s="20"/>
      <c r="O867" s="20"/>
      <c r="P867" s="20"/>
      <c r="Q867" s="20"/>
      <c r="R867" s="20"/>
      <c r="S867" s="20"/>
      <c r="T867" s="20"/>
      <c r="U867" s="20"/>
      <c r="V867" s="20"/>
      <c r="W867" s="20"/>
      <c r="X867" s="20"/>
      <c r="Y867" s="20"/>
      <c r="Z867" s="20"/>
      <c r="AA867" s="20"/>
      <c r="AB867" s="20"/>
      <c r="AC867" s="20"/>
      <c r="AD867" s="20"/>
      <c r="AE867" s="20"/>
      <c r="AF867" s="20"/>
      <c r="AG867" s="20"/>
      <c r="AH867" s="20"/>
      <c r="AI867" s="20"/>
      <c r="AJ867" s="20"/>
      <c r="AK867" s="20"/>
      <c r="AL867" s="20"/>
      <c r="AM867" s="20"/>
      <c r="AN867" s="20"/>
      <c r="AO867" s="20"/>
      <c r="AP867" s="20"/>
      <c r="AQ867" s="20"/>
      <c r="AR867" s="20"/>
      <c r="AS867" s="20"/>
      <c r="AT867" s="20"/>
      <c r="AU867" s="20"/>
      <c r="AV867" s="20"/>
      <c r="AW867" s="20"/>
      <c r="AX867" s="20"/>
      <c r="AY867" s="20"/>
      <c r="AZ867" s="20"/>
      <c r="BA867" s="20"/>
      <c r="BB867" s="20"/>
      <c r="BC867" s="20"/>
    </row>
    <row r="868" ht="13.5" customHeight="1" spans="1:55">
      <c r="A868" s="20"/>
      <c r="B868" s="20"/>
      <c r="C868" s="20"/>
      <c r="D868" s="20"/>
      <c r="E868" s="20"/>
      <c r="F868" s="20"/>
      <c r="G868" s="52"/>
      <c r="H868" s="20"/>
      <c r="I868" s="20"/>
      <c r="J868" s="20"/>
      <c r="K868" s="20"/>
      <c r="L868" s="20"/>
      <c r="M868" s="20"/>
      <c r="N868" s="20"/>
      <c r="O868" s="20"/>
      <c r="P868" s="20"/>
      <c r="Q868" s="20"/>
      <c r="R868" s="20"/>
      <c r="S868" s="20"/>
      <c r="T868" s="20"/>
      <c r="U868" s="20"/>
      <c r="V868" s="20"/>
      <c r="W868" s="20"/>
      <c r="X868" s="20"/>
      <c r="Y868" s="20"/>
      <c r="Z868" s="20"/>
      <c r="AA868" s="20"/>
      <c r="AB868" s="20"/>
      <c r="AC868" s="20"/>
      <c r="AD868" s="20"/>
      <c r="AE868" s="20"/>
      <c r="AF868" s="20"/>
      <c r="AG868" s="20"/>
      <c r="AH868" s="20"/>
      <c r="AI868" s="20"/>
      <c r="AJ868" s="20"/>
      <c r="AK868" s="20"/>
      <c r="AL868" s="20"/>
      <c r="AM868" s="20"/>
      <c r="AN868" s="20"/>
      <c r="AO868" s="20"/>
      <c r="AP868" s="20"/>
      <c r="AQ868" s="20"/>
      <c r="AR868" s="20"/>
      <c r="AS868" s="20"/>
      <c r="AT868" s="20"/>
      <c r="AU868" s="20"/>
      <c r="AV868" s="20"/>
      <c r="AW868" s="20"/>
      <c r="AX868" s="20"/>
      <c r="AY868" s="20"/>
      <c r="AZ868" s="20"/>
      <c r="BA868" s="20"/>
      <c r="BB868" s="20"/>
      <c r="BC868" s="20"/>
    </row>
    <row r="869" ht="13.5" customHeight="1" spans="1:55">
      <c r="A869" s="20"/>
      <c r="B869" s="20"/>
      <c r="C869" s="20"/>
      <c r="D869" s="20"/>
      <c r="E869" s="20"/>
      <c r="F869" s="20"/>
      <c r="G869" s="52"/>
      <c r="H869" s="20"/>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row>
    <row r="870" ht="13.5" customHeight="1" spans="1:55">
      <c r="A870" s="20"/>
      <c r="B870" s="20"/>
      <c r="C870" s="20"/>
      <c r="D870" s="20"/>
      <c r="E870" s="20"/>
      <c r="F870" s="20"/>
      <c r="G870" s="52"/>
      <c r="H870" s="20"/>
      <c r="I870" s="20"/>
      <c r="J870" s="20"/>
      <c r="K870" s="20"/>
      <c r="L870" s="20"/>
      <c r="M870" s="20"/>
      <c r="N870" s="20"/>
      <c r="O870" s="20"/>
      <c r="P870" s="20"/>
      <c r="Q870" s="20"/>
      <c r="R870" s="20"/>
      <c r="S870" s="20"/>
      <c r="T870" s="20"/>
      <c r="U870" s="20"/>
      <c r="V870" s="20"/>
      <c r="W870" s="20"/>
      <c r="X870" s="20"/>
      <c r="Y870" s="20"/>
      <c r="Z870" s="20"/>
      <c r="AA870" s="20"/>
      <c r="AB870" s="20"/>
      <c r="AC870" s="20"/>
      <c r="AD870" s="20"/>
      <c r="AE870" s="20"/>
      <c r="AF870" s="20"/>
      <c r="AG870" s="20"/>
      <c r="AH870" s="20"/>
      <c r="AI870" s="20"/>
      <c r="AJ870" s="20"/>
      <c r="AK870" s="20"/>
      <c r="AL870" s="20"/>
      <c r="AM870" s="20"/>
      <c r="AN870" s="20"/>
      <c r="AO870" s="20"/>
      <c r="AP870" s="20"/>
      <c r="AQ870" s="20"/>
      <c r="AR870" s="20"/>
      <c r="AS870" s="20"/>
      <c r="AT870" s="20"/>
      <c r="AU870" s="20"/>
      <c r="AV870" s="20"/>
      <c r="AW870" s="20"/>
      <c r="AX870" s="20"/>
      <c r="AY870" s="20"/>
      <c r="AZ870" s="20"/>
      <c r="BA870" s="20"/>
      <c r="BB870" s="20"/>
      <c r="BC870" s="20"/>
    </row>
    <row r="871" ht="13.5" customHeight="1" spans="1:55">
      <c r="A871" s="20"/>
      <c r="B871" s="20"/>
      <c r="C871" s="20"/>
      <c r="D871" s="20"/>
      <c r="E871" s="20"/>
      <c r="F871" s="20"/>
      <c r="G871" s="52"/>
      <c r="H871" s="20"/>
      <c r="I871" s="20"/>
      <c r="J871" s="20"/>
      <c r="K871" s="20"/>
      <c r="L871" s="20"/>
      <c r="M871" s="20"/>
      <c r="N871" s="20"/>
      <c r="O871" s="20"/>
      <c r="P871" s="20"/>
      <c r="Q871" s="20"/>
      <c r="R871" s="20"/>
      <c r="S871" s="20"/>
      <c r="T871" s="20"/>
      <c r="U871" s="20"/>
      <c r="V871" s="20"/>
      <c r="W871" s="20"/>
      <c r="X871" s="20"/>
      <c r="Y871" s="20"/>
      <c r="Z871" s="20"/>
      <c r="AA871" s="20"/>
      <c r="AB871" s="20"/>
      <c r="AC871" s="20"/>
      <c r="AD871" s="20"/>
      <c r="AE871" s="20"/>
      <c r="AF871" s="20"/>
      <c r="AG871" s="20"/>
      <c r="AH871" s="20"/>
      <c r="AI871" s="20"/>
      <c r="AJ871" s="20"/>
      <c r="AK871" s="20"/>
      <c r="AL871" s="20"/>
      <c r="AM871" s="20"/>
      <c r="AN871" s="20"/>
      <c r="AO871" s="20"/>
      <c r="AP871" s="20"/>
      <c r="AQ871" s="20"/>
      <c r="AR871" s="20"/>
      <c r="AS871" s="20"/>
      <c r="AT871" s="20"/>
      <c r="AU871" s="20"/>
      <c r="AV871" s="20"/>
      <c r="AW871" s="20"/>
      <c r="AX871" s="20"/>
      <c r="AY871" s="20"/>
      <c r="AZ871" s="20"/>
      <c r="BA871" s="20"/>
      <c r="BB871" s="20"/>
      <c r="BC871" s="20"/>
    </row>
    <row r="872" ht="13.5" customHeight="1" spans="1:55">
      <c r="A872" s="20"/>
      <c r="B872" s="20"/>
      <c r="C872" s="20"/>
      <c r="D872" s="20"/>
      <c r="E872" s="20"/>
      <c r="F872" s="20"/>
      <c r="G872" s="52"/>
      <c r="H872" s="20"/>
      <c r="I872" s="20"/>
      <c r="J872" s="20"/>
      <c r="K872" s="20"/>
      <c r="L872" s="20"/>
      <c r="M872" s="20"/>
      <c r="N872" s="20"/>
      <c r="O872" s="20"/>
      <c r="P872" s="20"/>
      <c r="Q872" s="20"/>
      <c r="R872" s="20"/>
      <c r="S872" s="20"/>
      <c r="T872" s="20"/>
      <c r="U872" s="20"/>
      <c r="V872" s="20"/>
      <c r="W872" s="20"/>
      <c r="X872" s="20"/>
      <c r="Y872" s="20"/>
      <c r="Z872" s="20"/>
      <c r="AA872" s="20"/>
      <c r="AB872" s="20"/>
      <c r="AC872" s="20"/>
      <c r="AD872" s="20"/>
      <c r="AE872" s="20"/>
      <c r="AF872" s="20"/>
      <c r="AG872" s="20"/>
      <c r="AH872" s="20"/>
      <c r="AI872" s="20"/>
      <c r="AJ872" s="20"/>
      <c r="AK872" s="20"/>
      <c r="AL872" s="20"/>
      <c r="AM872" s="20"/>
      <c r="AN872" s="20"/>
      <c r="AO872" s="20"/>
      <c r="AP872" s="20"/>
      <c r="AQ872" s="20"/>
      <c r="AR872" s="20"/>
      <c r="AS872" s="20"/>
      <c r="AT872" s="20"/>
      <c r="AU872" s="20"/>
      <c r="AV872" s="20"/>
      <c r="AW872" s="20"/>
      <c r="AX872" s="20"/>
      <c r="AY872" s="20"/>
      <c r="AZ872" s="20"/>
      <c r="BA872" s="20"/>
      <c r="BB872" s="20"/>
      <c r="BC872" s="20"/>
    </row>
    <row r="873" ht="13.5" customHeight="1" spans="1:55">
      <c r="A873" s="20"/>
      <c r="B873" s="20"/>
      <c r="C873" s="20"/>
      <c r="D873" s="20"/>
      <c r="E873" s="20"/>
      <c r="F873" s="20"/>
      <c r="G873" s="52"/>
      <c r="H873" s="20"/>
      <c r="I873" s="20"/>
      <c r="J873" s="20"/>
      <c r="K873" s="20"/>
      <c r="L873" s="20"/>
      <c r="M873" s="20"/>
      <c r="N873" s="20"/>
      <c r="O873" s="20"/>
      <c r="P873" s="20"/>
      <c r="Q873" s="20"/>
      <c r="R873" s="20"/>
      <c r="S873" s="20"/>
      <c r="T873" s="20"/>
      <c r="U873" s="20"/>
      <c r="V873" s="20"/>
      <c r="W873" s="20"/>
      <c r="X873" s="20"/>
      <c r="Y873" s="20"/>
      <c r="Z873" s="20"/>
      <c r="AA873" s="20"/>
      <c r="AB873" s="20"/>
      <c r="AC873" s="20"/>
      <c r="AD873" s="20"/>
      <c r="AE873" s="20"/>
      <c r="AF873" s="20"/>
      <c r="AG873" s="20"/>
      <c r="AH873" s="20"/>
      <c r="AI873" s="20"/>
      <c r="AJ873" s="20"/>
      <c r="AK873" s="20"/>
      <c r="AL873" s="20"/>
      <c r="AM873" s="20"/>
      <c r="AN873" s="20"/>
      <c r="AO873" s="20"/>
      <c r="AP873" s="20"/>
      <c r="AQ873" s="20"/>
      <c r="AR873" s="20"/>
      <c r="AS873" s="20"/>
      <c r="AT873" s="20"/>
      <c r="AU873" s="20"/>
      <c r="AV873" s="20"/>
      <c r="AW873" s="20"/>
      <c r="AX873" s="20"/>
      <c r="AY873" s="20"/>
      <c r="AZ873" s="20"/>
      <c r="BA873" s="20"/>
      <c r="BB873" s="20"/>
      <c r="BC873" s="20"/>
    </row>
    <row r="874" ht="13.5" customHeight="1" spans="1:55">
      <c r="A874" s="20"/>
      <c r="B874" s="20"/>
      <c r="C874" s="20"/>
      <c r="D874" s="20"/>
      <c r="E874" s="20"/>
      <c r="F874" s="20"/>
      <c r="G874" s="52"/>
      <c r="H874" s="20"/>
      <c r="I874" s="20"/>
      <c r="J874" s="20"/>
      <c r="K874" s="20"/>
      <c r="L874" s="20"/>
      <c r="M874" s="20"/>
      <c r="N874" s="20"/>
      <c r="O874" s="20"/>
      <c r="P874" s="20"/>
      <c r="Q874" s="20"/>
      <c r="R874" s="20"/>
      <c r="S874" s="20"/>
      <c r="T874" s="20"/>
      <c r="U874" s="20"/>
      <c r="V874" s="20"/>
      <c r="W874" s="20"/>
      <c r="X874" s="20"/>
      <c r="Y874" s="20"/>
      <c r="Z874" s="20"/>
      <c r="AA874" s="20"/>
      <c r="AB874" s="20"/>
      <c r="AC874" s="20"/>
      <c r="AD874" s="20"/>
      <c r="AE874" s="20"/>
      <c r="AF874" s="20"/>
      <c r="AG874" s="20"/>
      <c r="AH874" s="20"/>
      <c r="AI874" s="20"/>
      <c r="AJ874" s="20"/>
      <c r="AK874" s="20"/>
      <c r="AL874" s="20"/>
      <c r="AM874" s="20"/>
      <c r="AN874" s="20"/>
      <c r="AO874" s="20"/>
      <c r="AP874" s="20"/>
      <c r="AQ874" s="20"/>
      <c r="AR874" s="20"/>
      <c r="AS874" s="20"/>
      <c r="AT874" s="20"/>
      <c r="AU874" s="20"/>
      <c r="AV874" s="20"/>
      <c r="AW874" s="20"/>
      <c r="AX874" s="20"/>
      <c r="AY874" s="20"/>
      <c r="AZ874" s="20"/>
      <c r="BA874" s="20"/>
      <c r="BB874" s="20"/>
      <c r="BC874" s="20"/>
    </row>
    <row r="875" ht="13.5" customHeight="1" spans="1:55">
      <c r="A875" s="20"/>
      <c r="B875" s="20"/>
      <c r="C875" s="20"/>
      <c r="D875" s="20"/>
      <c r="E875" s="20"/>
      <c r="F875" s="20"/>
      <c r="G875" s="52"/>
      <c r="H875" s="20"/>
      <c r="I875" s="20"/>
      <c r="J875" s="20"/>
      <c r="K875" s="20"/>
      <c r="L875" s="20"/>
      <c r="M875" s="20"/>
      <c r="N875" s="20"/>
      <c r="O875" s="20"/>
      <c r="P875" s="20"/>
      <c r="Q875" s="20"/>
      <c r="R875" s="20"/>
      <c r="S875" s="20"/>
      <c r="T875" s="20"/>
      <c r="U875" s="20"/>
      <c r="V875" s="20"/>
      <c r="W875" s="20"/>
      <c r="X875" s="20"/>
      <c r="Y875" s="20"/>
      <c r="Z875" s="20"/>
      <c r="AA875" s="20"/>
      <c r="AB875" s="20"/>
      <c r="AC875" s="20"/>
      <c r="AD875" s="20"/>
      <c r="AE875" s="20"/>
      <c r="AF875" s="20"/>
      <c r="AG875" s="20"/>
      <c r="AH875" s="20"/>
      <c r="AI875" s="20"/>
      <c r="AJ875" s="20"/>
      <c r="AK875" s="20"/>
      <c r="AL875" s="20"/>
      <c r="AM875" s="20"/>
      <c r="AN875" s="20"/>
      <c r="AO875" s="20"/>
      <c r="AP875" s="20"/>
      <c r="AQ875" s="20"/>
      <c r="AR875" s="20"/>
      <c r="AS875" s="20"/>
      <c r="AT875" s="20"/>
      <c r="AU875" s="20"/>
      <c r="AV875" s="20"/>
      <c r="AW875" s="20"/>
      <c r="AX875" s="20"/>
      <c r="AY875" s="20"/>
      <c r="AZ875" s="20"/>
      <c r="BA875" s="20"/>
      <c r="BB875" s="20"/>
      <c r="BC875" s="20"/>
    </row>
    <row r="876" ht="13.5" customHeight="1" spans="1:55">
      <c r="A876" s="20"/>
      <c r="B876" s="20"/>
      <c r="C876" s="20"/>
      <c r="D876" s="20"/>
      <c r="E876" s="20"/>
      <c r="F876" s="20"/>
      <c r="G876" s="52"/>
      <c r="H876" s="20"/>
      <c r="I876" s="20"/>
      <c r="J876" s="20"/>
      <c r="K876" s="20"/>
      <c r="L876" s="20"/>
      <c r="M876" s="20"/>
      <c r="N876" s="20"/>
      <c r="O876" s="20"/>
      <c r="P876" s="20"/>
      <c r="Q876" s="20"/>
      <c r="R876" s="20"/>
      <c r="S876" s="20"/>
      <c r="T876" s="20"/>
      <c r="U876" s="20"/>
      <c r="V876" s="20"/>
      <c r="W876" s="20"/>
      <c r="X876" s="20"/>
      <c r="Y876" s="20"/>
      <c r="Z876" s="20"/>
      <c r="AA876" s="20"/>
      <c r="AB876" s="20"/>
      <c r="AC876" s="20"/>
      <c r="AD876" s="20"/>
      <c r="AE876" s="20"/>
      <c r="AF876" s="20"/>
      <c r="AG876" s="20"/>
      <c r="AH876" s="20"/>
      <c r="AI876" s="20"/>
      <c r="AJ876" s="20"/>
      <c r="AK876" s="20"/>
      <c r="AL876" s="20"/>
      <c r="AM876" s="20"/>
      <c r="AN876" s="20"/>
      <c r="AO876" s="20"/>
      <c r="AP876" s="20"/>
      <c r="AQ876" s="20"/>
      <c r="AR876" s="20"/>
      <c r="AS876" s="20"/>
      <c r="AT876" s="20"/>
      <c r="AU876" s="20"/>
      <c r="AV876" s="20"/>
      <c r="AW876" s="20"/>
      <c r="AX876" s="20"/>
      <c r="AY876" s="20"/>
      <c r="AZ876" s="20"/>
      <c r="BA876" s="20"/>
      <c r="BB876" s="20"/>
      <c r="BC876" s="20"/>
    </row>
    <row r="877" ht="13.5" customHeight="1" spans="1:55">
      <c r="A877" s="20"/>
      <c r="B877" s="20"/>
      <c r="C877" s="20"/>
      <c r="D877" s="20"/>
      <c r="E877" s="20"/>
      <c r="F877" s="20"/>
      <c r="G877" s="52"/>
      <c r="H877" s="20"/>
      <c r="I877" s="20"/>
      <c r="J877" s="20"/>
      <c r="K877" s="20"/>
      <c r="L877" s="20"/>
      <c r="M877" s="20"/>
      <c r="N877" s="20"/>
      <c r="O877" s="20"/>
      <c r="P877" s="20"/>
      <c r="Q877" s="20"/>
      <c r="R877" s="20"/>
      <c r="S877" s="20"/>
      <c r="T877" s="20"/>
      <c r="U877" s="20"/>
      <c r="V877" s="20"/>
      <c r="W877" s="20"/>
      <c r="X877" s="20"/>
      <c r="Y877" s="20"/>
      <c r="Z877" s="20"/>
      <c r="AA877" s="20"/>
      <c r="AB877" s="20"/>
      <c r="AC877" s="20"/>
      <c r="AD877" s="20"/>
      <c r="AE877" s="20"/>
      <c r="AF877" s="20"/>
      <c r="AG877" s="20"/>
      <c r="AH877" s="20"/>
      <c r="AI877" s="20"/>
      <c r="AJ877" s="20"/>
      <c r="AK877" s="20"/>
      <c r="AL877" s="20"/>
      <c r="AM877" s="20"/>
      <c r="AN877" s="20"/>
      <c r="AO877" s="20"/>
      <c r="AP877" s="20"/>
      <c r="AQ877" s="20"/>
      <c r="AR877" s="20"/>
      <c r="AS877" s="20"/>
      <c r="AT877" s="20"/>
      <c r="AU877" s="20"/>
      <c r="AV877" s="20"/>
      <c r="AW877" s="20"/>
      <c r="AX877" s="20"/>
      <c r="AY877" s="20"/>
      <c r="AZ877" s="20"/>
      <c r="BA877" s="20"/>
      <c r="BB877" s="20"/>
      <c r="BC877" s="20"/>
    </row>
    <row r="878" ht="13.5" customHeight="1" spans="1:55">
      <c r="A878" s="20"/>
      <c r="B878" s="20"/>
      <c r="C878" s="20"/>
      <c r="D878" s="20"/>
      <c r="E878" s="20"/>
      <c r="F878" s="20"/>
      <c r="G878" s="52"/>
      <c r="H878" s="20"/>
      <c r="I878" s="20"/>
      <c r="J878" s="20"/>
      <c r="K878" s="20"/>
      <c r="L878" s="20"/>
      <c r="M878" s="20"/>
      <c r="N878" s="20"/>
      <c r="O878" s="20"/>
      <c r="P878" s="20"/>
      <c r="Q878" s="20"/>
      <c r="R878" s="20"/>
      <c r="S878" s="20"/>
      <c r="T878" s="20"/>
      <c r="U878" s="20"/>
      <c r="V878" s="20"/>
      <c r="W878" s="20"/>
      <c r="X878" s="20"/>
      <c r="Y878" s="20"/>
      <c r="Z878" s="20"/>
      <c r="AA878" s="20"/>
      <c r="AB878" s="20"/>
      <c r="AC878" s="20"/>
      <c r="AD878" s="20"/>
      <c r="AE878" s="20"/>
      <c r="AF878" s="20"/>
      <c r="AG878" s="20"/>
      <c r="AH878" s="20"/>
      <c r="AI878" s="20"/>
      <c r="AJ878" s="20"/>
      <c r="AK878" s="20"/>
      <c r="AL878" s="20"/>
      <c r="AM878" s="20"/>
      <c r="AN878" s="20"/>
      <c r="AO878" s="20"/>
      <c r="AP878" s="20"/>
      <c r="AQ878" s="20"/>
      <c r="AR878" s="20"/>
      <c r="AS878" s="20"/>
      <c r="AT878" s="20"/>
      <c r="AU878" s="20"/>
      <c r="AV878" s="20"/>
      <c r="AW878" s="20"/>
      <c r="AX878" s="20"/>
      <c r="AY878" s="20"/>
      <c r="AZ878" s="20"/>
      <c r="BA878" s="20"/>
      <c r="BB878" s="20"/>
      <c r="BC878" s="20"/>
    </row>
    <row r="879" ht="13.5" customHeight="1" spans="1:55">
      <c r="A879" s="20"/>
      <c r="B879" s="20"/>
      <c r="C879" s="20"/>
      <c r="D879" s="20"/>
      <c r="E879" s="20"/>
      <c r="F879" s="20"/>
      <c r="G879" s="52"/>
      <c r="H879" s="20"/>
      <c r="I879" s="20"/>
      <c r="J879" s="20"/>
      <c r="K879" s="20"/>
      <c r="L879" s="20"/>
      <c r="M879" s="20"/>
      <c r="N879" s="20"/>
      <c r="O879" s="20"/>
      <c r="P879" s="20"/>
      <c r="Q879" s="20"/>
      <c r="R879" s="20"/>
      <c r="S879" s="20"/>
      <c r="T879" s="20"/>
      <c r="U879" s="20"/>
      <c r="V879" s="20"/>
      <c r="W879" s="20"/>
      <c r="X879" s="20"/>
      <c r="Y879" s="20"/>
      <c r="Z879" s="20"/>
      <c r="AA879" s="20"/>
      <c r="AB879" s="20"/>
      <c r="AC879" s="20"/>
      <c r="AD879" s="20"/>
      <c r="AE879" s="20"/>
      <c r="AF879" s="20"/>
      <c r="AG879" s="20"/>
      <c r="AH879" s="20"/>
      <c r="AI879" s="20"/>
      <c r="AJ879" s="20"/>
      <c r="AK879" s="20"/>
      <c r="AL879" s="20"/>
      <c r="AM879" s="20"/>
      <c r="AN879" s="20"/>
      <c r="AO879" s="20"/>
      <c r="AP879" s="20"/>
      <c r="AQ879" s="20"/>
      <c r="AR879" s="20"/>
      <c r="AS879" s="20"/>
      <c r="AT879" s="20"/>
      <c r="AU879" s="20"/>
      <c r="AV879" s="20"/>
      <c r="AW879" s="20"/>
      <c r="AX879" s="20"/>
      <c r="AY879" s="20"/>
      <c r="AZ879" s="20"/>
      <c r="BA879" s="20"/>
      <c r="BB879" s="20"/>
      <c r="BC879" s="20"/>
    </row>
    <row r="880" ht="13.5" customHeight="1" spans="1:55">
      <c r="A880" s="20"/>
      <c r="B880" s="20"/>
      <c r="C880" s="20"/>
      <c r="D880" s="20"/>
      <c r="E880" s="20"/>
      <c r="F880" s="20"/>
      <c r="G880" s="52"/>
      <c r="H880" s="20"/>
      <c r="I880" s="20"/>
      <c r="J880" s="20"/>
      <c r="K880" s="20"/>
      <c r="L880" s="20"/>
      <c r="M880" s="20"/>
      <c r="N880" s="20"/>
      <c r="O880" s="20"/>
      <c r="P880" s="20"/>
      <c r="Q880" s="20"/>
      <c r="R880" s="20"/>
      <c r="S880" s="20"/>
      <c r="T880" s="20"/>
      <c r="U880" s="20"/>
      <c r="V880" s="20"/>
      <c r="W880" s="20"/>
      <c r="X880" s="20"/>
      <c r="Y880" s="20"/>
      <c r="Z880" s="20"/>
      <c r="AA880" s="20"/>
      <c r="AB880" s="20"/>
      <c r="AC880" s="20"/>
      <c r="AD880" s="20"/>
      <c r="AE880" s="20"/>
      <c r="AF880" s="20"/>
      <c r="AG880" s="20"/>
      <c r="AH880" s="20"/>
      <c r="AI880" s="20"/>
      <c r="AJ880" s="20"/>
      <c r="AK880" s="20"/>
      <c r="AL880" s="20"/>
      <c r="AM880" s="20"/>
      <c r="AN880" s="20"/>
      <c r="AO880" s="20"/>
      <c r="AP880" s="20"/>
      <c r="AQ880" s="20"/>
      <c r="AR880" s="20"/>
      <c r="AS880" s="20"/>
      <c r="AT880" s="20"/>
      <c r="AU880" s="20"/>
      <c r="AV880" s="20"/>
      <c r="AW880" s="20"/>
      <c r="AX880" s="20"/>
      <c r="AY880" s="20"/>
      <c r="AZ880" s="20"/>
      <c r="BA880" s="20"/>
      <c r="BB880" s="20"/>
      <c r="BC880" s="20"/>
    </row>
    <row r="881" ht="13.5" customHeight="1" spans="1:55">
      <c r="A881" s="20"/>
      <c r="B881" s="20"/>
      <c r="C881" s="20"/>
      <c r="D881" s="20"/>
      <c r="E881" s="20"/>
      <c r="F881" s="20"/>
      <c r="G881" s="52"/>
      <c r="H881" s="20"/>
      <c r="I881" s="20"/>
      <c r="J881" s="20"/>
      <c r="K881" s="20"/>
      <c r="L881" s="20"/>
      <c r="M881" s="20"/>
      <c r="N881" s="20"/>
      <c r="O881" s="20"/>
      <c r="P881" s="20"/>
      <c r="Q881" s="20"/>
      <c r="R881" s="20"/>
      <c r="S881" s="20"/>
      <c r="T881" s="20"/>
      <c r="U881" s="20"/>
      <c r="V881" s="20"/>
      <c r="W881" s="20"/>
      <c r="X881" s="20"/>
      <c r="Y881" s="20"/>
      <c r="Z881" s="20"/>
      <c r="AA881" s="20"/>
      <c r="AB881" s="20"/>
      <c r="AC881" s="20"/>
      <c r="AD881" s="20"/>
      <c r="AE881" s="20"/>
      <c r="AF881" s="20"/>
      <c r="AG881" s="20"/>
      <c r="AH881" s="20"/>
      <c r="AI881" s="20"/>
      <c r="AJ881" s="20"/>
      <c r="AK881" s="20"/>
      <c r="AL881" s="20"/>
      <c r="AM881" s="20"/>
      <c r="AN881" s="20"/>
      <c r="AO881" s="20"/>
      <c r="AP881" s="20"/>
      <c r="AQ881" s="20"/>
      <c r="AR881" s="20"/>
      <c r="AS881" s="20"/>
      <c r="AT881" s="20"/>
      <c r="AU881" s="20"/>
      <c r="AV881" s="20"/>
      <c r="AW881" s="20"/>
      <c r="AX881" s="20"/>
      <c r="AY881" s="20"/>
      <c r="AZ881" s="20"/>
      <c r="BA881" s="20"/>
      <c r="BB881" s="20"/>
      <c r="BC881" s="20"/>
    </row>
    <row r="882" ht="13.5" customHeight="1" spans="1:55">
      <c r="A882" s="20"/>
      <c r="B882" s="20"/>
      <c r="C882" s="20"/>
      <c r="D882" s="20"/>
      <c r="E882" s="20"/>
      <c r="F882" s="20"/>
      <c r="G882" s="52"/>
      <c r="H882" s="20"/>
      <c r="I882" s="20"/>
      <c r="J882" s="20"/>
      <c r="K882" s="20"/>
      <c r="L882" s="20"/>
      <c r="M882" s="20"/>
      <c r="N882" s="20"/>
      <c r="O882" s="20"/>
      <c r="P882" s="20"/>
      <c r="Q882" s="20"/>
      <c r="R882" s="20"/>
      <c r="S882" s="20"/>
      <c r="T882" s="20"/>
      <c r="U882" s="20"/>
      <c r="V882" s="20"/>
      <c r="W882" s="20"/>
      <c r="X882" s="20"/>
      <c r="Y882" s="20"/>
      <c r="Z882" s="20"/>
      <c r="AA882" s="20"/>
      <c r="AB882" s="20"/>
      <c r="AC882" s="20"/>
      <c r="AD882" s="20"/>
      <c r="AE882" s="20"/>
      <c r="AF882" s="20"/>
      <c r="AG882" s="20"/>
      <c r="AH882" s="20"/>
      <c r="AI882" s="20"/>
      <c r="AJ882" s="20"/>
      <c r="AK882" s="20"/>
      <c r="AL882" s="20"/>
      <c r="AM882" s="20"/>
      <c r="AN882" s="20"/>
      <c r="AO882" s="20"/>
      <c r="AP882" s="20"/>
      <c r="AQ882" s="20"/>
      <c r="AR882" s="20"/>
      <c r="AS882" s="20"/>
      <c r="AT882" s="20"/>
      <c r="AU882" s="20"/>
      <c r="AV882" s="20"/>
      <c r="AW882" s="20"/>
      <c r="AX882" s="20"/>
      <c r="AY882" s="20"/>
      <c r="AZ882" s="20"/>
      <c r="BA882" s="20"/>
      <c r="BB882" s="20"/>
      <c r="BC882" s="20"/>
    </row>
    <row r="883" ht="13.5" customHeight="1" spans="1:55">
      <c r="A883" s="20"/>
      <c r="B883" s="20"/>
      <c r="C883" s="20"/>
      <c r="D883" s="20"/>
      <c r="E883" s="20"/>
      <c r="F883" s="20"/>
      <c r="G883" s="52"/>
      <c r="H883" s="20"/>
      <c r="I883" s="20"/>
      <c r="J883" s="20"/>
      <c r="K883" s="20"/>
      <c r="L883" s="20"/>
      <c r="M883" s="20"/>
      <c r="N883" s="20"/>
      <c r="O883" s="20"/>
      <c r="P883" s="20"/>
      <c r="Q883" s="20"/>
      <c r="R883" s="20"/>
      <c r="S883" s="20"/>
      <c r="T883" s="20"/>
      <c r="U883" s="20"/>
      <c r="V883" s="20"/>
      <c r="W883" s="20"/>
      <c r="X883" s="20"/>
      <c r="Y883" s="20"/>
      <c r="Z883" s="20"/>
      <c r="AA883" s="20"/>
      <c r="AB883" s="20"/>
      <c r="AC883" s="20"/>
      <c r="AD883" s="20"/>
      <c r="AE883" s="20"/>
      <c r="AF883" s="20"/>
      <c r="AG883" s="20"/>
      <c r="AH883" s="20"/>
      <c r="AI883" s="20"/>
      <c r="AJ883" s="20"/>
      <c r="AK883" s="20"/>
      <c r="AL883" s="20"/>
      <c r="AM883" s="20"/>
      <c r="AN883" s="20"/>
      <c r="AO883" s="20"/>
      <c r="AP883" s="20"/>
      <c r="AQ883" s="20"/>
      <c r="AR883" s="20"/>
      <c r="AS883" s="20"/>
      <c r="AT883" s="20"/>
      <c r="AU883" s="20"/>
      <c r="AV883" s="20"/>
      <c r="AW883" s="20"/>
      <c r="AX883" s="20"/>
      <c r="AY883" s="20"/>
      <c r="AZ883" s="20"/>
      <c r="BA883" s="20"/>
      <c r="BB883" s="20"/>
      <c r="BC883" s="20"/>
    </row>
    <row r="884" ht="13.5" customHeight="1" spans="1:55">
      <c r="A884" s="20"/>
      <c r="B884" s="20"/>
      <c r="C884" s="20"/>
      <c r="D884" s="20"/>
      <c r="E884" s="20"/>
      <c r="F884" s="20"/>
      <c r="G884" s="52"/>
      <c r="H884" s="20"/>
      <c r="I884" s="20"/>
      <c r="J884" s="20"/>
      <c r="K884" s="20"/>
      <c r="L884" s="20"/>
      <c r="M884" s="20"/>
      <c r="N884" s="20"/>
      <c r="O884" s="20"/>
      <c r="P884" s="20"/>
      <c r="Q884" s="20"/>
      <c r="R884" s="20"/>
      <c r="S884" s="20"/>
      <c r="T884" s="20"/>
      <c r="U884" s="20"/>
      <c r="V884" s="20"/>
      <c r="W884" s="20"/>
      <c r="X884" s="20"/>
      <c r="Y884" s="20"/>
      <c r="Z884" s="20"/>
      <c r="AA884" s="20"/>
      <c r="AB884" s="20"/>
      <c r="AC884" s="20"/>
      <c r="AD884" s="20"/>
      <c r="AE884" s="20"/>
      <c r="AF884" s="20"/>
      <c r="AG884" s="20"/>
      <c r="AH884" s="20"/>
      <c r="AI884" s="20"/>
      <c r="AJ884" s="20"/>
      <c r="AK884" s="20"/>
      <c r="AL884" s="20"/>
      <c r="AM884" s="20"/>
      <c r="AN884" s="20"/>
      <c r="AO884" s="20"/>
      <c r="AP884" s="20"/>
      <c r="AQ884" s="20"/>
      <c r="AR884" s="20"/>
      <c r="AS884" s="20"/>
      <c r="AT884" s="20"/>
      <c r="AU884" s="20"/>
      <c r="AV884" s="20"/>
      <c r="AW884" s="20"/>
      <c r="AX884" s="20"/>
      <c r="AY884" s="20"/>
      <c r="AZ884" s="20"/>
      <c r="BA884" s="20"/>
      <c r="BB884" s="20"/>
      <c r="BC884" s="20"/>
    </row>
    <row r="885" ht="13.5" customHeight="1" spans="1:55">
      <c r="A885" s="20"/>
      <c r="B885" s="20"/>
      <c r="C885" s="20"/>
      <c r="D885" s="20"/>
      <c r="E885" s="20"/>
      <c r="F885" s="20"/>
      <c r="G885" s="52"/>
      <c r="H885" s="20"/>
      <c r="I885" s="20"/>
      <c r="J885" s="20"/>
      <c r="K885" s="20"/>
      <c r="L885" s="20"/>
      <c r="M885" s="20"/>
      <c r="N885" s="20"/>
      <c r="O885" s="20"/>
      <c r="P885" s="20"/>
      <c r="Q885" s="20"/>
      <c r="R885" s="20"/>
      <c r="S885" s="20"/>
      <c r="T885" s="20"/>
      <c r="U885" s="20"/>
      <c r="V885" s="20"/>
      <c r="W885" s="20"/>
      <c r="X885" s="20"/>
      <c r="Y885" s="20"/>
      <c r="Z885" s="20"/>
      <c r="AA885" s="20"/>
      <c r="AB885" s="20"/>
      <c r="AC885" s="20"/>
      <c r="AD885" s="20"/>
      <c r="AE885" s="20"/>
      <c r="AF885" s="20"/>
      <c r="AG885" s="20"/>
      <c r="AH885" s="20"/>
      <c r="AI885" s="20"/>
      <c r="AJ885" s="20"/>
      <c r="AK885" s="20"/>
      <c r="AL885" s="20"/>
      <c r="AM885" s="20"/>
      <c r="AN885" s="20"/>
      <c r="AO885" s="20"/>
      <c r="AP885" s="20"/>
      <c r="AQ885" s="20"/>
      <c r="AR885" s="20"/>
      <c r="AS885" s="20"/>
      <c r="AT885" s="20"/>
      <c r="AU885" s="20"/>
      <c r="AV885" s="20"/>
      <c r="AW885" s="20"/>
      <c r="AX885" s="20"/>
      <c r="AY885" s="20"/>
      <c r="AZ885" s="20"/>
      <c r="BA885" s="20"/>
      <c r="BB885" s="20"/>
      <c r="BC885" s="20"/>
    </row>
    <row r="886" ht="13.5" customHeight="1" spans="1:55">
      <c r="A886" s="20"/>
      <c r="B886" s="20"/>
      <c r="C886" s="20"/>
      <c r="D886" s="20"/>
      <c r="E886" s="20"/>
      <c r="F886" s="20"/>
      <c r="G886" s="52"/>
      <c r="H886" s="20"/>
      <c r="I886" s="20"/>
      <c r="J886" s="20"/>
      <c r="K886" s="20"/>
      <c r="L886" s="20"/>
      <c r="M886" s="20"/>
      <c r="N886" s="20"/>
      <c r="O886" s="20"/>
      <c r="P886" s="20"/>
      <c r="Q886" s="20"/>
      <c r="R886" s="20"/>
      <c r="S886" s="20"/>
      <c r="T886" s="20"/>
      <c r="U886" s="20"/>
      <c r="V886" s="20"/>
      <c r="W886" s="20"/>
      <c r="X886" s="20"/>
      <c r="Y886" s="20"/>
      <c r="Z886" s="20"/>
      <c r="AA886" s="20"/>
      <c r="AB886" s="20"/>
      <c r="AC886" s="20"/>
      <c r="AD886" s="20"/>
      <c r="AE886" s="20"/>
      <c r="AF886" s="20"/>
      <c r="AG886" s="20"/>
      <c r="AH886" s="20"/>
      <c r="AI886" s="20"/>
      <c r="AJ886" s="20"/>
      <c r="AK886" s="20"/>
      <c r="AL886" s="20"/>
      <c r="AM886" s="20"/>
      <c r="AN886" s="20"/>
      <c r="AO886" s="20"/>
      <c r="AP886" s="20"/>
      <c r="AQ886" s="20"/>
      <c r="AR886" s="20"/>
      <c r="AS886" s="20"/>
      <c r="AT886" s="20"/>
      <c r="AU886" s="20"/>
      <c r="AV886" s="20"/>
      <c r="AW886" s="20"/>
      <c r="AX886" s="20"/>
      <c r="AY886" s="20"/>
      <c r="AZ886" s="20"/>
      <c r="BA886" s="20"/>
      <c r="BB886" s="20"/>
      <c r="BC886" s="20"/>
    </row>
    <row r="887" ht="13.5" customHeight="1" spans="1:55">
      <c r="A887" s="20"/>
      <c r="B887" s="20"/>
      <c r="C887" s="20"/>
      <c r="D887" s="20"/>
      <c r="E887" s="20"/>
      <c r="F887" s="20"/>
      <c r="G887" s="52"/>
      <c r="H887" s="20"/>
      <c r="I887" s="20"/>
      <c r="J887" s="20"/>
      <c r="K887" s="20"/>
      <c r="L887" s="20"/>
      <c r="M887" s="20"/>
      <c r="N887" s="20"/>
      <c r="O887" s="20"/>
      <c r="P887" s="20"/>
      <c r="Q887" s="20"/>
      <c r="R887" s="20"/>
      <c r="S887" s="20"/>
      <c r="T887" s="20"/>
      <c r="U887" s="20"/>
      <c r="V887" s="20"/>
      <c r="W887" s="20"/>
      <c r="X887" s="20"/>
      <c r="Y887" s="20"/>
      <c r="Z887" s="20"/>
      <c r="AA887" s="20"/>
      <c r="AB887" s="20"/>
      <c r="AC887" s="20"/>
      <c r="AD887" s="20"/>
      <c r="AE887" s="20"/>
      <c r="AF887" s="20"/>
      <c r="AG887" s="20"/>
      <c r="AH887" s="20"/>
      <c r="AI887" s="20"/>
      <c r="AJ887" s="20"/>
      <c r="AK887" s="20"/>
      <c r="AL887" s="20"/>
      <c r="AM887" s="20"/>
      <c r="AN887" s="20"/>
      <c r="AO887" s="20"/>
      <c r="AP887" s="20"/>
      <c r="AQ887" s="20"/>
      <c r="AR887" s="20"/>
      <c r="AS887" s="20"/>
      <c r="AT887" s="20"/>
      <c r="AU887" s="20"/>
      <c r="AV887" s="20"/>
      <c r="AW887" s="20"/>
      <c r="AX887" s="20"/>
      <c r="AY887" s="20"/>
      <c r="AZ887" s="20"/>
      <c r="BA887" s="20"/>
      <c r="BB887" s="20"/>
      <c r="BC887" s="20"/>
    </row>
    <row r="888" ht="13.5" customHeight="1" spans="1:55">
      <c r="A888" s="20"/>
      <c r="B888" s="20"/>
      <c r="C888" s="20"/>
      <c r="D888" s="20"/>
      <c r="E888" s="20"/>
      <c r="F888" s="20"/>
      <c r="G888" s="52"/>
      <c r="H888" s="20"/>
      <c r="I888" s="20"/>
      <c r="J888" s="20"/>
      <c r="K888" s="20"/>
      <c r="L888" s="20"/>
      <c r="M888" s="20"/>
      <c r="N888" s="20"/>
      <c r="O888" s="20"/>
      <c r="P888" s="20"/>
      <c r="Q888" s="20"/>
      <c r="R888" s="20"/>
      <c r="S888" s="20"/>
      <c r="T888" s="20"/>
      <c r="U888" s="20"/>
      <c r="V888" s="20"/>
      <c r="W888" s="20"/>
      <c r="X888" s="20"/>
      <c r="Y888" s="20"/>
      <c r="Z888" s="20"/>
      <c r="AA888" s="20"/>
      <c r="AB888" s="20"/>
      <c r="AC888" s="20"/>
      <c r="AD888" s="20"/>
      <c r="AE888" s="20"/>
      <c r="AF888" s="20"/>
      <c r="AG888" s="20"/>
      <c r="AH888" s="20"/>
      <c r="AI888" s="20"/>
      <c r="AJ888" s="20"/>
      <c r="AK888" s="20"/>
      <c r="AL888" s="20"/>
      <c r="AM888" s="20"/>
      <c r="AN888" s="20"/>
      <c r="AO888" s="20"/>
      <c r="AP888" s="20"/>
      <c r="AQ888" s="20"/>
      <c r="AR888" s="20"/>
      <c r="AS888" s="20"/>
      <c r="AT888" s="20"/>
      <c r="AU888" s="20"/>
      <c r="AV888" s="20"/>
      <c r="AW888" s="20"/>
      <c r="AX888" s="20"/>
      <c r="AY888" s="20"/>
      <c r="AZ888" s="20"/>
      <c r="BA888" s="20"/>
      <c r="BB888" s="20"/>
      <c r="BC888" s="20"/>
    </row>
    <row r="889" ht="13.5" customHeight="1" spans="1:55">
      <c r="A889" s="20"/>
      <c r="B889" s="20"/>
      <c r="C889" s="20"/>
      <c r="D889" s="20"/>
      <c r="E889" s="20"/>
      <c r="F889" s="20"/>
      <c r="G889" s="52"/>
      <c r="H889" s="20"/>
      <c r="I889" s="20"/>
      <c r="J889" s="20"/>
      <c r="K889" s="20"/>
      <c r="L889" s="20"/>
      <c r="M889" s="20"/>
      <c r="N889" s="20"/>
      <c r="O889" s="20"/>
      <c r="P889" s="20"/>
      <c r="Q889" s="20"/>
      <c r="R889" s="20"/>
      <c r="S889" s="20"/>
      <c r="T889" s="20"/>
      <c r="U889" s="20"/>
      <c r="V889" s="20"/>
      <c r="W889" s="20"/>
      <c r="X889" s="20"/>
      <c r="Y889" s="20"/>
      <c r="Z889" s="20"/>
      <c r="AA889" s="20"/>
      <c r="AB889" s="20"/>
      <c r="AC889" s="20"/>
      <c r="AD889" s="20"/>
      <c r="AE889" s="20"/>
      <c r="AF889" s="20"/>
      <c r="AG889" s="20"/>
      <c r="AH889" s="20"/>
      <c r="AI889" s="20"/>
      <c r="AJ889" s="20"/>
      <c r="AK889" s="20"/>
      <c r="AL889" s="20"/>
      <c r="AM889" s="20"/>
      <c r="AN889" s="20"/>
      <c r="AO889" s="20"/>
      <c r="AP889" s="20"/>
      <c r="AQ889" s="20"/>
      <c r="AR889" s="20"/>
      <c r="AS889" s="20"/>
      <c r="AT889" s="20"/>
      <c r="AU889" s="20"/>
      <c r="AV889" s="20"/>
      <c r="AW889" s="20"/>
      <c r="AX889" s="20"/>
      <c r="AY889" s="20"/>
      <c r="AZ889" s="20"/>
      <c r="BA889" s="20"/>
      <c r="BB889" s="20"/>
      <c r="BC889" s="20"/>
    </row>
    <row r="890" ht="13.5" customHeight="1" spans="1:55">
      <c r="A890" s="20"/>
      <c r="B890" s="20"/>
      <c r="C890" s="20"/>
      <c r="D890" s="20"/>
      <c r="E890" s="20"/>
      <c r="F890" s="20"/>
      <c r="G890" s="52"/>
      <c r="H890" s="20"/>
      <c r="I890" s="20"/>
      <c r="J890" s="20"/>
      <c r="K890" s="20"/>
      <c r="L890" s="20"/>
      <c r="M890" s="20"/>
      <c r="N890" s="20"/>
      <c r="O890" s="20"/>
      <c r="P890" s="20"/>
      <c r="Q890" s="20"/>
      <c r="R890" s="20"/>
      <c r="S890" s="20"/>
      <c r="T890" s="20"/>
      <c r="U890" s="20"/>
      <c r="V890" s="20"/>
      <c r="W890" s="20"/>
      <c r="X890" s="20"/>
      <c r="Y890" s="20"/>
      <c r="Z890" s="20"/>
      <c r="AA890" s="20"/>
      <c r="AB890" s="20"/>
      <c r="AC890" s="20"/>
      <c r="AD890" s="20"/>
      <c r="AE890" s="20"/>
      <c r="AF890" s="20"/>
      <c r="AG890" s="20"/>
      <c r="AH890" s="20"/>
      <c r="AI890" s="20"/>
      <c r="AJ890" s="20"/>
      <c r="AK890" s="20"/>
      <c r="AL890" s="20"/>
      <c r="AM890" s="20"/>
      <c r="AN890" s="20"/>
      <c r="AO890" s="20"/>
      <c r="AP890" s="20"/>
      <c r="AQ890" s="20"/>
      <c r="AR890" s="20"/>
      <c r="AS890" s="20"/>
      <c r="AT890" s="20"/>
      <c r="AU890" s="20"/>
      <c r="AV890" s="20"/>
      <c r="AW890" s="20"/>
      <c r="AX890" s="20"/>
      <c r="AY890" s="20"/>
      <c r="AZ890" s="20"/>
      <c r="BA890" s="20"/>
      <c r="BB890" s="20"/>
      <c r="BC890" s="20"/>
    </row>
    <row r="891" ht="13.5" customHeight="1" spans="1:55">
      <c r="A891" s="20"/>
      <c r="B891" s="20"/>
      <c r="C891" s="20"/>
      <c r="D891" s="20"/>
      <c r="E891" s="20"/>
      <c r="F891" s="20"/>
      <c r="G891" s="52"/>
      <c r="H891" s="20"/>
      <c r="I891" s="20"/>
      <c r="J891" s="20"/>
      <c r="K891" s="20"/>
      <c r="L891" s="20"/>
      <c r="M891" s="20"/>
      <c r="N891" s="20"/>
      <c r="O891" s="20"/>
      <c r="P891" s="20"/>
      <c r="Q891" s="20"/>
      <c r="R891" s="20"/>
      <c r="S891" s="20"/>
      <c r="T891" s="20"/>
      <c r="U891" s="20"/>
      <c r="V891" s="20"/>
      <c r="W891" s="20"/>
      <c r="X891" s="20"/>
      <c r="Y891" s="20"/>
      <c r="Z891" s="20"/>
      <c r="AA891" s="20"/>
      <c r="AB891" s="20"/>
      <c r="AC891" s="20"/>
      <c r="AD891" s="20"/>
      <c r="AE891" s="20"/>
      <c r="AF891" s="20"/>
      <c r="AG891" s="20"/>
      <c r="AH891" s="20"/>
      <c r="AI891" s="20"/>
      <c r="AJ891" s="20"/>
      <c r="AK891" s="20"/>
      <c r="AL891" s="20"/>
      <c r="AM891" s="20"/>
      <c r="AN891" s="20"/>
      <c r="AO891" s="20"/>
      <c r="AP891" s="20"/>
      <c r="AQ891" s="20"/>
      <c r="AR891" s="20"/>
      <c r="AS891" s="20"/>
      <c r="AT891" s="20"/>
      <c r="AU891" s="20"/>
      <c r="AV891" s="20"/>
      <c r="AW891" s="20"/>
      <c r="AX891" s="20"/>
      <c r="AY891" s="20"/>
      <c r="AZ891" s="20"/>
      <c r="BA891" s="20"/>
      <c r="BB891" s="20"/>
      <c r="BC891" s="20"/>
    </row>
    <row r="892" ht="13.5" customHeight="1" spans="1:55">
      <c r="A892" s="20"/>
      <c r="B892" s="20"/>
      <c r="C892" s="20"/>
      <c r="D892" s="20"/>
      <c r="E892" s="20"/>
      <c r="F892" s="20"/>
      <c r="G892" s="52"/>
      <c r="H892" s="20"/>
      <c r="I892" s="20"/>
      <c r="J892" s="20"/>
      <c r="K892" s="20"/>
      <c r="L892" s="20"/>
      <c r="M892" s="20"/>
      <c r="N892" s="20"/>
      <c r="O892" s="20"/>
      <c r="P892" s="20"/>
      <c r="Q892" s="20"/>
      <c r="R892" s="20"/>
      <c r="S892" s="20"/>
      <c r="T892" s="20"/>
      <c r="U892" s="20"/>
      <c r="V892" s="20"/>
      <c r="W892" s="20"/>
      <c r="X892" s="20"/>
      <c r="Y892" s="20"/>
      <c r="Z892" s="20"/>
      <c r="AA892" s="20"/>
      <c r="AB892" s="20"/>
      <c r="AC892" s="20"/>
      <c r="AD892" s="20"/>
      <c r="AE892" s="20"/>
      <c r="AF892" s="20"/>
      <c r="AG892" s="20"/>
      <c r="AH892" s="20"/>
      <c r="AI892" s="20"/>
      <c r="AJ892" s="20"/>
      <c r="AK892" s="20"/>
      <c r="AL892" s="20"/>
      <c r="AM892" s="20"/>
      <c r="AN892" s="20"/>
      <c r="AO892" s="20"/>
      <c r="AP892" s="20"/>
      <c r="AQ892" s="20"/>
      <c r="AR892" s="20"/>
      <c r="AS892" s="20"/>
      <c r="AT892" s="20"/>
      <c r="AU892" s="20"/>
      <c r="AV892" s="20"/>
      <c r="AW892" s="20"/>
      <c r="AX892" s="20"/>
      <c r="AY892" s="20"/>
      <c r="AZ892" s="20"/>
      <c r="BA892" s="20"/>
      <c r="BB892" s="20"/>
      <c r="BC892" s="20"/>
    </row>
    <row r="893" ht="13.5" customHeight="1" spans="1:55">
      <c r="A893" s="20"/>
      <c r="B893" s="20"/>
      <c r="C893" s="20"/>
      <c r="D893" s="20"/>
      <c r="E893" s="20"/>
      <c r="F893" s="20"/>
      <c r="G893" s="52"/>
      <c r="H893" s="20"/>
      <c r="I893" s="20"/>
      <c r="J893" s="20"/>
      <c r="K893" s="20"/>
      <c r="L893" s="20"/>
      <c r="M893" s="20"/>
      <c r="N893" s="20"/>
      <c r="O893" s="20"/>
      <c r="P893" s="20"/>
      <c r="Q893" s="20"/>
      <c r="R893" s="20"/>
      <c r="S893" s="20"/>
      <c r="T893" s="20"/>
      <c r="U893" s="20"/>
      <c r="V893" s="20"/>
      <c r="W893" s="20"/>
      <c r="X893" s="20"/>
      <c r="Y893" s="20"/>
      <c r="Z893" s="20"/>
      <c r="AA893" s="20"/>
      <c r="AB893" s="20"/>
      <c r="AC893" s="20"/>
      <c r="AD893" s="20"/>
      <c r="AE893" s="20"/>
      <c r="AF893" s="20"/>
      <c r="AG893" s="20"/>
      <c r="AH893" s="20"/>
      <c r="AI893" s="20"/>
      <c r="AJ893" s="20"/>
      <c r="AK893" s="20"/>
      <c r="AL893" s="20"/>
      <c r="AM893" s="20"/>
      <c r="AN893" s="20"/>
      <c r="AO893" s="20"/>
      <c r="AP893" s="20"/>
      <c r="AQ893" s="20"/>
      <c r="AR893" s="20"/>
      <c r="AS893" s="20"/>
      <c r="AT893" s="20"/>
      <c r="AU893" s="20"/>
      <c r="AV893" s="20"/>
      <c r="AW893" s="20"/>
      <c r="AX893" s="20"/>
      <c r="AY893" s="20"/>
      <c r="AZ893" s="20"/>
      <c r="BA893" s="20"/>
      <c r="BB893" s="20"/>
      <c r="BC893" s="20"/>
    </row>
    <row r="894" ht="13.5" customHeight="1" spans="1:55">
      <c r="A894" s="20"/>
      <c r="B894" s="20"/>
      <c r="C894" s="20"/>
      <c r="D894" s="20"/>
      <c r="E894" s="20"/>
      <c r="F894" s="20"/>
      <c r="G894" s="52"/>
      <c r="H894" s="20"/>
      <c r="I894" s="20"/>
      <c r="J894" s="20"/>
      <c r="K894" s="20"/>
      <c r="L894" s="20"/>
      <c r="M894" s="20"/>
      <c r="N894" s="20"/>
      <c r="O894" s="20"/>
      <c r="P894" s="20"/>
      <c r="Q894" s="20"/>
      <c r="R894" s="20"/>
      <c r="S894" s="20"/>
      <c r="T894" s="20"/>
      <c r="U894" s="20"/>
      <c r="V894" s="20"/>
      <c r="W894" s="20"/>
      <c r="X894" s="20"/>
      <c r="Y894" s="20"/>
      <c r="Z894" s="20"/>
      <c r="AA894" s="20"/>
      <c r="AB894" s="20"/>
      <c r="AC894" s="20"/>
      <c r="AD894" s="20"/>
      <c r="AE894" s="20"/>
      <c r="AF894" s="20"/>
      <c r="AG894" s="20"/>
      <c r="AH894" s="20"/>
      <c r="AI894" s="20"/>
      <c r="AJ894" s="20"/>
      <c r="AK894" s="20"/>
      <c r="AL894" s="20"/>
      <c r="AM894" s="20"/>
      <c r="AN894" s="20"/>
      <c r="AO894" s="20"/>
      <c r="AP894" s="20"/>
      <c r="AQ894" s="20"/>
      <c r="AR894" s="20"/>
      <c r="AS894" s="20"/>
      <c r="AT894" s="20"/>
      <c r="AU894" s="20"/>
      <c r="AV894" s="20"/>
      <c r="AW894" s="20"/>
      <c r="AX894" s="20"/>
      <c r="AY894" s="20"/>
      <c r="AZ894" s="20"/>
      <c r="BA894" s="20"/>
      <c r="BB894" s="20"/>
      <c r="BC894" s="20"/>
    </row>
    <row r="895" ht="13.5" customHeight="1" spans="1:55">
      <c r="A895" s="20"/>
      <c r="B895" s="20"/>
      <c r="C895" s="20"/>
      <c r="D895" s="20"/>
      <c r="E895" s="20"/>
      <c r="F895" s="20"/>
      <c r="G895" s="52"/>
      <c r="H895" s="20"/>
      <c r="I895" s="20"/>
      <c r="J895" s="20"/>
      <c r="K895" s="20"/>
      <c r="L895" s="20"/>
      <c r="M895" s="20"/>
      <c r="N895" s="20"/>
      <c r="O895" s="20"/>
      <c r="P895" s="20"/>
      <c r="Q895" s="20"/>
      <c r="R895" s="20"/>
      <c r="S895" s="20"/>
      <c r="T895" s="20"/>
      <c r="U895" s="20"/>
      <c r="V895" s="20"/>
      <c r="W895" s="20"/>
      <c r="X895" s="20"/>
      <c r="Y895" s="20"/>
      <c r="Z895" s="20"/>
      <c r="AA895" s="20"/>
      <c r="AB895" s="20"/>
      <c r="AC895" s="20"/>
      <c r="AD895" s="20"/>
      <c r="AE895" s="20"/>
      <c r="AF895" s="20"/>
      <c r="AG895" s="20"/>
      <c r="AH895" s="20"/>
      <c r="AI895" s="20"/>
      <c r="AJ895" s="20"/>
      <c r="AK895" s="20"/>
      <c r="AL895" s="20"/>
      <c r="AM895" s="20"/>
      <c r="AN895" s="20"/>
      <c r="AO895" s="20"/>
      <c r="AP895" s="20"/>
      <c r="AQ895" s="20"/>
      <c r="AR895" s="20"/>
      <c r="AS895" s="20"/>
      <c r="AT895" s="20"/>
      <c r="AU895" s="20"/>
      <c r="AV895" s="20"/>
      <c r="AW895" s="20"/>
      <c r="AX895" s="20"/>
      <c r="AY895" s="20"/>
      <c r="AZ895" s="20"/>
      <c r="BA895" s="20"/>
      <c r="BB895" s="20"/>
      <c r="BC895" s="20"/>
    </row>
    <row r="896" ht="13.5" customHeight="1" spans="1:55">
      <c r="A896" s="20"/>
      <c r="B896" s="20"/>
      <c r="C896" s="20"/>
      <c r="D896" s="20"/>
      <c r="E896" s="20"/>
      <c r="F896" s="20"/>
      <c r="G896" s="52"/>
      <c r="H896" s="20"/>
      <c r="I896" s="20"/>
      <c r="J896" s="20"/>
      <c r="K896" s="20"/>
      <c r="L896" s="20"/>
      <c r="M896" s="20"/>
      <c r="N896" s="20"/>
      <c r="O896" s="20"/>
      <c r="P896" s="20"/>
      <c r="Q896" s="20"/>
      <c r="R896" s="20"/>
      <c r="S896" s="20"/>
      <c r="T896" s="20"/>
      <c r="U896" s="20"/>
      <c r="V896" s="20"/>
      <c r="W896" s="20"/>
      <c r="X896" s="20"/>
      <c r="Y896" s="20"/>
      <c r="Z896" s="20"/>
      <c r="AA896" s="20"/>
      <c r="AB896" s="20"/>
      <c r="AC896" s="20"/>
      <c r="AD896" s="20"/>
      <c r="AE896" s="20"/>
      <c r="AF896" s="20"/>
      <c r="AG896" s="20"/>
      <c r="AH896" s="20"/>
      <c r="AI896" s="20"/>
      <c r="AJ896" s="20"/>
      <c r="AK896" s="20"/>
      <c r="AL896" s="20"/>
      <c r="AM896" s="20"/>
      <c r="AN896" s="20"/>
      <c r="AO896" s="20"/>
      <c r="AP896" s="20"/>
      <c r="AQ896" s="20"/>
      <c r="AR896" s="20"/>
      <c r="AS896" s="20"/>
      <c r="AT896" s="20"/>
      <c r="AU896" s="20"/>
      <c r="AV896" s="20"/>
      <c r="AW896" s="20"/>
      <c r="AX896" s="20"/>
      <c r="AY896" s="20"/>
      <c r="AZ896" s="20"/>
      <c r="BA896" s="20"/>
      <c r="BB896" s="20"/>
      <c r="BC896" s="20"/>
    </row>
    <row r="897" ht="13.5" customHeight="1" spans="1:55">
      <c r="A897" s="20"/>
      <c r="B897" s="20"/>
      <c r="C897" s="20"/>
      <c r="D897" s="20"/>
      <c r="E897" s="20"/>
      <c r="F897" s="20"/>
      <c r="G897" s="52"/>
      <c r="H897" s="20"/>
      <c r="I897" s="20"/>
      <c r="J897" s="20"/>
      <c r="K897" s="20"/>
      <c r="L897" s="20"/>
      <c r="M897" s="20"/>
      <c r="N897" s="20"/>
      <c r="O897" s="20"/>
      <c r="P897" s="20"/>
      <c r="Q897" s="20"/>
      <c r="R897" s="20"/>
      <c r="S897" s="20"/>
      <c r="T897" s="20"/>
      <c r="U897" s="20"/>
      <c r="V897" s="20"/>
      <c r="W897" s="20"/>
      <c r="X897" s="20"/>
      <c r="Y897" s="20"/>
      <c r="Z897" s="20"/>
      <c r="AA897" s="20"/>
      <c r="AB897" s="20"/>
      <c r="AC897" s="20"/>
      <c r="AD897" s="20"/>
      <c r="AE897" s="20"/>
      <c r="AF897" s="20"/>
      <c r="AG897" s="20"/>
      <c r="AH897" s="20"/>
      <c r="AI897" s="20"/>
      <c r="AJ897" s="20"/>
      <c r="AK897" s="20"/>
      <c r="AL897" s="20"/>
      <c r="AM897" s="20"/>
      <c r="AN897" s="20"/>
      <c r="AO897" s="20"/>
      <c r="AP897" s="20"/>
      <c r="AQ897" s="20"/>
      <c r="AR897" s="20"/>
      <c r="AS897" s="20"/>
      <c r="AT897" s="20"/>
      <c r="AU897" s="20"/>
      <c r="AV897" s="20"/>
      <c r="AW897" s="20"/>
      <c r="AX897" s="20"/>
      <c r="AY897" s="20"/>
      <c r="AZ897" s="20"/>
      <c r="BA897" s="20"/>
      <c r="BB897" s="20"/>
      <c r="BC897" s="20"/>
    </row>
    <row r="898" ht="13.5" customHeight="1" spans="1:55">
      <c r="A898" s="20"/>
      <c r="B898" s="20"/>
      <c r="C898" s="20"/>
      <c r="D898" s="20"/>
      <c r="E898" s="20"/>
      <c r="F898" s="20"/>
      <c r="G898" s="52"/>
      <c r="H898" s="20"/>
      <c r="I898" s="20"/>
      <c r="J898" s="20"/>
      <c r="K898" s="20"/>
      <c r="L898" s="20"/>
      <c r="M898" s="20"/>
      <c r="N898" s="20"/>
      <c r="O898" s="20"/>
      <c r="P898" s="20"/>
      <c r="Q898" s="20"/>
      <c r="R898" s="20"/>
      <c r="S898" s="20"/>
      <c r="T898" s="20"/>
      <c r="U898" s="20"/>
      <c r="V898" s="20"/>
      <c r="W898" s="20"/>
      <c r="X898" s="20"/>
      <c r="Y898" s="20"/>
      <c r="Z898" s="20"/>
      <c r="AA898" s="20"/>
      <c r="AB898" s="20"/>
      <c r="AC898" s="20"/>
      <c r="AD898" s="20"/>
      <c r="AE898" s="20"/>
      <c r="AF898" s="20"/>
      <c r="AG898" s="20"/>
      <c r="AH898" s="20"/>
      <c r="AI898" s="20"/>
      <c r="AJ898" s="20"/>
      <c r="AK898" s="20"/>
      <c r="AL898" s="20"/>
      <c r="AM898" s="20"/>
      <c r="AN898" s="20"/>
      <c r="AO898" s="20"/>
      <c r="AP898" s="20"/>
      <c r="AQ898" s="20"/>
      <c r="AR898" s="20"/>
      <c r="AS898" s="20"/>
      <c r="AT898" s="20"/>
      <c r="AU898" s="20"/>
      <c r="AV898" s="20"/>
      <c r="AW898" s="20"/>
      <c r="AX898" s="20"/>
      <c r="AY898" s="20"/>
      <c r="AZ898" s="20"/>
      <c r="BA898" s="20"/>
      <c r="BB898" s="20"/>
      <c r="BC898" s="20"/>
    </row>
    <row r="899" ht="13.5" customHeight="1" spans="1:55">
      <c r="A899" s="20"/>
      <c r="B899" s="20"/>
      <c r="C899" s="20"/>
      <c r="D899" s="20"/>
      <c r="E899" s="20"/>
      <c r="F899" s="20"/>
      <c r="G899" s="52"/>
      <c r="H899" s="20"/>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row>
    <row r="900" ht="13.5" customHeight="1" spans="1:55">
      <c r="A900" s="20"/>
      <c r="B900" s="20"/>
      <c r="C900" s="20"/>
      <c r="D900" s="20"/>
      <c r="E900" s="20"/>
      <c r="F900" s="20"/>
      <c r="G900" s="52"/>
      <c r="H900" s="20"/>
      <c r="I900" s="20"/>
      <c r="J900" s="20"/>
      <c r="K900" s="20"/>
      <c r="L900" s="20"/>
      <c r="M900" s="20"/>
      <c r="N900" s="20"/>
      <c r="O900" s="20"/>
      <c r="P900" s="20"/>
      <c r="Q900" s="20"/>
      <c r="R900" s="20"/>
      <c r="S900" s="20"/>
      <c r="T900" s="20"/>
      <c r="U900" s="20"/>
      <c r="V900" s="20"/>
      <c r="W900" s="20"/>
      <c r="X900" s="20"/>
      <c r="Y900" s="20"/>
      <c r="Z900" s="20"/>
      <c r="AA900" s="20"/>
      <c r="AB900" s="20"/>
      <c r="AC900" s="20"/>
      <c r="AD900" s="20"/>
      <c r="AE900" s="20"/>
      <c r="AF900" s="20"/>
      <c r="AG900" s="20"/>
      <c r="AH900" s="20"/>
      <c r="AI900" s="20"/>
      <c r="AJ900" s="20"/>
      <c r="AK900" s="20"/>
      <c r="AL900" s="20"/>
      <c r="AM900" s="20"/>
      <c r="AN900" s="20"/>
      <c r="AO900" s="20"/>
      <c r="AP900" s="20"/>
      <c r="AQ900" s="20"/>
      <c r="AR900" s="20"/>
      <c r="AS900" s="20"/>
      <c r="AT900" s="20"/>
      <c r="AU900" s="20"/>
      <c r="AV900" s="20"/>
      <c r="AW900" s="20"/>
      <c r="AX900" s="20"/>
      <c r="AY900" s="20"/>
      <c r="AZ900" s="20"/>
      <c r="BA900" s="20"/>
      <c r="BB900" s="20"/>
      <c r="BC900" s="20"/>
    </row>
    <row r="901" ht="13.5" customHeight="1" spans="1:55">
      <c r="A901" s="20"/>
      <c r="B901" s="20"/>
      <c r="C901" s="20"/>
      <c r="D901" s="20"/>
      <c r="E901" s="20"/>
      <c r="F901" s="20"/>
      <c r="G901" s="52"/>
      <c r="H901" s="20"/>
      <c r="I901" s="20"/>
      <c r="J901" s="20"/>
      <c r="K901" s="20"/>
      <c r="L901" s="20"/>
      <c r="M901" s="20"/>
      <c r="N901" s="20"/>
      <c r="O901" s="20"/>
      <c r="P901" s="20"/>
      <c r="Q901" s="20"/>
      <c r="R901" s="20"/>
      <c r="S901" s="20"/>
      <c r="T901" s="20"/>
      <c r="U901" s="20"/>
      <c r="V901" s="20"/>
      <c r="W901" s="20"/>
      <c r="X901" s="20"/>
      <c r="Y901" s="20"/>
      <c r="Z901" s="20"/>
      <c r="AA901" s="20"/>
      <c r="AB901" s="20"/>
      <c r="AC901" s="20"/>
      <c r="AD901" s="20"/>
      <c r="AE901" s="20"/>
      <c r="AF901" s="20"/>
      <c r="AG901" s="20"/>
      <c r="AH901" s="20"/>
      <c r="AI901" s="20"/>
      <c r="AJ901" s="20"/>
      <c r="AK901" s="20"/>
      <c r="AL901" s="20"/>
      <c r="AM901" s="20"/>
      <c r="AN901" s="20"/>
      <c r="AO901" s="20"/>
      <c r="AP901" s="20"/>
      <c r="AQ901" s="20"/>
      <c r="AR901" s="20"/>
      <c r="AS901" s="20"/>
      <c r="AT901" s="20"/>
      <c r="AU901" s="20"/>
      <c r="AV901" s="20"/>
      <c r="AW901" s="20"/>
      <c r="AX901" s="20"/>
      <c r="AY901" s="20"/>
      <c r="AZ901" s="20"/>
      <c r="BA901" s="20"/>
      <c r="BB901" s="20"/>
      <c r="BC901" s="20"/>
    </row>
    <row r="902" ht="13.5" customHeight="1" spans="1:55">
      <c r="A902" s="20"/>
      <c r="B902" s="20"/>
      <c r="C902" s="20"/>
      <c r="D902" s="20"/>
      <c r="E902" s="20"/>
      <c r="F902" s="20"/>
      <c r="G902" s="52"/>
      <c r="H902" s="20"/>
      <c r="I902" s="20"/>
      <c r="J902" s="20"/>
      <c r="K902" s="20"/>
      <c r="L902" s="20"/>
      <c r="M902" s="20"/>
      <c r="N902" s="20"/>
      <c r="O902" s="20"/>
      <c r="P902" s="20"/>
      <c r="Q902" s="20"/>
      <c r="R902" s="20"/>
      <c r="S902" s="20"/>
      <c r="T902" s="20"/>
      <c r="U902" s="20"/>
      <c r="V902" s="20"/>
      <c r="W902" s="20"/>
      <c r="X902" s="20"/>
      <c r="Y902" s="20"/>
      <c r="Z902" s="20"/>
      <c r="AA902" s="20"/>
      <c r="AB902" s="20"/>
      <c r="AC902" s="20"/>
      <c r="AD902" s="20"/>
      <c r="AE902" s="20"/>
      <c r="AF902" s="20"/>
      <c r="AG902" s="20"/>
      <c r="AH902" s="20"/>
      <c r="AI902" s="20"/>
      <c r="AJ902" s="20"/>
      <c r="AK902" s="20"/>
      <c r="AL902" s="20"/>
      <c r="AM902" s="20"/>
      <c r="AN902" s="20"/>
      <c r="AO902" s="20"/>
      <c r="AP902" s="20"/>
      <c r="AQ902" s="20"/>
      <c r="AR902" s="20"/>
      <c r="AS902" s="20"/>
      <c r="AT902" s="20"/>
      <c r="AU902" s="20"/>
      <c r="AV902" s="20"/>
      <c r="AW902" s="20"/>
      <c r="AX902" s="20"/>
      <c r="AY902" s="20"/>
      <c r="AZ902" s="20"/>
      <c r="BA902" s="20"/>
      <c r="BB902" s="20"/>
      <c r="BC902" s="20"/>
    </row>
    <row r="903" ht="13.5" customHeight="1" spans="1:55">
      <c r="A903" s="20"/>
      <c r="B903" s="20"/>
      <c r="C903" s="20"/>
      <c r="D903" s="20"/>
      <c r="E903" s="20"/>
      <c r="F903" s="20"/>
      <c r="G903" s="52"/>
      <c r="H903" s="20"/>
      <c r="I903" s="20"/>
      <c r="J903" s="20"/>
      <c r="K903" s="20"/>
      <c r="L903" s="20"/>
      <c r="M903" s="20"/>
      <c r="N903" s="20"/>
      <c r="O903" s="20"/>
      <c r="P903" s="20"/>
      <c r="Q903" s="20"/>
      <c r="R903" s="20"/>
      <c r="S903" s="20"/>
      <c r="T903" s="20"/>
      <c r="U903" s="20"/>
      <c r="V903" s="20"/>
      <c r="W903" s="20"/>
      <c r="X903" s="20"/>
      <c r="Y903" s="20"/>
      <c r="Z903" s="20"/>
      <c r="AA903" s="20"/>
      <c r="AB903" s="20"/>
      <c r="AC903" s="20"/>
      <c r="AD903" s="20"/>
      <c r="AE903" s="20"/>
      <c r="AF903" s="20"/>
      <c r="AG903" s="20"/>
      <c r="AH903" s="20"/>
      <c r="AI903" s="20"/>
      <c r="AJ903" s="20"/>
      <c r="AK903" s="20"/>
      <c r="AL903" s="20"/>
      <c r="AM903" s="20"/>
      <c r="AN903" s="20"/>
      <c r="AO903" s="20"/>
      <c r="AP903" s="20"/>
      <c r="AQ903" s="20"/>
      <c r="AR903" s="20"/>
      <c r="AS903" s="20"/>
      <c r="AT903" s="20"/>
      <c r="AU903" s="20"/>
      <c r="AV903" s="20"/>
      <c r="AW903" s="20"/>
      <c r="AX903" s="20"/>
      <c r="AY903" s="20"/>
      <c r="AZ903" s="20"/>
      <c r="BA903" s="20"/>
      <c r="BB903" s="20"/>
      <c r="BC903" s="20"/>
    </row>
    <row r="904" ht="13.5" customHeight="1" spans="1:55">
      <c r="A904" s="20"/>
      <c r="B904" s="20"/>
      <c r="C904" s="20"/>
      <c r="D904" s="20"/>
      <c r="E904" s="20"/>
      <c r="F904" s="20"/>
      <c r="G904" s="52"/>
      <c r="H904" s="20"/>
      <c r="I904" s="20"/>
      <c r="J904" s="20"/>
      <c r="K904" s="20"/>
      <c r="L904" s="20"/>
      <c r="M904" s="20"/>
      <c r="N904" s="20"/>
      <c r="O904" s="20"/>
      <c r="P904" s="20"/>
      <c r="Q904" s="20"/>
      <c r="R904" s="20"/>
      <c r="S904" s="20"/>
      <c r="T904" s="20"/>
      <c r="U904" s="20"/>
      <c r="V904" s="20"/>
      <c r="W904" s="20"/>
      <c r="X904" s="20"/>
      <c r="Y904" s="20"/>
      <c r="Z904" s="20"/>
      <c r="AA904" s="20"/>
      <c r="AB904" s="20"/>
      <c r="AC904" s="20"/>
      <c r="AD904" s="20"/>
      <c r="AE904" s="20"/>
      <c r="AF904" s="20"/>
      <c r="AG904" s="20"/>
      <c r="AH904" s="20"/>
      <c r="AI904" s="20"/>
      <c r="AJ904" s="20"/>
      <c r="AK904" s="20"/>
      <c r="AL904" s="20"/>
      <c r="AM904" s="20"/>
      <c r="AN904" s="20"/>
      <c r="AO904" s="20"/>
      <c r="AP904" s="20"/>
      <c r="AQ904" s="20"/>
      <c r="AR904" s="20"/>
      <c r="AS904" s="20"/>
      <c r="AT904" s="20"/>
      <c r="AU904" s="20"/>
      <c r="AV904" s="20"/>
      <c r="AW904" s="20"/>
      <c r="AX904" s="20"/>
      <c r="AY904" s="20"/>
      <c r="AZ904" s="20"/>
      <c r="BA904" s="20"/>
      <c r="BB904" s="20"/>
      <c r="BC904" s="20"/>
    </row>
    <row r="905" ht="13.5" customHeight="1" spans="1:55">
      <c r="A905" s="20"/>
      <c r="B905" s="20"/>
      <c r="C905" s="20"/>
      <c r="D905" s="20"/>
      <c r="E905" s="20"/>
      <c r="F905" s="20"/>
      <c r="G905" s="52"/>
      <c r="H905" s="20"/>
      <c r="I905" s="20"/>
      <c r="J905" s="20"/>
      <c r="K905" s="20"/>
      <c r="L905" s="20"/>
      <c r="M905" s="20"/>
      <c r="N905" s="20"/>
      <c r="O905" s="20"/>
      <c r="P905" s="20"/>
      <c r="Q905" s="20"/>
      <c r="R905" s="20"/>
      <c r="S905" s="20"/>
      <c r="T905" s="20"/>
      <c r="U905" s="20"/>
      <c r="V905" s="20"/>
      <c r="W905" s="20"/>
      <c r="X905" s="20"/>
      <c r="Y905" s="20"/>
      <c r="Z905" s="20"/>
      <c r="AA905" s="20"/>
      <c r="AB905" s="20"/>
      <c r="AC905" s="20"/>
      <c r="AD905" s="20"/>
      <c r="AE905" s="20"/>
      <c r="AF905" s="20"/>
      <c r="AG905" s="20"/>
      <c r="AH905" s="20"/>
      <c r="AI905" s="20"/>
      <c r="AJ905" s="20"/>
      <c r="AK905" s="20"/>
      <c r="AL905" s="20"/>
      <c r="AM905" s="20"/>
      <c r="AN905" s="20"/>
      <c r="AO905" s="20"/>
      <c r="AP905" s="20"/>
      <c r="AQ905" s="20"/>
      <c r="AR905" s="20"/>
      <c r="AS905" s="20"/>
      <c r="AT905" s="20"/>
      <c r="AU905" s="20"/>
      <c r="AV905" s="20"/>
      <c r="AW905" s="20"/>
      <c r="AX905" s="20"/>
      <c r="AY905" s="20"/>
      <c r="AZ905" s="20"/>
      <c r="BA905" s="20"/>
      <c r="BB905" s="20"/>
      <c r="BC905" s="20"/>
    </row>
    <row r="906" ht="13.5" customHeight="1" spans="1:55">
      <c r="A906" s="20"/>
      <c r="B906" s="20"/>
      <c r="C906" s="20"/>
      <c r="D906" s="20"/>
      <c r="E906" s="20"/>
      <c r="F906" s="20"/>
      <c r="G906" s="52"/>
      <c r="H906" s="20"/>
      <c r="I906" s="20"/>
      <c r="J906" s="20"/>
      <c r="K906" s="20"/>
      <c r="L906" s="20"/>
      <c r="M906" s="20"/>
      <c r="N906" s="20"/>
      <c r="O906" s="20"/>
      <c r="P906" s="20"/>
      <c r="Q906" s="20"/>
      <c r="R906" s="20"/>
      <c r="S906" s="20"/>
      <c r="T906" s="20"/>
      <c r="U906" s="20"/>
      <c r="V906" s="20"/>
      <c r="W906" s="20"/>
      <c r="X906" s="20"/>
      <c r="Y906" s="20"/>
      <c r="Z906" s="20"/>
      <c r="AA906" s="20"/>
      <c r="AB906" s="20"/>
      <c r="AC906" s="20"/>
      <c r="AD906" s="20"/>
      <c r="AE906" s="20"/>
      <c r="AF906" s="20"/>
      <c r="AG906" s="20"/>
      <c r="AH906" s="20"/>
      <c r="AI906" s="20"/>
      <c r="AJ906" s="20"/>
      <c r="AK906" s="20"/>
      <c r="AL906" s="20"/>
      <c r="AM906" s="20"/>
      <c r="AN906" s="20"/>
      <c r="AO906" s="20"/>
      <c r="AP906" s="20"/>
      <c r="AQ906" s="20"/>
      <c r="AR906" s="20"/>
      <c r="AS906" s="20"/>
      <c r="AT906" s="20"/>
      <c r="AU906" s="20"/>
      <c r="AV906" s="20"/>
      <c r="AW906" s="20"/>
      <c r="AX906" s="20"/>
      <c r="AY906" s="20"/>
      <c r="AZ906" s="20"/>
      <c r="BA906" s="20"/>
      <c r="BB906" s="20"/>
      <c r="BC906" s="20"/>
    </row>
    <row r="907" ht="13.5" customHeight="1" spans="1:55">
      <c r="A907" s="20"/>
      <c r="B907" s="20"/>
      <c r="C907" s="20"/>
      <c r="D907" s="20"/>
      <c r="E907" s="20"/>
      <c r="F907" s="20"/>
      <c r="G907" s="52"/>
      <c r="H907" s="20"/>
      <c r="I907" s="20"/>
      <c r="J907" s="20"/>
      <c r="K907" s="20"/>
      <c r="L907" s="20"/>
      <c r="M907" s="20"/>
      <c r="N907" s="20"/>
      <c r="O907" s="20"/>
      <c r="P907" s="20"/>
      <c r="Q907" s="20"/>
      <c r="R907" s="20"/>
      <c r="S907" s="20"/>
      <c r="T907" s="20"/>
      <c r="U907" s="20"/>
      <c r="V907" s="20"/>
      <c r="W907" s="20"/>
      <c r="X907" s="20"/>
      <c r="Y907" s="20"/>
      <c r="Z907" s="20"/>
      <c r="AA907" s="20"/>
      <c r="AB907" s="20"/>
      <c r="AC907" s="20"/>
      <c r="AD907" s="20"/>
      <c r="AE907" s="20"/>
      <c r="AF907" s="20"/>
      <c r="AG907" s="20"/>
      <c r="AH907" s="20"/>
      <c r="AI907" s="20"/>
      <c r="AJ907" s="20"/>
      <c r="AK907" s="20"/>
      <c r="AL907" s="20"/>
      <c r="AM907" s="20"/>
      <c r="AN907" s="20"/>
      <c r="AO907" s="20"/>
      <c r="AP907" s="20"/>
      <c r="AQ907" s="20"/>
      <c r="AR907" s="20"/>
      <c r="AS907" s="20"/>
      <c r="AT907" s="20"/>
      <c r="AU907" s="20"/>
      <c r="AV907" s="20"/>
      <c r="AW907" s="20"/>
      <c r="AX907" s="20"/>
      <c r="AY907" s="20"/>
      <c r="AZ907" s="20"/>
      <c r="BA907" s="20"/>
      <c r="BB907" s="20"/>
      <c r="BC907" s="20"/>
    </row>
    <row r="908" ht="13.5" customHeight="1" spans="1:55">
      <c r="A908" s="20"/>
      <c r="B908" s="20"/>
      <c r="C908" s="20"/>
      <c r="D908" s="20"/>
      <c r="E908" s="20"/>
      <c r="F908" s="20"/>
      <c r="G908" s="52"/>
      <c r="H908" s="20"/>
      <c r="I908" s="20"/>
      <c r="J908" s="20"/>
      <c r="K908" s="20"/>
      <c r="L908" s="20"/>
      <c r="M908" s="20"/>
      <c r="N908" s="20"/>
      <c r="O908" s="20"/>
      <c r="P908" s="20"/>
      <c r="Q908" s="20"/>
      <c r="R908" s="20"/>
      <c r="S908" s="20"/>
      <c r="T908" s="20"/>
      <c r="U908" s="20"/>
      <c r="V908" s="20"/>
      <c r="W908" s="20"/>
      <c r="X908" s="20"/>
      <c r="Y908" s="20"/>
      <c r="Z908" s="20"/>
      <c r="AA908" s="20"/>
      <c r="AB908" s="20"/>
      <c r="AC908" s="20"/>
      <c r="AD908" s="20"/>
      <c r="AE908" s="20"/>
      <c r="AF908" s="20"/>
      <c r="AG908" s="20"/>
      <c r="AH908" s="20"/>
      <c r="AI908" s="20"/>
      <c r="AJ908" s="20"/>
      <c r="AK908" s="20"/>
      <c r="AL908" s="20"/>
      <c r="AM908" s="20"/>
      <c r="AN908" s="20"/>
      <c r="AO908" s="20"/>
      <c r="AP908" s="20"/>
      <c r="AQ908" s="20"/>
      <c r="AR908" s="20"/>
      <c r="AS908" s="20"/>
      <c r="AT908" s="20"/>
      <c r="AU908" s="20"/>
      <c r="AV908" s="20"/>
      <c r="AW908" s="20"/>
      <c r="AX908" s="20"/>
      <c r="AY908" s="20"/>
      <c r="AZ908" s="20"/>
      <c r="BA908" s="20"/>
      <c r="BB908" s="20"/>
      <c r="BC908" s="20"/>
    </row>
    <row r="909" ht="13.5" customHeight="1" spans="1:55">
      <c r="A909" s="20"/>
      <c r="B909" s="20"/>
      <c r="C909" s="20"/>
      <c r="D909" s="20"/>
      <c r="E909" s="20"/>
      <c r="F909" s="20"/>
      <c r="G909" s="52"/>
      <c r="H909" s="20"/>
      <c r="I909" s="20"/>
      <c r="J909" s="20"/>
      <c r="K909" s="20"/>
      <c r="L909" s="20"/>
      <c r="M909" s="20"/>
      <c r="N909" s="20"/>
      <c r="O909" s="20"/>
      <c r="P909" s="20"/>
      <c r="Q909" s="20"/>
      <c r="R909" s="20"/>
      <c r="S909" s="20"/>
      <c r="T909" s="20"/>
      <c r="U909" s="20"/>
      <c r="V909" s="20"/>
      <c r="W909" s="20"/>
      <c r="X909" s="20"/>
      <c r="Y909" s="20"/>
      <c r="Z909" s="20"/>
      <c r="AA909" s="20"/>
      <c r="AB909" s="20"/>
      <c r="AC909" s="20"/>
      <c r="AD909" s="20"/>
      <c r="AE909" s="20"/>
      <c r="AF909" s="20"/>
      <c r="AG909" s="20"/>
      <c r="AH909" s="20"/>
      <c r="AI909" s="20"/>
      <c r="AJ909" s="20"/>
      <c r="AK909" s="20"/>
      <c r="AL909" s="20"/>
      <c r="AM909" s="20"/>
      <c r="AN909" s="20"/>
      <c r="AO909" s="20"/>
      <c r="AP909" s="20"/>
      <c r="AQ909" s="20"/>
      <c r="AR909" s="20"/>
      <c r="AS909" s="20"/>
      <c r="AT909" s="20"/>
      <c r="AU909" s="20"/>
      <c r="AV909" s="20"/>
      <c r="AW909" s="20"/>
      <c r="AX909" s="20"/>
      <c r="AY909" s="20"/>
      <c r="AZ909" s="20"/>
      <c r="BA909" s="20"/>
      <c r="BB909" s="20"/>
      <c r="BC909" s="20"/>
    </row>
    <row r="910" ht="13.5" customHeight="1" spans="1:55">
      <c r="A910" s="20"/>
      <c r="B910" s="20"/>
      <c r="C910" s="20"/>
      <c r="D910" s="20"/>
      <c r="E910" s="20"/>
      <c r="F910" s="20"/>
      <c r="G910" s="52"/>
      <c r="H910" s="20"/>
      <c r="I910" s="20"/>
      <c r="J910" s="20"/>
      <c r="K910" s="20"/>
      <c r="L910" s="20"/>
      <c r="M910" s="20"/>
      <c r="N910" s="20"/>
      <c r="O910" s="20"/>
      <c r="P910" s="20"/>
      <c r="Q910" s="20"/>
      <c r="R910" s="20"/>
      <c r="S910" s="20"/>
      <c r="T910" s="20"/>
      <c r="U910" s="20"/>
      <c r="V910" s="20"/>
      <c r="W910" s="20"/>
      <c r="X910" s="20"/>
      <c r="Y910" s="20"/>
      <c r="Z910" s="20"/>
      <c r="AA910" s="20"/>
      <c r="AB910" s="20"/>
      <c r="AC910" s="20"/>
      <c r="AD910" s="20"/>
      <c r="AE910" s="20"/>
      <c r="AF910" s="20"/>
      <c r="AG910" s="20"/>
      <c r="AH910" s="20"/>
      <c r="AI910" s="20"/>
      <c r="AJ910" s="20"/>
      <c r="AK910" s="20"/>
      <c r="AL910" s="20"/>
      <c r="AM910" s="20"/>
      <c r="AN910" s="20"/>
      <c r="AO910" s="20"/>
      <c r="AP910" s="20"/>
      <c r="AQ910" s="20"/>
      <c r="AR910" s="20"/>
      <c r="AS910" s="20"/>
      <c r="AT910" s="20"/>
      <c r="AU910" s="20"/>
      <c r="AV910" s="20"/>
      <c r="AW910" s="20"/>
      <c r="AX910" s="20"/>
      <c r="AY910" s="20"/>
      <c r="AZ910" s="20"/>
      <c r="BA910" s="20"/>
      <c r="BB910" s="20"/>
      <c r="BC910" s="20"/>
    </row>
    <row r="911" ht="13.5" customHeight="1" spans="1:55">
      <c r="A911" s="20"/>
      <c r="B911" s="20"/>
      <c r="C911" s="20"/>
      <c r="D911" s="20"/>
      <c r="E911" s="20"/>
      <c r="F911" s="20"/>
      <c r="G911" s="52"/>
      <c r="H911" s="20"/>
      <c r="I911" s="20"/>
      <c r="J911" s="20"/>
      <c r="K911" s="20"/>
      <c r="L911" s="20"/>
      <c r="M911" s="20"/>
      <c r="N911" s="20"/>
      <c r="O911" s="20"/>
      <c r="P911" s="20"/>
      <c r="Q911" s="20"/>
      <c r="R911" s="20"/>
      <c r="S911" s="20"/>
      <c r="T911" s="20"/>
      <c r="U911" s="20"/>
      <c r="V911" s="20"/>
      <c r="W911" s="20"/>
      <c r="X911" s="20"/>
      <c r="Y911" s="20"/>
      <c r="Z911" s="20"/>
      <c r="AA911" s="20"/>
      <c r="AB911" s="20"/>
      <c r="AC911" s="20"/>
      <c r="AD911" s="20"/>
      <c r="AE911" s="20"/>
      <c r="AF911" s="20"/>
      <c r="AG911" s="20"/>
      <c r="AH911" s="20"/>
      <c r="AI911" s="20"/>
      <c r="AJ911" s="20"/>
      <c r="AK911" s="20"/>
      <c r="AL911" s="20"/>
      <c r="AM911" s="20"/>
      <c r="AN911" s="20"/>
      <c r="AO911" s="20"/>
      <c r="AP911" s="20"/>
      <c r="AQ911" s="20"/>
      <c r="AR911" s="20"/>
      <c r="AS911" s="20"/>
      <c r="AT911" s="20"/>
      <c r="AU911" s="20"/>
      <c r="AV911" s="20"/>
      <c r="AW911" s="20"/>
      <c r="AX911" s="20"/>
      <c r="AY911" s="20"/>
      <c r="AZ911" s="20"/>
      <c r="BA911" s="20"/>
      <c r="BB911" s="20"/>
      <c r="BC911" s="20"/>
    </row>
    <row r="912" ht="13.5" customHeight="1" spans="1:55">
      <c r="A912" s="20"/>
      <c r="B912" s="20"/>
      <c r="C912" s="20"/>
      <c r="D912" s="20"/>
      <c r="E912" s="20"/>
      <c r="F912" s="20"/>
      <c r="G912" s="52"/>
      <c r="H912" s="20"/>
      <c r="I912" s="20"/>
      <c r="J912" s="20"/>
      <c r="K912" s="20"/>
      <c r="L912" s="20"/>
      <c r="M912" s="20"/>
      <c r="N912" s="20"/>
      <c r="O912" s="20"/>
      <c r="P912" s="20"/>
      <c r="Q912" s="20"/>
      <c r="R912" s="20"/>
      <c r="S912" s="20"/>
      <c r="T912" s="20"/>
      <c r="U912" s="20"/>
      <c r="V912" s="20"/>
      <c r="W912" s="20"/>
      <c r="X912" s="20"/>
      <c r="Y912" s="20"/>
      <c r="Z912" s="20"/>
      <c r="AA912" s="20"/>
      <c r="AB912" s="20"/>
      <c r="AC912" s="20"/>
      <c r="AD912" s="20"/>
      <c r="AE912" s="20"/>
      <c r="AF912" s="20"/>
      <c r="AG912" s="20"/>
      <c r="AH912" s="20"/>
      <c r="AI912" s="20"/>
      <c r="AJ912" s="20"/>
      <c r="AK912" s="20"/>
      <c r="AL912" s="20"/>
      <c r="AM912" s="20"/>
      <c r="AN912" s="20"/>
      <c r="AO912" s="20"/>
      <c r="AP912" s="20"/>
      <c r="AQ912" s="20"/>
      <c r="AR912" s="20"/>
      <c r="AS912" s="20"/>
      <c r="AT912" s="20"/>
      <c r="AU912" s="20"/>
      <c r="AV912" s="20"/>
      <c r="AW912" s="20"/>
      <c r="AX912" s="20"/>
      <c r="AY912" s="20"/>
      <c r="AZ912" s="20"/>
      <c r="BA912" s="20"/>
      <c r="BB912" s="20"/>
      <c r="BC912" s="20"/>
    </row>
    <row r="913" ht="13.5" customHeight="1" spans="1:55">
      <c r="A913" s="20"/>
      <c r="B913" s="20"/>
      <c r="C913" s="20"/>
      <c r="D913" s="20"/>
      <c r="E913" s="20"/>
      <c r="F913" s="20"/>
      <c r="G913" s="52"/>
      <c r="H913" s="20"/>
      <c r="I913" s="20"/>
      <c r="J913" s="20"/>
      <c r="K913" s="20"/>
      <c r="L913" s="20"/>
      <c r="M913" s="20"/>
      <c r="N913" s="20"/>
      <c r="O913" s="20"/>
      <c r="P913" s="20"/>
      <c r="Q913" s="20"/>
      <c r="R913" s="20"/>
      <c r="S913" s="20"/>
      <c r="T913" s="20"/>
      <c r="U913" s="20"/>
      <c r="V913" s="20"/>
      <c r="W913" s="20"/>
      <c r="X913" s="20"/>
      <c r="Y913" s="20"/>
      <c r="Z913" s="20"/>
      <c r="AA913" s="20"/>
      <c r="AB913" s="20"/>
      <c r="AC913" s="20"/>
      <c r="AD913" s="20"/>
      <c r="AE913" s="20"/>
      <c r="AF913" s="20"/>
      <c r="AG913" s="20"/>
      <c r="AH913" s="20"/>
      <c r="AI913" s="20"/>
      <c r="AJ913" s="20"/>
      <c r="AK913" s="20"/>
      <c r="AL913" s="20"/>
      <c r="AM913" s="20"/>
      <c r="AN913" s="20"/>
      <c r="AO913" s="20"/>
      <c r="AP913" s="20"/>
      <c r="AQ913" s="20"/>
      <c r="AR913" s="20"/>
      <c r="AS913" s="20"/>
      <c r="AT913" s="20"/>
      <c r="AU913" s="20"/>
      <c r="AV913" s="20"/>
      <c r="AW913" s="20"/>
      <c r="AX913" s="20"/>
      <c r="AY913" s="20"/>
      <c r="AZ913" s="20"/>
      <c r="BA913" s="20"/>
      <c r="BB913" s="20"/>
      <c r="BC913" s="20"/>
    </row>
    <row r="914" ht="13.5" customHeight="1" spans="1:55">
      <c r="A914" s="20"/>
      <c r="B914" s="20"/>
      <c r="C914" s="20"/>
      <c r="D914" s="20"/>
      <c r="E914" s="20"/>
      <c r="F914" s="20"/>
      <c r="G914" s="52"/>
      <c r="H914" s="20"/>
      <c r="I914" s="20"/>
      <c r="J914" s="20"/>
      <c r="K914" s="20"/>
      <c r="L914" s="20"/>
      <c r="M914" s="20"/>
      <c r="N914" s="20"/>
      <c r="O914" s="20"/>
      <c r="P914" s="20"/>
      <c r="Q914" s="20"/>
      <c r="R914" s="20"/>
      <c r="S914" s="20"/>
      <c r="T914" s="20"/>
      <c r="U914" s="20"/>
      <c r="V914" s="20"/>
      <c r="W914" s="20"/>
      <c r="X914" s="20"/>
      <c r="Y914" s="20"/>
      <c r="Z914" s="20"/>
      <c r="AA914" s="20"/>
      <c r="AB914" s="20"/>
      <c r="AC914" s="20"/>
      <c r="AD914" s="20"/>
      <c r="AE914" s="20"/>
      <c r="AF914" s="20"/>
      <c r="AG914" s="20"/>
      <c r="AH914" s="20"/>
      <c r="AI914" s="20"/>
      <c r="AJ914" s="20"/>
      <c r="AK914" s="20"/>
      <c r="AL914" s="20"/>
      <c r="AM914" s="20"/>
      <c r="AN914" s="20"/>
      <c r="AO914" s="20"/>
      <c r="AP914" s="20"/>
      <c r="AQ914" s="20"/>
      <c r="AR914" s="20"/>
      <c r="AS914" s="20"/>
      <c r="AT914" s="20"/>
      <c r="AU914" s="20"/>
      <c r="AV914" s="20"/>
      <c r="AW914" s="20"/>
      <c r="AX914" s="20"/>
      <c r="AY914" s="20"/>
      <c r="AZ914" s="20"/>
      <c r="BA914" s="20"/>
      <c r="BB914" s="20"/>
      <c r="BC914" s="20"/>
    </row>
    <row r="915" ht="13.5" customHeight="1" spans="1:55">
      <c r="A915" s="20"/>
      <c r="B915" s="20"/>
      <c r="C915" s="20"/>
      <c r="D915" s="20"/>
      <c r="E915" s="20"/>
      <c r="F915" s="20"/>
      <c r="G915" s="52"/>
      <c r="H915" s="20"/>
      <c r="I915" s="20"/>
      <c r="J915" s="20"/>
      <c r="K915" s="20"/>
      <c r="L915" s="20"/>
      <c r="M915" s="20"/>
      <c r="N915" s="20"/>
      <c r="O915" s="20"/>
      <c r="P915" s="20"/>
      <c r="Q915" s="20"/>
      <c r="R915" s="20"/>
      <c r="S915" s="20"/>
      <c r="T915" s="20"/>
      <c r="U915" s="20"/>
      <c r="V915" s="20"/>
      <c r="W915" s="20"/>
      <c r="X915" s="20"/>
      <c r="Y915" s="20"/>
      <c r="Z915" s="20"/>
      <c r="AA915" s="20"/>
      <c r="AB915" s="20"/>
      <c r="AC915" s="20"/>
      <c r="AD915" s="20"/>
      <c r="AE915" s="20"/>
      <c r="AF915" s="20"/>
      <c r="AG915" s="20"/>
      <c r="AH915" s="20"/>
      <c r="AI915" s="20"/>
      <c r="AJ915" s="20"/>
      <c r="AK915" s="20"/>
      <c r="AL915" s="20"/>
      <c r="AM915" s="20"/>
      <c r="AN915" s="20"/>
      <c r="AO915" s="20"/>
      <c r="AP915" s="20"/>
      <c r="AQ915" s="20"/>
      <c r="AR915" s="20"/>
      <c r="AS915" s="20"/>
      <c r="AT915" s="20"/>
      <c r="AU915" s="20"/>
      <c r="AV915" s="20"/>
      <c r="AW915" s="20"/>
      <c r="AX915" s="20"/>
      <c r="AY915" s="20"/>
      <c r="AZ915" s="20"/>
      <c r="BA915" s="20"/>
      <c r="BB915" s="20"/>
      <c r="BC915" s="20"/>
    </row>
    <row r="916" ht="13.5" customHeight="1" spans="1:55">
      <c r="A916" s="20"/>
      <c r="B916" s="20"/>
      <c r="C916" s="20"/>
      <c r="D916" s="20"/>
      <c r="E916" s="20"/>
      <c r="F916" s="20"/>
      <c r="G916" s="52"/>
      <c r="H916" s="20"/>
      <c r="I916" s="20"/>
      <c r="J916" s="20"/>
      <c r="K916" s="20"/>
      <c r="L916" s="20"/>
      <c r="M916" s="20"/>
      <c r="N916" s="20"/>
      <c r="O916" s="20"/>
      <c r="P916" s="20"/>
      <c r="Q916" s="20"/>
      <c r="R916" s="20"/>
      <c r="S916" s="20"/>
      <c r="T916" s="20"/>
      <c r="U916" s="20"/>
      <c r="V916" s="20"/>
      <c r="W916" s="20"/>
      <c r="X916" s="20"/>
      <c r="Y916" s="20"/>
      <c r="Z916" s="20"/>
      <c r="AA916" s="20"/>
      <c r="AB916" s="20"/>
      <c r="AC916" s="20"/>
      <c r="AD916" s="20"/>
      <c r="AE916" s="20"/>
      <c r="AF916" s="20"/>
      <c r="AG916" s="20"/>
      <c r="AH916" s="20"/>
      <c r="AI916" s="20"/>
      <c r="AJ916" s="20"/>
      <c r="AK916" s="20"/>
      <c r="AL916" s="20"/>
      <c r="AM916" s="20"/>
      <c r="AN916" s="20"/>
      <c r="AO916" s="20"/>
      <c r="AP916" s="20"/>
      <c r="AQ916" s="20"/>
      <c r="AR916" s="20"/>
      <c r="AS916" s="20"/>
      <c r="AT916" s="20"/>
      <c r="AU916" s="20"/>
      <c r="AV916" s="20"/>
      <c r="AW916" s="20"/>
      <c r="AX916" s="20"/>
      <c r="AY916" s="20"/>
      <c r="AZ916" s="20"/>
      <c r="BA916" s="20"/>
      <c r="BB916" s="20"/>
      <c r="BC916" s="20"/>
    </row>
    <row r="917" ht="13.5" customHeight="1" spans="1:55">
      <c r="A917" s="20"/>
      <c r="B917" s="20"/>
      <c r="C917" s="20"/>
      <c r="D917" s="20"/>
      <c r="E917" s="20"/>
      <c r="F917" s="20"/>
      <c r="G917" s="52"/>
      <c r="H917" s="20"/>
      <c r="I917" s="20"/>
      <c r="J917" s="20"/>
      <c r="K917" s="20"/>
      <c r="L917" s="20"/>
      <c r="M917" s="20"/>
      <c r="N917" s="20"/>
      <c r="O917" s="20"/>
      <c r="P917" s="20"/>
      <c r="Q917" s="20"/>
      <c r="R917" s="20"/>
      <c r="S917" s="20"/>
      <c r="T917" s="20"/>
      <c r="U917" s="20"/>
      <c r="V917" s="20"/>
      <c r="W917" s="20"/>
      <c r="X917" s="20"/>
      <c r="Y917" s="20"/>
      <c r="Z917" s="20"/>
      <c r="AA917" s="20"/>
      <c r="AB917" s="20"/>
      <c r="AC917" s="20"/>
      <c r="AD917" s="20"/>
      <c r="AE917" s="20"/>
      <c r="AF917" s="20"/>
      <c r="AG917" s="20"/>
      <c r="AH917" s="20"/>
      <c r="AI917" s="20"/>
      <c r="AJ917" s="20"/>
      <c r="AK917" s="20"/>
      <c r="AL917" s="20"/>
      <c r="AM917" s="20"/>
      <c r="AN917" s="20"/>
      <c r="AO917" s="20"/>
      <c r="AP917" s="20"/>
      <c r="AQ917" s="20"/>
      <c r="AR917" s="20"/>
      <c r="AS917" s="20"/>
      <c r="AT917" s="20"/>
      <c r="AU917" s="20"/>
      <c r="AV917" s="20"/>
      <c r="AW917" s="20"/>
      <c r="AX917" s="20"/>
      <c r="AY917" s="20"/>
      <c r="AZ917" s="20"/>
      <c r="BA917" s="20"/>
      <c r="BB917" s="20"/>
      <c r="BC917" s="20"/>
    </row>
    <row r="918" ht="13.5" customHeight="1" spans="1:55">
      <c r="A918" s="20"/>
      <c r="B918" s="20"/>
      <c r="C918" s="20"/>
      <c r="D918" s="20"/>
      <c r="E918" s="20"/>
      <c r="F918" s="20"/>
      <c r="G918" s="52"/>
      <c r="H918" s="20"/>
      <c r="I918" s="20"/>
      <c r="J918" s="20"/>
      <c r="K918" s="20"/>
      <c r="L918" s="20"/>
      <c r="M918" s="20"/>
      <c r="N918" s="20"/>
      <c r="O918" s="20"/>
      <c r="P918" s="20"/>
      <c r="Q918" s="20"/>
      <c r="R918" s="20"/>
      <c r="S918" s="20"/>
      <c r="T918" s="20"/>
      <c r="U918" s="20"/>
      <c r="V918" s="20"/>
      <c r="W918" s="20"/>
      <c r="X918" s="20"/>
      <c r="Y918" s="20"/>
      <c r="Z918" s="20"/>
      <c r="AA918" s="20"/>
      <c r="AB918" s="20"/>
      <c r="AC918" s="20"/>
      <c r="AD918" s="20"/>
      <c r="AE918" s="20"/>
      <c r="AF918" s="20"/>
      <c r="AG918" s="20"/>
      <c r="AH918" s="20"/>
      <c r="AI918" s="20"/>
      <c r="AJ918" s="20"/>
      <c r="AK918" s="20"/>
      <c r="AL918" s="20"/>
      <c r="AM918" s="20"/>
      <c r="AN918" s="20"/>
      <c r="AO918" s="20"/>
      <c r="AP918" s="20"/>
      <c r="AQ918" s="20"/>
      <c r="AR918" s="20"/>
      <c r="AS918" s="20"/>
      <c r="AT918" s="20"/>
      <c r="AU918" s="20"/>
      <c r="AV918" s="20"/>
      <c r="AW918" s="20"/>
      <c r="AX918" s="20"/>
      <c r="AY918" s="20"/>
      <c r="AZ918" s="20"/>
      <c r="BA918" s="20"/>
      <c r="BB918" s="20"/>
      <c r="BC918" s="20"/>
    </row>
    <row r="919" ht="13.5" customHeight="1" spans="1:55">
      <c r="A919" s="20"/>
      <c r="B919" s="20"/>
      <c r="C919" s="20"/>
      <c r="D919" s="20"/>
      <c r="E919" s="20"/>
      <c r="F919" s="20"/>
      <c r="G919" s="52"/>
      <c r="H919" s="20"/>
      <c r="I919" s="20"/>
      <c r="J919" s="20"/>
      <c r="K919" s="20"/>
      <c r="L919" s="20"/>
      <c r="M919" s="20"/>
      <c r="N919" s="20"/>
      <c r="O919" s="20"/>
      <c r="P919" s="20"/>
      <c r="Q919" s="20"/>
      <c r="R919" s="20"/>
      <c r="S919" s="20"/>
      <c r="T919" s="20"/>
      <c r="U919" s="20"/>
      <c r="V919" s="20"/>
      <c r="W919" s="20"/>
      <c r="X919" s="20"/>
      <c r="Y919" s="20"/>
      <c r="Z919" s="20"/>
      <c r="AA919" s="20"/>
      <c r="AB919" s="20"/>
      <c r="AC919" s="20"/>
      <c r="AD919" s="20"/>
      <c r="AE919" s="20"/>
      <c r="AF919" s="20"/>
      <c r="AG919" s="20"/>
      <c r="AH919" s="20"/>
      <c r="AI919" s="20"/>
      <c r="AJ919" s="20"/>
      <c r="AK919" s="20"/>
      <c r="AL919" s="20"/>
      <c r="AM919" s="20"/>
      <c r="AN919" s="20"/>
      <c r="AO919" s="20"/>
      <c r="AP919" s="20"/>
      <c r="AQ919" s="20"/>
      <c r="AR919" s="20"/>
      <c r="AS919" s="20"/>
      <c r="AT919" s="20"/>
      <c r="AU919" s="20"/>
      <c r="AV919" s="20"/>
      <c r="AW919" s="20"/>
      <c r="AX919" s="20"/>
      <c r="AY919" s="20"/>
      <c r="AZ919" s="20"/>
      <c r="BA919" s="20"/>
      <c r="BB919" s="20"/>
      <c r="BC919" s="20"/>
    </row>
    <row r="920" ht="13.5" customHeight="1" spans="1:55">
      <c r="A920" s="20"/>
      <c r="B920" s="20"/>
      <c r="C920" s="20"/>
      <c r="D920" s="20"/>
      <c r="E920" s="20"/>
      <c r="F920" s="20"/>
      <c r="G920" s="52"/>
      <c r="H920" s="20"/>
      <c r="I920" s="20"/>
      <c r="J920" s="20"/>
      <c r="K920" s="20"/>
      <c r="L920" s="20"/>
      <c r="M920" s="20"/>
      <c r="N920" s="20"/>
      <c r="O920" s="20"/>
      <c r="P920" s="20"/>
      <c r="Q920" s="20"/>
      <c r="R920" s="20"/>
      <c r="S920" s="20"/>
      <c r="T920" s="20"/>
      <c r="U920" s="20"/>
      <c r="V920" s="20"/>
      <c r="W920" s="20"/>
      <c r="X920" s="20"/>
      <c r="Y920" s="20"/>
      <c r="Z920" s="20"/>
      <c r="AA920" s="20"/>
      <c r="AB920" s="20"/>
      <c r="AC920" s="20"/>
      <c r="AD920" s="20"/>
      <c r="AE920" s="20"/>
      <c r="AF920" s="20"/>
      <c r="AG920" s="20"/>
      <c r="AH920" s="20"/>
      <c r="AI920" s="20"/>
      <c r="AJ920" s="20"/>
      <c r="AK920" s="20"/>
      <c r="AL920" s="20"/>
      <c r="AM920" s="20"/>
      <c r="AN920" s="20"/>
      <c r="AO920" s="20"/>
      <c r="AP920" s="20"/>
      <c r="AQ920" s="20"/>
      <c r="AR920" s="20"/>
      <c r="AS920" s="20"/>
      <c r="AT920" s="20"/>
      <c r="AU920" s="20"/>
      <c r="AV920" s="20"/>
      <c r="AW920" s="20"/>
      <c r="AX920" s="20"/>
      <c r="AY920" s="20"/>
      <c r="AZ920" s="20"/>
      <c r="BA920" s="20"/>
      <c r="BB920" s="20"/>
      <c r="BC920" s="20"/>
    </row>
    <row r="921" ht="13.5" customHeight="1" spans="1:55">
      <c r="A921" s="20"/>
      <c r="B921" s="20"/>
      <c r="C921" s="20"/>
      <c r="D921" s="20"/>
      <c r="E921" s="20"/>
      <c r="F921" s="20"/>
      <c r="G921" s="52"/>
      <c r="H921" s="20"/>
      <c r="I921" s="20"/>
      <c r="J921" s="20"/>
      <c r="K921" s="20"/>
      <c r="L921" s="20"/>
      <c r="M921" s="20"/>
      <c r="N921" s="20"/>
      <c r="O921" s="20"/>
      <c r="P921" s="20"/>
      <c r="Q921" s="20"/>
      <c r="R921" s="20"/>
      <c r="S921" s="20"/>
      <c r="T921" s="20"/>
      <c r="U921" s="20"/>
      <c r="V921" s="20"/>
      <c r="W921" s="20"/>
      <c r="X921" s="20"/>
      <c r="Y921" s="20"/>
      <c r="Z921" s="20"/>
      <c r="AA921" s="20"/>
      <c r="AB921" s="20"/>
      <c r="AC921" s="20"/>
      <c r="AD921" s="20"/>
      <c r="AE921" s="20"/>
      <c r="AF921" s="20"/>
      <c r="AG921" s="20"/>
      <c r="AH921" s="20"/>
      <c r="AI921" s="20"/>
      <c r="AJ921" s="20"/>
      <c r="AK921" s="20"/>
      <c r="AL921" s="20"/>
      <c r="AM921" s="20"/>
      <c r="AN921" s="20"/>
      <c r="AO921" s="20"/>
      <c r="AP921" s="20"/>
      <c r="AQ921" s="20"/>
      <c r="AR921" s="20"/>
      <c r="AS921" s="20"/>
      <c r="AT921" s="20"/>
      <c r="AU921" s="20"/>
      <c r="AV921" s="20"/>
      <c r="AW921" s="20"/>
      <c r="AX921" s="20"/>
      <c r="AY921" s="20"/>
      <c r="AZ921" s="20"/>
      <c r="BA921" s="20"/>
      <c r="BB921" s="20"/>
      <c r="BC921" s="20"/>
    </row>
    <row r="922" ht="13.5" customHeight="1" spans="1:55">
      <c r="A922" s="20"/>
      <c r="B922" s="20"/>
      <c r="C922" s="20"/>
      <c r="D922" s="20"/>
      <c r="E922" s="20"/>
      <c r="F922" s="20"/>
      <c r="G922" s="52"/>
      <c r="H922" s="20"/>
      <c r="I922" s="20"/>
      <c r="J922" s="20"/>
      <c r="K922" s="20"/>
      <c r="L922" s="20"/>
      <c r="M922" s="20"/>
      <c r="N922" s="20"/>
      <c r="O922" s="20"/>
      <c r="P922" s="20"/>
      <c r="Q922" s="20"/>
      <c r="R922" s="20"/>
      <c r="S922" s="20"/>
      <c r="T922" s="20"/>
      <c r="U922" s="20"/>
      <c r="V922" s="20"/>
      <c r="W922" s="20"/>
      <c r="X922" s="20"/>
      <c r="Y922" s="20"/>
      <c r="Z922" s="20"/>
      <c r="AA922" s="20"/>
      <c r="AB922" s="20"/>
      <c r="AC922" s="20"/>
      <c r="AD922" s="20"/>
      <c r="AE922" s="20"/>
      <c r="AF922" s="20"/>
      <c r="AG922" s="20"/>
      <c r="AH922" s="20"/>
      <c r="AI922" s="20"/>
      <c r="AJ922" s="20"/>
      <c r="AK922" s="20"/>
      <c r="AL922" s="20"/>
      <c r="AM922" s="20"/>
      <c r="AN922" s="20"/>
      <c r="AO922" s="20"/>
      <c r="AP922" s="20"/>
      <c r="AQ922" s="20"/>
      <c r="AR922" s="20"/>
      <c r="AS922" s="20"/>
      <c r="AT922" s="20"/>
      <c r="AU922" s="20"/>
      <c r="AV922" s="20"/>
      <c r="AW922" s="20"/>
      <c r="AX922" s="20"/>
      <c r="AY922" s="20"/>
      <c r="AZ922" s="20"/>
      <c r="BA922" s="20"/>
      <c r="BB922" s="20"/>
      <c r="BC922" s="20"/>
    </row>
    <row r="923" ht="13.5" customHeight="1" spans="1:55">
      <c r="A923" s="20"/>
      <c r="B923" s="20"/>
      <c r="C923" s="20"/>
      <c r="D923" s="20"/>
      <c r="E923" s="20"/>
      <c r="F923" s="20"/>
      <c r="G923" s="52"/>
      <c r="H923" s="20"/>
      <c r="I923" s="20"/>
      <c r="J923" s="20"/>
      <c r="K923" s="20"/>
      <c r="L923" s="20"/>
      <c r="M923" s="20"/>
      <c r="N923" s="20"/>
      <c r="O923" s="20"/>
      <c r="P923" s="20"/>
      <c r="Q923" s="20"/>
      <c r="R923" s="20"/>
      <c r="S923" s="20"/>
      <c r="T923" s="20"/>
      <c r="U923" s="20"/>
      <c r="V923" s="20"/>
      <c r="W923" s="20"/>
      <c r="X923" s="20"/>
      <c r="Y923" s="20"/>
      <c r="Z923" s="20"/>
      <c r="AA923" s="20"/>
      <c r="AB923" s="20"/>
      <c r="AC923" s="20"/>
      <c r="AD923" s="20"/>
      <c r="AE923" s="20"/>
      <c r="AF923" s="20"/>
      <c r="AG923" s="20"/>
      <c r="AH923" s="20"/>
      <c r="AI923" s="20"/>
      <c r="AJ923" s="20"/>
      <c r="AK923" s="20"/>
      <c r="AL923" s="20"/>
      <c r="AM923" s="20"/>
      <c r="AN923" s="20"/>
      <c r="AO923" s="20"/>
      <c r="AP923" s="20"/>
      <c r="AQ923" s="20"/>
      <c r="AR923" s="20"/>
      <c r="AS923" s="20"/>
      <c r="AT923" s="20"/>
      <c r="AU923" s="20"/>
      <c r="AV923" s="20"/>
      <c r="AW923" s="20"/>
      <c r="AX923" s="20"/>
      <c r="AY923" s="20"/>
      <c r="AZ923" s="20"/>
      <c r="BA923" s="20"/>
      <c r="BB923" s="20"/>
      <c r="BC923" s="20"/>
    </row>
    <row r="924" ht="13.5" customHeight="1" spans="1:55">
      <c r="A924" s="20"/>
      <c r="B924" s="20"/>
      <c r="C924" s="20"/>
      <c r="D924" s="20"/>
      <c r="E924" s="20"/>
      <c r="F924" s="20"/>
      <c r="G924" s="52"/>
      <c r="H924" s="20"/>
      <c r="I924" s="20"/>
      <c r="J924" s="20"/>
      <c r="K924" s="20"/>
      <c r="L924" s="20"/>
      <c r="M924" s="20"/>
      <c r="N924" s="20"/>
      <c r="O924" s="20"/>
      <c r="P924" s="20"/>
      <c r="Q924" s="20"/>
      <c r="R924" s="20"/>
      <c r="S924" s="20"/>
      <c r="T924" s="20"/>
      <c r="U924" s="20"/>
      <c r="V924" s="20"/>
      <c r="W924" s="20"/>
      <c r="X924" s="20"/>
      <c r="Y924" s="20"/>
      <c r="Z924" s="20"/>
      <c r="AA924" s="20"/>
      <c r="AB924" s="20"/>
      <c r="AC924" s="20"/>
      <c r="AD924" s="20"/>
      <c r="AE924" s="20"/>
      <c r="AF924" s="20"/>
      <c r="AG924" s="20"/>
      <c r="AH924" s="20"/>
      <c r="AI924" s="20"/>
      <c r="AJ924" s="20"/>
      <c r="AK924" s="20"/>
      <c r="AL924" s="20"/>
      <c r="AM924" s="20"/>
      <c r="AN924" s="20"/>
      <c r="AO924" s="20"/>
      <c r="AP924" s="20"/>
      <c r="AQ924" s="20"/>
      <c r="AR924" s="20"/>
      <c r="AS924" s="20"/>
      <c r="AT924" s="20"/>
      <c r="AU924" s="20"/>
      <c r="AV924" s="20"/>
      <c r="AW924" s="20"/>
      <c r="AX924" s="20"/>
      <c r="AY924" s="20"/>
      <c r="AZ924" s="20"/>
      <c r="BA924" s="20"/>
      <c r="BB924" s="20"/>
      <c r="BC924" s="20"/>
    </row>
    <row r="925" ht="13.5" customHeight="1" spans="1:55">
      <c r="A925" s="20"/>
      <c r="B925" s="20"/>
      <c r="C925" s="20"/>
      <c r="D925" s="20"/>
      <c r="E925" s="20"/>
      <c r="F925" s="20"/>
      <c r="G925" s="52"/>
      <c r="H925" s="20"/>
      <c r="I925" s="20"/>
      <c r="J925" s="20"/>
      <c r="K925" s="20"/>
      <c r="L925" s="20"/>
      <c r="M925" s="20"/>
      <c r="N925" s="20"/>
      <c r="O925" s="20"/>
      <c r="P925" s="20"/>
      <c r="Q925" s="20"/>
      <c r="R925" s="20"/>
      <c r="S925" s="20"/>
      <c r="T925" s="20"/>
      <c r="U925" s="20"/>
      <c r="V925" s="20"/>
      <c r="W925" s="20"/>
      <c r="X925" s="20"/>
      <c r="Y925" s="20"/>
      <c r="Z925" s="20"/>
      <c r="AA925" s="20"/>
      <c r="AB925" s="20"/>
      <c r="AC925" s="20"/>
      <c r="AD925" s="20"/>
      <c r="AE925" s="20"/>
      <c r="AF925" s="20"/>
      <c r="AG925" s="20"/>
      <c r="AH925" s="20"/>
      <c r="AI925" s="20"/>
      <c r="AJ925" s="20"/>
      <c r="AK925" s="20"/>
      <c r="AL925" s="20"/>
      <c r="AM925" s="20"/>
      <c r="AN925" s="20"/>
      <c r="AO925" s="20"/>
      <c r="AP925" s="20"/>
      <c r="AQ925" s="20"/>
      <c r="AR925" s="20"/>
      <c r="AS925" s="20"/>
      <c r="AT925" s="20"/>
      <c r="AU925" s="20"/>
      <c r="AV925" s="20"/>
      <c r="AW925" s="20"/>
      <c r="AX925" s="20"/>
      <c r="AY925" s="20"/>
      <c r="AZ925" s="20"/>
      <c r="BA925" s="20"/>
      <c r="BB925" s="20"/>
      <c r="BC925" s="20"/>
    </row>
    <row r="926" ht="13.5" customHeight="1" spans="1:55">
      <c r="A926" s="20"/>
      <c r="B926" s="20"/>
      <c r="C926" s="20"/>
      <c r="D926" s="20"/>
      <c r="E926" s="20"/>
      <c r="F926" s="20"/>
      <c r="G926" s="52"/>
      <c r="H926" s="20"/>
      <c r="I926" s="20"/>
      <c r="J926" s="20"/>
      <c r="K926" s="20"/>
      <c r="L926" s="20"/>
      <c r="M926" s="20"/>
      <c r="N926" s="20"/>
      <c r="O926" s="20"/>
      <c r="P926" s="20"/>
      <c r="Q926" s="20"/>
      <c r="R926" s="20"/>
      <c r="S926" s="20"/>
      <c r="T926" s="20"/>
      <c r="U926" s="20"/>
      <c r="V926" s="20"/>
      <c r="W926" s="20"/>
      <c r="X926" s="20"/>
      <c r="Y926" s="20"/>
      <c r="Z926" s="20"/>
      <c r="AA926" s="20"/>
      <c r="AB926" s="20"/>
      <c r="AC926" s="20"/>
      <c r="AD926" s="20"/>
      <c r="AE926" s="20"/>
      <c r="AF926" s="20"/>
      <c r="AG926" s="20"/>
      <c r="AH926" s="20"/>
      <c r="AI926" s="20"/>
      <c r="AJ926" s="20"/>
      <c r="AK926" s="20"/>
      <c r="AL926" s="20"/>
      <c r="AM926" s="20"/>
      <c r="AN926" s="20"/>
      <c r="AO926" s="20"/>
      <c r="AP926" s="20"/>
      <c r="AQ926" s="20"/>
      <c r="AR926" s="20"/>
      <c r="AS926" s="20"/>
      <c r="AT926" s="20"/>
      <c r="AU926" s="20"/>
      <c r="AV926" s="20"/>
      <c r="AW926" s="20"/>
      <c r="AX926" s="20"/>
      <c r="AY926" s="20"/>
      <c r="AZ926" s="20"/>
      <c r="BA926" s="20"/>
      <c r="BB926" s="20"/>
      <c r="BC926" s="20"/>
    </row>
    <row r="927" ht="13.5" customHeight="1" spans="1:55">
      <c r="A927" s="20"/>
      <c r="B927" s="20"/>
      <c r="C927" s="20"/>
      <c r="D927" s="20"/>
      <c r="E927" s="20"/>
      <c r="F927" s="20"/>
      <c r="G927" s="52"/>
      <c r="H927" s="20"/>
      <c r="I927" s="20"/>
      <c r="J927" s="20"/>
      <c r="K927" s="20"/>
      <c r="L927" s="20"/>
      <c r="M927" s="20"/>
      <c r="N927" s="20"/>
      <c r="O927" s="20"/>
      <c r="P927" s="20"/>
      <c r="Q927" s="20"/>
      <c r="R927" s="20"/>
      <c r="S927" s="20"/>
      <c r="T927" s="20"/>
      <c r="U927" s="20"/>
      <c r="V927" s="20"/>
      <c r="W927" s="20"/>
      <c r="X927" s="20"/>
      <c r="Y927" s="20"/>
      <c r="Z927" s="20"/>
      <c r="AA927" s="20"/>
      <c r="AB927" s="20"/>
      <c r="AC927" s="20"/>
      <c r="AD927" s="20"/>
      <c r="AE927" s="20"/>
      <c r="AF927" s="20"/>
      <c r="AG927" s="20"/>
      <c r="AH927" s="20"/>
      <c r="AI927" s="20"/>
      <c r="AJ927" s="20"/>
      <c r="AK927" s="20"/>
      <c r="AL927" s="20"/>
      <c r="AM927" s="20"/>
      <c r="AN927" s="20"/>
      <c r="AO927" s="20"/>
      <c r="AP927" s="20"/>
      <c r="AQ927" s="20"/>
      <c r="AR927" s="20"/>
      <c r="AS927" s="20"/>
      <c r="AT927" s="20"/>
      <c r="AU927" s="20"/>
      <c r="AV927" s="20"/>
      <c r="AW927" s="20"/>
      <c r="AX927" s="20"/>
      <c r="AY927" s="20"/>
      <c r="AZ927" s="20"/>
      <c r="BA927" s="20"/>
      <c r="BB927" s="20"/>
      <c r="BC927" s="20"/>
    </row>
    <row r="928" ht="13.5" customHeight="1" spans="1:55">
      <c r="A928" s="20"/>
      <c r="B928" s="20"/>
      <c r="C928" s="20"/>
      <c r="D928" s="20"/>
      <c r="E928" s="20"/>
      <c r="F928" s="20"/>
      <c r="G928" s="52"/>
      <c r="H928" s="20"/>
      <c r="I928" s="20"/>
      <c r="J928" s="20"/>
      <c r="K928" s="20"/>
      <c r="L928" s="20"/>
      <c r="M928" s="20"/>
      <c r="N928" s="20"/>
      <c r="O928" s="20"/>
      <c r="P928" s="20"/>
      <c r="Q928" s="20"/>
      <c r="R928" s="20"/>
      <c r="S928" s="20"/>
      <c r="T928" s="20"/>
      <c r="U928" s="20"/>
      <c r="V928" s="20"/>
      <c r="W928" s="20"/>
      <c r="X928" s="20"/>
      <c r="Y928" s="20"/>
      <c r="Z928" s="20"/>
      <c r="AA928" s="20"/>
      <c r="AB928" s="20"/>
      <c r="AC928" s="20"/>
      <c r="AD928" s="20"/>
      <c r="AE928" s="20"/>
      <c r="AF928" s="20"/>
      <c r="AG928" s="20"/>
      <c r="AH928" s="20"/>
      <c r="AI928" s="20"/>
      <c r="AJ928" s="20"/>
      <c r="AK928" s="20"/>
      <c r="AL928" s="20"/>
      <c r="AM928" s="20"/>
      <c r="AN928" s="20"/>
      <c r="AO928" s="20"/>
      <c r="AP928" s="20"/>
      <c r="AQ928" s="20"/>
      <c r="AR928" s="20"/>
      <c r="AS928" s="20"/>
      <c r="AT928" s="20"/>
      <c r="AU928" s="20"/>
      <c r="AV928" s="20"/>
      <c r="AW928" s="20"/>
      <c r="AX928" s="20"/>
      <c r="AY928" s="20"/>
      <c r="AZ928" s="20"/>
      <c r="BA928" s="20"/>
      <c r="BB928" s="20"/>
      <c r="BC928" s="20"/>
    </row>
    <row r="929" ht="13.5" customHeight="1" spans="1:55">
      <c r="A929" s="20"/>
      <c r="B929" s="20"/>
      <c r="C929" s="20"/>
      <c r="D929" s="20"/>
      <c r="E929" s="20"/>
      <c r="F929" s="20"/>
      <c r="G929" s="52"/>
      <c r="H929" s="20"/>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row>
    <row r="930" ht="13.5" customHeight="1" spans="1:55">
      <c r="A930" s="20"/>
      <c r="B930" s="20"/>
      <c r="C930" s="20"/>
      <c r="D930" s="20"/>
      <c r="E930" s="20"/>
      <c r="F930" s="20"/>
      <c r="G930" s="52"/>
      <c r="H930" s="20"/>
      <c r="I930" s="20"/>
      <c r="J930" s="20"/>
      <c r="K930" s="20"/>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0"/>
      <c r="AI930" s="20"/>
      <c r="AJ930" s="20"/>
      <c r="AK930" s="20"/>
      <c r="AL930" s="20"/>
      <c r="AM930" s="20"/>
      <c r="AN930" s="20"/>
      <c r="AO930" s="20"/>
      <c r="AP930" s="20"/>
      <c r="AQ930" s="20"/>
      <c r="AR930" s="20"/>
      <c r="AS930" s="20"/>
      <c r="AT930" s="20"/>
      <c r="AU930" s="20"/>
      <c r="AV930" s="20"/>
      <c r="AW930" s="20"/>
      <c r="AX930" s="20"/>
      <c r="AY930" s="20"/>
      <c r="AZ930" s="20"/>
      <c r="BA930" s="20"/>
      <c r="BB930" s="20"/>
      <c r="BC930" s="20"/>
    </row>
    <row r="931" ht="13.5" customHeight="1" spans="1:55">
      <c r="A931" s="20"/>
      <c r="B931" s="20"/>
      <c r="C931" s="20"/>
      <c r="D931" s="20"/>
      <c r="E931" s="20"/>
      <c r="F931" s="20"/>
      <c r="G931" s="52"/>
      <c r="H931" s="20"/>
      <c r="I931" s="20"/>
      <c r="J931" s="20"/>
      <c r="K931" s="20"/>
      <c r="L931" s="20"/>
      <c r="M931" s="20"/>
      <c r="N931" s="20"/>
      <c r="O931" s="20"/>
      <c r="P931" s="20"/>
      <c r="Q931" s="20"/>
      <c r="R931" s="20"/>
      <c r="S931" s="20"/>
      <c r="T931" s="20"/>
      <c r="U931" s="20"/>
      <c r="V931" s="20"/>
      <c r="W931" s="20"/>
      <c r="X931" s="20"/>
      <c r="Y931" s="20"/>
      <c r="Z931" s="20"/>
      <c r="AA931" s="20"/>
      <c r="AB931" s="20"/>
      <c r="AC931" s="20"/>
      <c r="AD931" s="20"/>
      <c r="AE931" s="20"/>
      <c r="AF931" s="20"/>
      <c r="AG931" s="20"/>
      <c r="AH931" s="20"/>
      <c r="AI931" s="20"/>
      <c r="AJ931" s="20"/>
      <c r="AK931" s="20"/>
      <c r="AL931" s="20"/>
      <c r="AM931" s="20"/>
      <c r="AN931" s="20"/>
      <c r="AO931" s="20"/>
      <c r="AP931" s="20"/>
      <c r="AQ931" s="20"/>
      <c r="AR931" s="20"/>
      <c r="AS931" s="20"/>
      <c r="AT931" s="20"/>
      <c r="AU931" s="20"/>
      <c r="AV931" s="20"/>
      <c r="AW931" s="20"/>
      <c r="AX931" s="20"/>
      <c r="AY931" s="20"/>
      <c r="AZ931" s="20"/>
      <c r="BA931" s="20"/>
      <c r="BB931" s="20"/>
      <c r="BC931" s="20"/>
    </row>
    <row r="932" ht="13.5" customHeight="1" spans="1:55">
      <c r="A932" s="20"/>
      <c r="B932" s="20"/>
      <c r="C932" s="20"/>
      <c r="D932" s="20"/>
      <c r="E932" s="20"/>
      <c r="F932" s="20"/>
      <c r="G932" s="52"/>
      <c r="H932" s="20"/>
      <c r="I932" s="20"/>
      <c r="J932" s="20"/>
      <c r="K932" s="20"/>
      <c r="L932" s="20"/>
      <c r="M932" s="20"/>
      <c r="N932" s="20"/>
      <c r="O932" s="20"/>
      <c r="P932" s="20"/>
      <c r="Q932" s="20"/>
      <c r="R932" s="20"/>
      <c r="S932" s="20"/>
      <c r="T932" s="20"/>
      <c r="U932" s="20"/>
      <c r="V932" s="20"/>
      <c r="W932" s="20"/>
      <c r="X932" s="20"/>
      <c r="Y932" s="20"/>
      <c r="Z932" s="20"/>
      <c r="AA932" s="20"/>
      <c r="AB932" s="20"/>
      <c r="AC932" s="20"/>
      <c r="AD932" s="20"/>
      <c r="AE932" s="20"/>
      <c r="AF932" s="20"/>
      <c r="AG932" s="20"/>
      <c r="AH932" s="20"/>
      <c r="AI932" s="20"/>
      <c r="AJ932" s="20"/>
      <c r="AK932" s="20"/>
      <c r="AL932" s="20"/>
      <c r="AM932" s="20"/>
      <c r="AN932" s="20"/>
      <c r="AO932" s="20"/>
      <c r="AP932" s="20"/>
      <c r="AQ932" s="20"/>
      <c r="AR932" s="20"/>
      <c r="AS932" s="20"/>
      <c r="AT932" s="20"/>
      <c r="AU932" s="20"/>
      <c r="AV932" s="20"/>
      <c r="AW932" s="20"/>
      <c r="AX932" s="20"/>
      <c r="AY932" s="20"/>
      <c r="AZ932" s="20"/>
      <c r="BA932" s="20"/>
      <c r="BB932" s="20"/>
      <c r="BC932" s="20"/>
    </row>
    <row r="933" ht="13.5" customHeight="1" spans="1:55">
      <c r="A933" s="20"/>
      <c r="B933" s="20"/>
      <c r="C933" s="20"/>
      <c r="D933" s="20"/>
      <c r="E933" s="20"/>
      <c r="F933" s="20"/>
      <c r="G933" s="52"/>
      <c r="H933" s="20"/>
      <c r="I933" s="20"/>
      <c r="J933" s="20"/>
      <c r="K933" s="20"/>
      <c r="L933" s="20"/>
      <c r="M933" s="20"/>
      <c r="N933" s="20"/>
      <c r="O933" s="20"/>
      <c r="P933" s="20"/>
      <c r="Q933" s="20"/>
      <c r="R933" s="20"/>
      <c r="S933" s="20"/>
      <c r="T933" s="20"/>
      <c r="U933" s="20"/>
      <c r="V933" s="20"/>
      <c r="W933" s="20"/>
      <c r="X933" s="20"/>
      <c r="Y933" s="20"/>
      <c r="Z933" s="20"/>
      <c r="AA933" s="20"/>
      <c r="AB933" s="20"/>
      <c r="AC933" s="20"/>
      <c r="AD933" s="20"/>
      <c r="AE933" s="20"/>
      <c r="AF933" s="20"/>
      <c r="AG933" s="20"/>
      <c r="AH933" s="20"/>
      <c r="AI933" s="20"/>
      <c r="AJ933" s="20"/>
      <c r="AK933" s="20"/>
      <c r="AL933" s="20"/>
      <c r="AM933" s="20"/>
      <c r="AN933" s="20"/>
      <c r="AO933" s="20"/>
      <c r="AP933" s="20"/>
      <c r="AQ933" s="20"/>
      <c r="AR933" s="20"/>
      <c r="AS933" s="20"/>
      <c r="AT933" s="20"/>
      <c r="AU933" s="20"/>
      <c r="AV933" s="20"/>
      <c r="AW933" s="20"/>
      <c r="AX933" s="20"/>
      <c r="AY933" s="20"/>
      <c r="AZ933" s="20"/>
      <c r="BA933" s="20"/>
      <c r="BB933" s="20"/>
      <c r="BC933" s="20"/>
    </row>
    <row r="934" ht="13.5" customHeight="1" spans="1:55">
      <c r="A934" s="20"/>
      <c r="B934" s="20"/>
      <c r="C934" s="20"/>
      <c r="D934" s="20"/>
      <c r="E934" s="20"/>
      <c r="F934" s="20"/>
      <c r="G934" s="52"/>
      <c r="H934" s="20"/>
      <c r="I934" s="20"/>
      <c r="J934" s="20"/>
      <c r="K934" s="20"/>
      <c r="L934" s="20"/>
      <c r="M934" s="20"/>
      <c r="N934" s="20"/>
      <c r="O934" s="20"/>
      <c r="P934" s="20"/>
      <c r="Q934" s="20"/>
      <c r="R934" s="20"/>
      <c r="S934" s="20"/>
      <c r="T934" s="20"/>
      <c r="U934" s="20"/>
      <c r="V934" s="20"/>
      <c r="W934" s="20"/>
      <c r="X934" s="20"/>
      <c r="Y934" s="20"/>
      <c r="Z934" s="20"/>
      <c r="AA934" s="20"/>
      <c r="AB934" s="20"/>
      <c r="AC934" s="20"/>
      <c r="AD934" s="20"/>
      <c r="AE934" s="20"/>
      <c r="AF934" s="20"/>
      <c r="AG934" s="20"/>
      <c r="AH934" s="20"/>
      <c r="AI934" s="20"/>
      <c r="AJ934" s="20"/>
      <c r="AK934" s="20"/>
      <c r="AL934" s="20"/>
      <c r="AM934" s="20"/>
      <c r="AN934" s="20"/>
      <c r="AO934" s="20"/>
      <c r="AP934" s="20"/>
      <c r="AQ934" s="20"/>
      <c r="AR934" s="20"/>
      <c r="AS934" s="20"/>
      <c r="AT934" s="20"/>
      <c r="AU934" s="20"/>
      <c r="AV934" s="20"/>
      <c r="AW934" s="20"/>
      <c r="AX934" s="20"/>
      <c r="AY934" s="20"/>
      <c r="AZ934" s="20"/>
      <c r="BA934" s="20"/>
      <c r="BB934" s="20"/>
      <c r="BC934" s="20"/>
    </row>
    <row r="935" ht="13.5" customHeight="1" spans="1:55">
      <c r="A935" s="20"/>
      <c r="B935" s="20"/>
      <c r="C935" s="20"/>
      <c r="D935" s="20"/>
      <c r="E935" s="20"/>
      <c r="F935" s="20"/>
      <c r="G935" s="52"/>
      <c r="H935" s="20"/>
      <c r="I935" s="20"/>
      <c r="J935" s="20"/>
      <c r="K935" s="20"/>
      <c r="L935" s="20"/>
      <c r="M935" s="20"/>
      <c r="N935" s="20"/>
      <c r="O935" s="20"/>
      <c r="P935" s="20"/>
      <c r="Q935" s="20"/>
      <c r="R935" s="20"/>
      <c r="S935" s="20"/>
      <c r="T935" s="20"/>
      <c r="U935" s="20"/>
      <c r="V935" s="20"/>
      <c r="W935" s="20"/>
      <c r="X935" s="20"/>
      <c r="Y935" s="20"/>
      <c r="Z935" s="20"/>
      <c r="AA935" s="20"/>
      <c r="AB935" s="20"/>
      <c r="AC935" s="20"/>
      <c r="AD935" s="20"/>
      <c r="AE935" s="20"/>
      <c r="AF935" s="20"/>
      <c r="AG935" s="20"/>
      <c r="AH935" s="20"/>
      <c r="AI935" s="20"/>
      <c r="AJ935" s="20"/>
      <c r="AK935" s="20"/>
      <c r="AL935" s="20"/>
      <c r="AM935" s="20"/>
      <c r="AN935" s="20"/>
      <c r="AO935" s="20"/>
      <c r="AP935" s="20"/>
      <c r="AQ935" s="20"/>
      <c r="AR935" s="20"/>
      <c r="AS935" s="20"/>
      <c r="AT935" s="20"/>
      <c r="AU935" s="20"/>
      <c r="AV935" s="20"/>
      <c r="AW935" s="20"/>
      <c r="AX935" s="20"/>
      <c r="AY935" s="20"/>
      <c r="AZ935" s="20"/>
      <c r="BA935" s="20"/>
      <c r="BB935" s="20"/>
      <c r="BC935" s="20"/>
    </row>
    <row r="936" ht="13.5" customHeight="1" spans="1:55">
      <c r="A936" s="20"/>
      <c r="B936" s="20"/>
      <c r="C936" s="20"/>
      <c r="D936" s="20"/>
      <c r="E936" s="20"/>
      <c r="F936" s="20"/>
      <c r="G936" s="52"/>
      <c r="H936" s="20"/>
      <c r="I936" s="20"/>
      <c r="J936" s="20"/>
      <c r="K936" s="20"/>
      <c r="L936" s="20"/>
      <c r="M936" s="20"/>
      <c r="N936" s="20"/>
      <c r="O936" s="20"/>
      <c r="P936" s="20"/>
      <c r="Q936" s="20"/>
      <c r="R936" s="20"/>
      <c r="S936" s="20"/>
      <c r="T936" s="20"/>
      <c r="U936" s="20"/>
      <c r="V936" s="20"/>
      <c r="W936" s="20"/>
      <c r="X936" s="20"/>
      <c r="Y936" s="20"/>
      <c r="Z936" s="20"/>
      <c r="AA936" s="20"/>
      <c r="AB936" s="20"/>
      <c r="AC936" s="20"/>
      <c r="AD936" s="20"/>
      <c r="AE936" s="20"/>
      <c r="AF936" s="20"/>
      <c r="AG936" s="20"/>
      <c r="AH936" s="20"/>
      <c r="AI936" s="20"/>
      <c r="AJ936" s="20"/>
      <c r="AK936" s="20"/>
      <c r="AL936" s="20"/>
      <c r="AM936" s="20"/>
      <c r="AN936" s="20"/>
      <c r="AO936" s="20"/>
      <c r="AP936" s="20"/>
      <c r="AQ936" s="20"/>
      <c r="AR936" s="20"/>
      <c r="AS936" s="20"/>
      <c r="AT936" s="20"/>
      <c r="AU936" s="20"/>
      <c r="AV936" s="20"/>
      <c r="AW936" s="20"/>
      <c r="AX936" s="20"/>
      <c r="AY936" s="20"/>
      <c r="AZ936" s="20"/>
      <c r="BA936" s="20"/>
      <c r="BB936" s="20"/>
      <c r="BC936" s="20"/>
    </row>
    <row r="937" ht="13.5" customHeight="1" spans="1:55">
      <c r="A937" s="20"/>
      <c r="B937" s="20"/>
      <c r="C937" s="20"/>
      <c r="D937" s="20"/>
      <c r="E937" s="20"/>
      <c r="F937" s="20"/>
      <c r="G937" s="52"/>
      <c r="H937" s="20"/>
      <c r="I937" s="20"/>
      <c r="J937" s="20"/>
      <c r="K937" s="20"/>
      <c r="L937" s="20"/>
      <c r="M937" s="20"/>
      <c r="N937" s="20"/>
      <c r="O937" s="20"/>
      <c r="P937" s="20"/>
      <c r="Q937" s="20"/>
      <c r="R937" s="20"/>
      <c r="S937" s="20"/>
      <c r="T937" s="20"/>
      <c r="U937" s="20"/>
      <c r="V937" s="20"/>
      <c r="W937" s="20"/>
      <c r="X937" s="20"/>
      <c r="Y937" s="20"/>
      <c r="Z937" s="20"/>
      <c r="AA937" s="20"/>
      <c r="AB937" s="20"/>
      <c r="AC937" s="20"/>
      <c r="AD937" s="20"/>
      <c r="AE937" s="20"/>
      <c r="AF937" s="20"/>
      <c r="AG937" s="20"/>
      <c r="AH937" s="20"/>
      <c r="AI937" s="20"/>
      <c r="AJ937" s="20"/>
      <c r="AK937" s="20"/>
      <c r="AL937" s="20"/>
      <c r="AM937" s="20"/>
      <c r="AN937" s="20"/>
      <c r="AO937" s="20"/>
      <c r="AP937" s="20"/>
      <c r="AQ937" s="20"/>
      <c r="AR937" s="20"/>
      <c r="AS937" s="20"/>
      <c r="AT937" s="20"/>
      <c r="AU937" s="20"/>
      <c r="AV937" s="20"/>
      <c r="AW937" s="20"/>
      <c r="AX937" s="20"/>
      <c r="AY937" s="20"/>
      <c r="AZ937" s="20"/>
      <c r="BA937" s="20"/>
      <c r="BB937" s="20"/>
      <c r="BC937" s="20"/>
    </row>
    <row r="938" ht="13.5" customHeight="1" spans="1:55">
      <c r="A938" s="20"/>
      <c r="B938" s="20"/>
      <c r="C938" s="20"/>
      <c r="D938" s="20"/>
      <c r="E938" s="20"/>
      <c r="F938" s="20"/>
      <c r="G938" s="52"/>
      <c r="H938" s="20"/>
      <c r="I938" s="20"/>
      <c r="J938" s="20"/>
      <c r="K938" s="20"/>
      <c r="L938" s="20"/>
      <c r="M938" s="20"/>
      <c r="N938" s="20"/>
      <c r="O938" s="20"/>
      <c r="P938" s="20"/>
      <c r="Q938" s="20"/>
      <c r="R938" s="20"/>
      <c r="S938" s="20"/>
      <c r="T938" s="20"/>
      <c r="U938" s="20"/>
      <c r="V938" s="20"/>
      <c r="W938" s="20"/>
      <c r="X938" s="20"/>
      <c r="Y938" s="20"/>
      <c r="Z938" s="20"/>
      <c r="AA938" s="20"/>
      <c r="AB938" s="20"/>
      <c r="AC938" s="20"/>
      <c r="AD938" s="20"/>
      <c r="AE938" s="20"/>
      <c r="AF938" s="20"/>
      <c r="AG938" s="20"/>
      <c r="AH938" s="20"/>
      <c r="AI938" s="20"/>
      <c r="AJ938" s="20"/>
      <c r="AK938" s="20"/>
      <c r="AL938" s="20"/>
      <c r="AM938" s="20"/>
      <c r="AN938" s="20"/>
      <c r="AO938" s="20"/>
      <c r="AP938" s="20"/>
      <c r="AQ938" s="20"/>
      <c r="AR938" s="20"/>
      <c r="AS938" s="20"/>
      <c r="AT938" s="20"/>
      <c r="AU938" s="20"/>
      <c r="AV938" s="20"/>
      <c r="AW938" s="20"/>
      <c r="AX938" s="20"/>
      <c r="AY938" s="20"/>
      <c r="AZ938" s="20"/>
      <c r="BA938" s="20"/>
      <c r="BB938" s="20"/>
      <c r="BC938" s="20"/>
    </row>
    <row r="939" ht="13.5" customHeight="1" spans="1:55">
      <c r="A939" s="20"/>
      <c r="B939" s="20"/>
      <c r="C939" s="20"/>
      <c r="D939" s="20"/>
      <c r="E939" s="20"/>
      <c r="F939" s="20"/>
      <c r="G939" s="52"/>
      <c r="H939" s="20"/>
      <c r="I939" s="20"/>
      <c r="J939" s="20"/>
      <c r="K939" s="20"/>
      <c r="L939" s="20"/>
      <c r="M939" s="20"/>
      <c r="N939" s="20"/>
      <c r="O939" s="20"/>
      <c r="P939" s="20"/>
      <c r="Q939" s="20"/>
      <c r="R939" s="20"/>
      <c r="S939" s="20"/>
      <c r="T939" s="20"/>
      <c r="U939" s="20"/>
      <c r="V939" s="20"/>
      <c r="W939" s="20"/>
      <c r="X939" s="20"/>
      <c r="Y939" s="20"/>
      <c r="Z939" s="20"/>
      <c r="AA939" s="20"/>
      <c r="AB939" s="20"/>
      <c r="AC939" s="20"/>
      <c r="AD939" s="20"/>
      <c r="AE939" s="20"/>
      <c r="AF939" s="20"/>
      <c r="AG939" s="20"/>
      <c r="AH939" s="20"/>
      <c r="AI939" s="20"/>
      <c r="AJ939" s="20"/>
      <c r="AK939" s="20"/>
      <c r="AL939" s="20"/>
      <c r="AM939" s="20"/>
      <c r="AN939" s="20"/>
      <c r="AO939" s="20"/>
      <c r="AP939" s="20"/>
      <c r="AQ939" s="20"/>
      <c r="AR939" s="20"/>
      <c r="AS939" s="20"/>
      <c r="AT939" s="20"/>
      <c r="AU939" s="20"/>
      <c r="AV939" s="20"/>
      <c r="AW939" s="20"/>
      <c r="AX939" s="20"/>
      <c r="AY939" s="20"/>
      <c r="AZ939" s="20"/>
      <c r="BA939" s="20"/>
      <c r="BB939" s="20"/>
      <c r="BC939" s="20"/>
    </row>
    <row r="940" ht="13.5" customHeight="1" spans="1:55">
      <c r="A940" s="20"/>
      <c r="B940" s="20"/>
      <c r="C940" s="20"/>
      <c r="D940" s="20"/>
      <c r="E940" s="20"/>
      <c r="F940" s="20"/>
      <c r="G940" s="52"/>
      <c r="H940" s="20"/>
      <c r="I940" s="20"/>
      <c r="J940" s="20"/>
      <c r="K940" s="20"/>
      <c r="L940" s="20"/>
      <c r="M940" s="20"/>
      <c r="N940" s="20"/>
      <c r="O940" s="20"/>
      <c r="P940" s="20"/>
      <c r="Q940" s="20"/>
      <c r="R940" s="20"/>
      <c r="S940" s="20"/>
      <c r="T940" s="20"/>
      <c r="U940" s="20"/>
      <c r="V940" s="20"/>
      <c r="W940" s="20"/>
      <c r="X940" s="20"/>
      <c r="Y940" s="20"/>
      <c r="Z940" s="20"/>
      <c r="AA940" s="20"/>
      <c r="AB940" s="20"/>
      <c r="AC940" s="20"/>
      <c r="AD940" s="20"/>
      <c r="AE940" s="20"/>
      <c r="AF940" s="20"/>
      <c r="AG940" s="20"/>
      <c r="AH940" s="20"/>
      <c r="AI940" s="20"/>
      <c r="AJ940" s="20"/>
      <c r="AK940" s="20"/>
      <c r="AL940" s="20"/>
      <c r="AM940" s="20"/>
      <c r="AN940" s="20"/>
      <c r="AO940" s="20"/>
      <c r="AP940" s="20"/>
      <c r="AQ940" s="20"/>
      <c r="AR940" s="20"/>
      <c r="AS940" s="20"/>
      <c r="AT940" s="20"/>
      <c r="AU940" s="20"/>
      <c r="AV940" s="20"/>
      <c r="AW940" s="20"/>
      <c r="AX940" s="20"/>
      <c r="AY940" s="20"/>
      <c r="AZ940" s="20"/>
      <c r="BA940" s="20"/>
      <c r="BB940" s="20"/>
      <c r="BC940" s="20"/>
    </row>
    <row r="941" ht="13.5" customHeight="1" spans="1:55">
      <c r="A941" s="20"/>
      <c r="B941" s="20"/>
      <c r="C941" s="20"/>
      <c r="D941" s="20"/>
      <c r="E941" s="20"/>
      <c r="F941" s="20"/>
      <c r="G941" s="52"/>
      <c r="H941" s="20"/>
      <c r="I941" s="20"/>
      <c r="J941" s="20"/>
      <c r="K941" s="20"/>
      <c r="L941" s="20"/>
      <c r="M941" s="20"/>
      <c r="N941" s="20"/>
      <c r="O941" s="20"/>
      <c r="P941" s="20"/>
      <c r="Q941" s="20"/>
      <c r="R941" s="20"/>
      <c r="S941" s="20"/>
      <c r="T941" s="20"/>
      <c r="U941" s="20"/>
      <c r="V941" s="20"/>
      <c r="W941" s="20"/>
      <c r="X941" s="20"/>
      <c r="Y941" s="20"/>
      <c r="Z941" s="20"/>
      <c r="AA941" s="20"/>
      <c r="AB941" s="20"/>
      <c r="AC941" s="20"/>
      <c r="AD941" s="20"/>
      <c r="AE941" s="20"/>
      <c r="AF941" s="20"/>
      <c r="AG941" s="20"/>
      <c r="AH941" s="20"/>
      <c r="AI941" s="20"/>
      <c r="AJ941" s="20"/>
      <c r="AK941" s="20"/>
      <c r="AL941" s="20"/>
      <c r="AM941" s="20"/>
      <c r="AN941" s="20"/>
      <c r="AO941" s="20"/>
      <c r="AP941" s="20"/>
      <c r="AQ941" s="20"/>
      <c r="AR941" s="20"/>
      <c r="AS941" s="20"/>
      <c r="AT941" s="20"/>
      <c r="AU941" s="20"/>
      <c r="AV941" s="20"/>
      <c r="AW941" s="20"/>
      <c r="AX941" s="20"/>
      <c r="AY941" s="20"/>
      <c r="AZ941" s="20"/>
      <c r="BA941" s="20"/>
      <c r="BB941" s="20"/>
      <c r="BC941" s="20"/>
    </row>
    <row r="942" ht="13.5" customHeight="1" spans="1:55">
      <c r="A942" s="20"/>
      <c r="B942" s="20"/>
      <c r="C942" s="20"/>
      <c r="D942" s="20"/>
      <c r="E942" s="20"/>
      <c r="F942" s="20"/>
      <c r="G942" s="52"/>
      <c r="H942" s="20"/>
      <c r="I942" s="20"/>
      <c r="J942" s="20"/>
      <c r="K942" s="20"/>
      <c r="L942" s="20"/>
      <c r="M942" s="20"/>
      <c r="N942" s="20"/>
      <c r="O942" s="20"/>
      <c r="P942" s="20"/>
      <c r="Q942" s="20"/>
      <c r="R942" s="20"/>
      <c r="S942" s="20"/>
      <c r="T942" s="20"/>
      <c r="U942" s="20"/>
      <c r="V942" s="20"/>
      <c r="W942" s="20"/>
      <c r="X942" s="20"/>
      <c r="Y942" s="20"/>
      <c r="Z942" s="20"/>
      <c r="AA942" s="20"/>
      <c r="AB942" s="20"/>
      <c r="AC942" s="20"/>
      <c r="AD942" s="20"/>
      <c r="AE942" s="20"/>
      <c r="AF942" s="20"/>
      <c r="AG942" s="20"/>
      <c r="AH942" s="20"/>
      <c r="AI942" s="20"/>
      <c r="AJ942" s="20"/>
      <c r="AK942" s="20"/>
      <c r="AL942" s="20"/>
      <c r="AM942" s="20"/>
      <c r="AN942" s="20"/>
      <c r="AO942" s="20"/>
      <c r="AP942" s="20"/>
      <c r="AQ942" s="20"/>
      <c r="AR942" s="20"/>
      <c r="AS942" s="20"/>
      <c r="AT942" s="20"/>
      <c r="AU942" s="20"/>
      <c r="AV942" s="20"/>
      <c r="AW942" s="20"/>
      <c r="AX942" s="20"/>
      <c r="AY942" s="20"/>
      <c r="AZ942" s="20"/>
      <c r="BA942" s="20"/>
      <c r="BB942" s="20"/>
      <c r="BC942" s="20"/>
    </row>
    <row r="943" ht="13.5" customHeight="1" spans="1:55">
      <c r="A943" s="20"/>
      <c r="B943" s="20"/>
      <c r="C943" s="20"/>
      <c r="D943" s="20"/>
      <c r="E943" s="20"/>
      <c r="F943" s="20"/>
      <c r="G943" s="52"/>
      <c r="H943" s="20"/>
      <c r="I943" s="20"/>
      <c r="J943" s="20"/>
      <c r="K943" s="20"/>
      <c r="L943" s="20"/>
      <c r="M943" s="20"/>
      <c r="N943" s="20"/>
      <c r="O943" s="20"/>
      <c r="P943" s="20"/>
      <c r="Q943" s="20"/>
      <c r="R943" s="20"/>
      <c r="S943" s="20"/>
      <c r="T943" s="20"/>
      <c r="U943" s="20"/>
      <c r="V943" s="20"/>
      <c r="W943" s="20"/>
      <c r="X943" s="20"/>
      <c r="Y943" s="20"/>
      <c r="Z943" s="20"/>
      <c r="AA943" s="20"/>
      <c r="AB943" s="20"/>
      <c r="AC943" s="20"/>
      <c r="AD943" s="20"/>
      <c r="AE943" s="20"/>
      <c r="AF943" s="20"/>
      <c r="AG943" s="20"/>
      <c r="AH943" s="20"/>
      <c r="AI943" s="20"/>
      <c r="AJ943" s="20"/>
      <c r="AK943" s="20"/>
      <c r="AL943" s="20"/>
      <c r="AM943" s="20"/>
      <c r="AN943" s="20"/>
      <c r="AO943" s="20"/>
      <c r="AP943" s="20"/>
      <c r="AQ943" s="20"/>
      <c r="AR943" s="20"/>
      <c r="AS943" s="20"/>
      <c r="AT943" s="20"/>
      <c r="AU943" s="20"/>
      <c r="AV943" s="20"/>
      <c r="AW943" s="20"/>
      <c r="AX943" s="20"/>
      <c r="AY943" s="20"/>
      <c r="AZ943" s="20"/>
      <c r="BA943" s="20"/>
      <c r="BB943" s="20"/>
      <c r="BC943" s="20"/>
    </row>
    <row r="944" ht="13.5" customHeight="1" spans="1:55">
      <c r="A944" s="20"/>
      <c r="B944" s="20"/>
      <c r="C944" s="20"/>
      <c r="D944" s="20"/>
      <c r="E944" s="20"/>
      <c r="F944" s="20"/>
      <c r="G944" s="52"/>
      <c r="H944" s="20"/>
      <c r="I944" s="20"/>
      <c r="J944" s="20"/>
      <c r="K944" s="20"/>
      <c r="L944" s="20"/>
      <c r="M944" s="20"/>
      <c r="N944" s="20"/>
      <c r="O944" s="20"/>
      <c r="P944" s="20"/>
      <c r="Q944" s="20"/>
      <c r="R944" s="20"/>
      <c r="S944" s="20"/>
      <c r="T944" s="20"/>
      <c r="U944" s="20"/>
      <c r="V944" s="20"/>
      <c r="W944" s="20"/>
      <c r="X944" s="20"/>
      <c r="Y944" s="20"/>
      <c r="Z944" s="20"/>
      <c r="AA944" s="20"/>
      <c r="AB944" s="20"/>
      <c r="AC944" s="20"/>
      <c r="AD944" s="20"/>
      <c r="AE944" s="20"/>
      <c r="AF944" s="20"/>
      <c r="AG944" s="20"/>
      <c r="AH944" s="20"/>
      <c r="AI944" s="20"/>
      <c r="AJ944" s="20"/>
      <c r="AK944" s="20"/>
      <c r="AL944" s="20"/>
      <c r="AM944" s="20"/>
      <c r="AN944" s="20"/>
      <c r="AO944" s="20"/>
      <c r="AP944" s="20"/>
      <c r="AQ944" s="20"/>
      <c r="AR944" s="20"/>
      <c r="AS944" s="20"/>
      <c r="AT944" s="20"/>
      <c r="AU944" s="20"/>
      <c r="AV944" s="20"/>
      <c r="AW944" s="20"/>
      <c r="AX944" s="20"/>
      <c r="AY944" s="20"/>
      <c r="AZ944" s="20"/>
      <c r="BA944" s="20"/>
      <c r="BB944" s="20"/>
      <c r="BC944" s="20"/>
    </row>
    <row r="945" ht="13.5" customHeight="1" spans="1:55">
      <c r="A945" s="20"/>
      <c r="B945" s="20"/>
      <c r="C945" s="20"/>
      <c r="D945" s="20"/>
      <c r="E945" s="20"/>
      <c r="F945" s="20"/>
      <c r="G945" s="52"/>
      <c r="H945" s="20"/>
      <c r="I945" s="20"/>
      <c r="J945" s="20"/>
      <c r="K945" s="20"/>
      <c r="L945" s="20"/>
      <c r="M945" s="20"/>
      <c r="N945" s="20"/>
      <c r="O945" s="20"/>
      <c r="P945" s="20"/>
      <c r="Q945" s="20"/>
      <c r="R945" s="20"/>
      <c r="S945" s="20"/>
      <c r="T945" s="20"/>
      <c r="U945" s="20"/>
      <c r="V945" s="20"/>
      <c r="W945" s="20"/>
      <c r="X945" s="20"/>
      <c r="Y945" s="20"/>
      <c r="Z945" s="20"/>
      <c r="AA945" s="20"/>
      <c r="AB945" s="20"/>
      <c r="AC945" s="20"/>
      <c r="AD945" s="20"/>
      <c r="AE945" s="20"/>
      <c r="AF945" s="20"/>
      <c r="AG945" s="20"/>
      <c r="AH945" s="20"/>
      <c r="AI945" s="20"/>
      <c r="AJ945" s="20"/>
      <c r="AK945" s="20"/>
      <c r="AL945" s="20"/>
      <c r="AM945" s="20"/>
      <c r="AN945" s="20"/>
      <c r="AO945" s="20"/>
      <c r="AP945" s="20"/>
      <c r="AQ945" s="20"/>
      <c r="AR945" s="20"/>
      <c r="AS945" s="20"/>
      <c r="AT945" s="20"/>
      <c r="AU945" s="20"/>
      <c r="AV945" s="20"/>
      <c r="AW945" s="20"/>
      <c r="AX945" s="20"/>
      <c r="AY945" s="20"/>
      <c r="AZ945" s="20"/>
      <c r="BA945" s="20"/>
      <c r="BB945" s="20"/>
      <c r="BC945" s="20"/>
    </row>
    <row r="946" ht="13.5" customHeight="1" spans="1:55">
      <c r="A946" s="20"/>
      <c r="B946" s="20"/>
      <c r="C946" s="20"/>
      <c r="D946" s="20"/>
      <c r="E946" s="20"/>
      <c r="F946" s="20"/>
      <c r="G946" s="52"/>
      <c r="H946" s="20"/>
      <c r="I946" s="20"/>
      <c r="J946" s="20"/>
      <c r="K946" s="20"/>
      <c r="L946" s="20"/>
      <c r="M946" s="20"/>
      <c r="N946" s="20"/>
      <c r="O946" s="20"/>
      <c r="P946" s="20"/>
      <c r="Q946" s="20"/>
      <c r="R946" s="20"/>
      <c r="S946" s="20"/>
      <c r="T946" s="20"/>
      <c r="U946" s="20"/>
      <c r="V946" s="20"/>
      <c r="W946" s="20"/>
      <c r="X946" s="20"/>
      <c r="Y946" s="20"/>
      <c r="Z946" s="20"/>
      <c r="AA946" s="20"/>
      <c r="AB946" s="20"/>
      <c r="AC946" s="20"/>
      <c r="AD946" s="20"/>
      <c r="AE946" s="20"/>
      <c r="AF946" s="20"/>
      <c r="AG946" s="20"/>
      <c r="AH946" s="20"/>
      <c r="AI946" s="20"/>
      <c r="AJ946" s="20"/>
      <c r="AK946" s="20"/>
      <c r="AL946" s="20"/>
      <c r="AM946" s="20"/>
      <c r="AN946" s="20"/>
      <c r="AO946" s="20"/>
      <c r="AP946" s="20"/>
      <c r="AQ946" s="20"/>
      <c r="AR946" s="20"/>
      <c r="AS946" s="20"/>
      <c r="AT946" s="20"/>
      <c r="AU946" s="20"/>
      <c r="AV946" s="20"/>
      <c r="AW946" s="20"/>
      <c r="AX946" s="20"/>
      <c r="AY946" s="20"/>
      <c r="AZ946" s="20"/>
      <c r="BA946" s="20"/>
      <c r="BB946" s="20"/>
      <c r="BC946" s="20"/>
    </row>
    <row r="947" ht="13.5" customHeight="1" spans="1:55">
      <c r="A947" s="20"/>
      <c r="B947" s="20"/>
      <c r="C947" s="20"/>
      <c r="D947" s="20"/>
      <c r="E947" s="20"/>
      <c r="F947" s="20"/>
      <c r="G947" s="52"/>
      <c r="H947" s="20"/>
      <c r="I947" s="20"/>
      <c r="J947" s="20"/>
      <c r="K947" s="20"/>
      <c r="L947" s="20"/>
      <c r="M947" s="20"/>
      <c r="N947" s="20"/>
      <c r="O947" s="20"/>
      <c r="P947" s="20"/>
      <c r="Q947" s="20"/>
      <c r="R947" s="20"/>
      <c r="S947" s="20"/>
      <c r="T947" s="20"/>
      <c r="U947" s="20"/>
      <c r="V947" s="20"/>
      <c r="W947" s="20"/>
      <c r="X947" s="20"/>
      <c r="Y947" s="20"/>
      <c r="Z947" s="20"/>
      <c r="AA947" s="20"/>
      <c r="AB947" s="20"/>
      <c r="AC947" s="20"/>
      <c r="AD947" s="20"/>
      <c r="AE947" s="20"/>
      <c r="AF947" s="20"/>
      <c r="AG947" s="20"/>
      <c r="AH947" s="20"/>
      <c r="AI947" s="20"/>
      <c r="AJ947" s="20"/>
      <c r="AK947" s="20"/>
      <c r="AL947" s="20"/>
      <c r="AM947" s="20"/>
      <c r="AN947" s="20"/>
      <c r="AO947" s="20"/>
      <c r="AP947" s="20"/>
      <c r="AQ947" s="20"/>
      <c r="AR947" s="20"/>
      <c r="AS947" s="20"/>
      <c r="AT947" s="20"/>
      <c r="AU947" s="20"/>
      <c r="AV947" s="20"/>
      <c r="AW947" s="20"/>
      <c r="AX947" s="20"/>
      <c r="AY947" s="20"/>
      <c r="AZ947" s="20"/>
      <c r="BA947" s="20"/>
      <c r="BB947" s="20"/>
      <c r="BC947" s="20"/>
    </row>
    <row r="948" ht="13.5" customHeight="1" spans="1:55">
      <c r="A948" s="20"/>
      <c r="B948" s="20"/>
      <c r="C948" s="20"/>
      <c r="D948" s="20"/>
      <c r="E948" s="20"/>
      <c r="F948" s="20"/>
      <c r="G948" s="52"/>
      <c r="H948" s="20"/>
      <c r="I948" s="20"/>
      <c r="J948" s="20"/>
      <c r="K948" s="20"/>
      <c r="L948" s="20"/>
      <c r="M948" s="20"/>
      <c r="N948" s="20"/>
      <c r="O948" s="20"/>
      <c r="P948" s="20"/>
      <c r="Q948" s="20"/>
      <c r="R948" s="20"/>
      <c r="S948" s="20"/>
      <c r="T948" s="20"/>
      <c r="U948" s="20"/>
      <c r="V948" s="20"/>
      <c r="W948" s="20"/>
      <c r="X948" s="20"/>
      <c r="Y948" s="20"/>
      <c r="Z948" s="20"/>
      <c r="AA948" s="20"/>
      <c r="AB948" s="20"/>
      <c r="AC948" s="20"/>
      <c r="AD948" s="20"/>
      <c r="AE948" s="20"/>
      <c r="AF948" s="20"/>
      <c r="AG948" s="20"/>
      <c r="AH948" s="20"/>
      <c r="AI948" s="20"/>
      <c r="AJ948" s="20"/>
      <c r="AK948" s="20"/>
      <c r="AL948" s="20"/>
      <c r="AM948" s="20"/>
      <c r="AN948" s="20"/>
      <c r="AO948" s="20"/>
      <c r="AP948" s="20"/>
      <c r="AQ948" s="20"/>
      <c r="AR948" s="20"/>
      <c r="AS948" s="20"/>
      <c r="AT948" s="20"/>
      <c r="AU948" s="20"/>
      <c r="AV948" s="20"/>
      <c r="AW948" s="20"/>
      <c r="AX948" s="20"/>
      <c r="AY948" s="20"/>
      <c r="AZ948" s="20"/>
      <c r="BA948" s="20"/>
      <c r="BB948" s="20"/>
      <c r="BC948" s="20"/>
    </row>
    <row r="949" ht="13.5" customHeight="1" spans="1:55">
      <c r="A949" s="20"/>
      <c r="B949" s="20"/>
      <c r="C949" s="20"/>
      <c r="D949" s="20"/>
      <c r="E949" s="20"/>
      <c r="F949" s="20"/>
      <c r="G949" s="52"/>
      <c r="H949" s="20"/>
      <c r="I949" s="20"/>
      <c r="J949" s="20"/>
      <c r="K949" s="20"/>
      <c r="L949" s="20"/>
      <c r="M949" s="20"/>
      <c r="N949" s="20"/>
      <c r="O949" s="20"/>
      <c r="P949" s="20"/>
      <c r="Q949" s="20"/>
      <c r="R949" s="20"/>
      <c r="S949" s="20"/>
      <c r="T949" s="20"/>
      <c r="U949" s="20"/>
      <c r="V949" s="20"/>
      <c r="W949" s="20"/>
      <c r="X949" s="20"/>
      <c r="Y949" s="20"/>
      <c r="Z949" s="20"/>
      <c r="AA949" s="20"/>
      <c r="AB949" s="20"/>
      <c r="AC949" s="20"/>
      <c r="AD949" s="20"/>
      <c r="AE949" s="20"/>
      <c r="AF949" s="20"/>
      <c r="AG949" s="20"/>
      <c r="AH949" s="20"/>
      <c r="AI949" s="20"/>
      <c r="AJ949" s="20"/>
      <c r="AK949" s="20"/>
      <c r="AL949" s="20"/>
      <c r="AM949" s="20"/>
      <c r="AN949" s="20"/>
      <c r="AO949" s="20"/>
      <c r="AP949" s="20"/>
      <c r="AQ949" s="20"/>
      <c r="AR949" s="20"/>
      <c r="AS949" s="20"/>
      <c r="AT949" s="20"/>
      <c r="AU949" s="20"/>
      <c r="AV949" s="20"/>
      <c r="AW949" s="20"/>
      <c r="AX949" s="20"/>
      <c r="AY949" s="20"/>
      <c r="AZ949" s="20"/>
      <c r="BA949" s="20"/>
      <c r="BB949" s="20"/>
      <c r="BC949" s="20"/>
    </row>
    <row r="950" ht="13.5" customHeight="1" spans="1:55">
      <c r="A950" s="20"/>
      <c r="B950" s="20"/>
      <c r="C950" s="20"/>
      <c r="D950" s="20"/>
      <c r="E950" s="20"/>
      <c r="F950" s="20"/>
      <c r="G950" s="52"/>
      <c r="H950" s="20"/>
      <c r="I950" s="20"/>
      <c r="J950" s="20"/>
      <c r="K950" s="20"/>
      <c r="L950" s="20"/>
      <c r="M950" s="20"/>
      <c r="N950" s="20"/>
      <c r="O950" s="20"/>
      <c r="P950" s="20"/>
      <c r="Q950" s="20"/>
      <c r="R950" s="20"/>
      <c r="S950" s="20"/>
      <c r="T950" s="20"/>
      <c r="U950" s="20"/>
      <c r="V950" s="20"/>
      <c r="W950" s="20"/>
      <c r="X950" s="20"/>
      <c r="Y950" s="20"/>
      <c r="Z950" s="20"/>
      <c r="AA950" s="20"/>
      <c r="AB950" s="20"/>
      <c r="AC950" s="20"/>
      <c r="AD950" s="20"/>
      <c r="AE950" s="20"/>
      <c r="AF950" s="20"/>
      <c r="AG950" s="20"/>
      <c r="AH950" s="20"/>
      <c r="AI950" s="20"/>
      <c r="AJ950" s="20"/>
      <c r="AK950" s="20"/>
      <c r="AL950" s="20"/>
      <c r="AM950" s="20"/>
      <c r="AN950" s="20"/>
      <c r="AO950" s="20"/>
      <c r="AP950" s="20"/>
      <c r="AQ950" s="20"/>
      <c r="AR950" s="20"/>
      <c r="AS950" s="20"/>
      <c r="AT950" s="20"/>
      <c r="AU950" s="20"/>
      <c r="AV950" s="20"/>
      <c r="AW950" s="20"/>
      <c r="AX950" s="20"/>
      <c r="AY950" s="20"/>
      <c r="AZ950" s="20"/>
      <c r="BA950" s="20"/>
      <c r="BB950" s="20"/>
      <c r="BC950" s="20"/>
    </row>
    <row r="951" ht="13.5" customHeight="1" spans="1:55">
      <c r="A951" s="20"/>
      <c r="B951" s="20"/>
      <c r="C951" s="20"/>
      <c r="D951" s="20"/>
      <c r="E951" s="20"/>
      <c r="F951" s="20"/>
      <c r="G951" s="52"/>
      <c r="H951" s="20"/>
      <c r="I951" s="20"/>
      <c r="J951" s="20"/>
      <c r="K951" s="20"/>
      <c r="L951" s="20"/>
      <c r="M951" s="20"/>
      <c r="N951" s="20"/>
      <c r="O951" s="20"/>
      <c r="P951" s="20"/>
      <c r="Q951" s="20"/>
      <c r="R951" s="20"/>
      <c r="S951" s="20"/>
      <c r="T951" s="20"/>
      <c r="U951" s="20"/>
      <c r="V951" s="20"/>
      <c r="W951" s="20"/>
      <c r="X951" s="20"/>
      <c r="Y951" s="20"/>
      <c r="Z951" s="20"/>
      <c r="AA951" s="20"/>
      <c r="AB951" s="20"/>
      <c r="AC951" s="20"/>
      <c r="AD951" s="20"/>
      <c r="AE951" s="20"/>
      <c r="AF951" s="20"/>
      <c r="AG951" s="20"/>
      <c r="AH951" s="20"/>
      <c r="AI951" s="20"/>
      <c r="AJ951" s="20"/>
      <c r="AK951" s="20"/>
      <c r="AL951" s="20"/>
      <c r="AM951" s="20"/>
      <c r="AN951" s="20"/>
      <c r="AO951" s="20"/>
      <c r="AP951" s="20"/>
      <c r="AQ951" s="20"/>
      <c r="AR951" s="20"/>
      <c r="AS951" s="20"/>
      <c r="AT951" s="20"/>
      <c r="AU951" s="20"/>
      <c r="AV951" s="20"/>
      <c r="AW951" s="20"/>
      <c r="AX951" s="20"/>
      <c r="AY951" s="20"/>
      <c r="AZ951" s="20"/>
      <c r="BA951" s="20"/>
      <c r="BB951" s="20"/>
      <c r="BC951" s="20"/>
    </row>
    <row r="952" ht="13.5" customHeight="1" spans="1:55">
      <c r="A952" s="20"/>
      <c r="B952" s="20"/>
      <c r="C952" s="20"/>
      <c r="D952" s="20"/>
      <c r="E952" s="20"/>
      <c r="F952" s="20"/>
      <c r="G952" s="52"/>
      <c r="H952" s="20"/>
      <c r="I952" s="20"/>
      <c r="J952" s="20"/>
      <c r="K952" s="20"/>
      <c r="L952" s="20"/>
      <c r="M952" s="20"/>
      <c r="N952" s="20"/>
      <c r="O952" s="20"/>
      <c r="P952" s="20"/>
      <c r="Q952" s="20"/>
      <c r="R952" s="20"/>
      <c r="S952" s="20"/>
      <c r="T952" s="20"/>
      <c r="U952" s="20"/>
      <c r="V952" s="20"/>
      <c r="W952" s="20"/>
      <c r="X952" s="20"/>
      <c r="Y952" s="20"/>
      <c r="Z952" s="20"/>
      <c r="AA952" s="20"/>
      <c r="AB952" s="20"/>
      <c r="AC952" s="20"/>
      <c r="AD952" s="20"/>
      <c r="AE952" s="20"/>
      <c r="AF952" s="20"/>
      <c r="AG952" s="20"/>
      <c r="AH952" s="20"/>
      <c r="AI952" s="20"/>
      <c r="AJ952" s="20"/>
      <c r="AK952" s="20"/>
      <c r="AL952" s="20"/>
      <c r="AM952" s="20"/>
      <c r="AN952" s="20"/>
      <c r="AO952" s="20"/>
      <c r="AP952" s="20"/>
      <c r="AQ952" s="20"/>
      <c r="AR952" s="20"/>
      <c r="AS952" s="20"/>
      <c r="AT952" s="20"/>
      <c r="AU952" s="20"/>
      <c r="AV952" s="20"/>
      <c r="AW952" s="20"/>
      <c r="AX952" s="20"/>
      <c r="AY952" s="20"/>
      <c r="AZ952" s="20"/>
      <c r="BA952" s="20"/>
      <c r="BB952" s="20"/>
      <c r="BC952" s="20"/>
    </row>
    <row r="953" ht="13.5" customHeight="1" spans="1:55">
      <c r="A953" s="20"/>
      <c r="B953" s="20"/>
      <c r="C953" s="20"/>
      <c r="D953" s="20"/>
      <c r="E953" s="20"/>
      <c r="F953" s="20"/>
      <c r="G953" s="52"/>
      <c r="H953" s="20"/>
      <c r="I953" s="20"/>
      <c r="J953" s="20"/>
      <c r="K953" s="20"/>
      <c r="L953" s="20"/>
      <c r="M953" s="20"/>
      <c r="N953" s="20"/>
      <c r="O953" s="20"/>
      <c r="P953" s="20"/>
      <c r="Q953" s="20"/>
      <c r="R953" s="20"/>
      <c r="S953" s="20"/>
      <c r="T953" s="20"/>
      <c r="U953" s="20"/>
      <c r="V953" s="20"/>
      <c r="W953" s="20"/>
      <c r="X953" s="20"/>
      <c r="Y953" s="20"/>
      <c r="Z953" s="20"/>
      <c r="AA953" s="20"/>
      <c r="AB953" s="20"/>
      <c r="AC953" s="20"/>
      <c r="AD953" s="20"/>
      <c r="AE953" s="20"/>
      <c r="AF953" s="20"/>
      <c r="AG953" s="20"/>
      <c r="AH953" s="20"/>
      <c r="AI953" s="20"/>
      <c r="AJ953" s="20"/>
      <c r="AK953" s="20"/>
      <c r="AL953" s="20"/>
      <c r="AM953" s="20"/>
      <c r="AN953" s="20"/>
      <c r="AO953" s="20"/>
      <c r="AP953" s="20"/>
      <c r="AQ953" s="20"/>
      <c r="AR953" s="20"/>
      <c r="AS953" s="20"/>
      <c r="AT953" s="20"/>
      <c r="AU953" s="20"/>
      <c r="AV953" s="20"/>
      <c r="AW953" s="20"/>
      <c r="AX953" s="20"/>
      <c r="AY953" s="20"/>
      <c r="AZ953" s="20"/>
      <c r="BA953" s="20"/>
      <c r="BB953" s="20"/>
      <c r="BC953" s="20"/>
    </row>
    <row r="954" ht="13.5" customHeight="1" spans="1:55">
      <c r="A954" s="20"/>
      <c r="B954" s="20"/>
      <c r="C954" s="20"/>
      <c r="D954" s="20"/>
      <c r="E954" s="20"/>
      <c r="F954" s="20"/>
      <c r="G954" s="52"/>
      <c r="H954" s="20"/>
      <c r="I954" s="20"/>
      <c r="J954" s="20"/>
      <c r="K954" s="20"/>
      <c r="L954" s="20"/>
      <c r="M954" s="20"/>
      <c r="N954" s="20"/>
      <c r="O954" s="20"/>
      <c r="P954" s="20"/>
      <c r="Q954" s="20"/>
      <c r="R954" s="20"/>
      <c r="S954" s="20"/>
      <c r="T954" s="20"/>
      <c r="U954" s="20"/>
      <c r="V954" s="20"/>
      <c r="W954" s="20"/>
      <c r="X954" s="20"/>
      <c r="Y954" s="20"/>
      <c r="Z954" s="20"/>
      <c r="AA954" s="20"/>
      <c r="AB954" s="20"/>
      <c r="AC954" s="20"/>
      <c r="AD954" s="20"/>
      <c r="AE954" s="20"/>
      <c r="AF954" s="20"/>
      <c r="AG954" s="20"/>
      <c r="AH954" s="20"/>
      <c r="AI954" s="20"/>
      <c r="AJ954" s="20"/>
      <c r="AK954" s="20"/>
      <c r="AL954" s="20"/>
      <c r="AM954" s="20"/>
      <c r="AN954" s="20"/>
      <c r="AO954" s="20"/>
      <c r="AP954" s="20"/>
      <c r="AQ954" s="20"/>
      <c r="AR954" s="20"/>
      <c r="AS954" s="20"/>
      <c r="AT954" s="20"/>
      <c r="AU954" s="20"/>
      <c r="AV954" s="20"/>
      <c r="AW954" s="20"/>
      <c r="AX954" s="20"/>
      <c r="AY954" s="20"/>
      <c r="AZ954" s="20"/>
      <c r="BA954" s="20"/>
      <c r="BB954" s="20"/>
      <c r="BC954" s="20"/>
    </row>
    <row r="955" ht="13.5" customHeight="1" spans="1:55">
      <c r="A955" s="20"/>
      <c r="B955" s="20"/>
      <c r="C955" s="20"/>
      <c r="D955" s="20"/>
      <c r="E955" s="20"/>
      <c r="F955" s="20"/>
      <c r="G955" s="52"/>
      <c r="H955" s="20"/>
      <c r="I955" s="20"/>
      <c r="J955" s="20"/>
      <c r="K955" s="20"/>
      <c r="L955" s="20"/>
      <c r="M955" s="20"/>
      <c r="N955" s="20"/>
      <c r="O955" s="20"/>
      <c r="P955" s="20"/>
      <c r="Q955" s="20"/>
      <c r="R955" s="20"/>
      <c r="S955" s="20"/>
      <c r="T955" s="20"/>
      <c r="U955" s="20"/>
      <c r="V955" s="20"/>
      <c r="W955" s="20"/>
      <c r="X955" s="20"/>
      <c r="Y955" s="20"/>
      <c r="Z955" s="20"/>
      <c r="AA955" s="20"/>
      <c r="AB955" s="20"/>
      <c r="AC955" s="20"/>
      <c r="AD955" s="20"/>
      <c r="AE955" s="20"/>
      <c r="AF955" s="20"/>
      <c r="AG955" s="20"/>
      <c r="AH955" s="20"/>
      <c r="AI955" s="20"/>
      <c r="AJ955" s="20"/>
      <c r="AK955" s="20"/>
      <c r="AL955" s="20"/>
      <c r="AM955" s="20"/>
      <c r="AN955" s="20"/>
      <c r="AO955" s="20"/>
      <c r="AP955" s="20"/>
      <c r="AQ955" s="20"/>
      <c r="AR955" s="20"/>
      <c r="AS955" s="20"/>
      <c r="AT955" s="20"/>
      <c r="AU955" s="20"/>
      <c r="AV955" s="20"/>
      <c r="AW955" s="20"/>
      <c r="AX955" s="20"/>
      <c r="AY955" s="20"/>
      <c r="AZ955" s="20"/>
      <c r="BA955" s="20"/>
      <c r="BB955" s="20"/>
      <c r="BC955" s="20"/>
    </row>
    <row r="956" ht="13.5" customHeight="1" spans="1:55">
      <c r="A956" s="20"/>
      <c r="B956" s="20"/>
      <c r="C956" s="20"/>
      <c r="D956" s="20"/>
      <c r="E956" s="20"/>
      <c r="F956" s="20"/>
      <c r="G956" s="52"/>
      <c r="H956" s="20"/>
      <c r="I956" s="20"/>
      <c r="J956" s="20"/>
      <c r="K956" s="20"/>
      <c r="L956" s="20"/>
      <c r="M956" s="20"/>
      <c r="N956" s="20"/>
      <c r="O956" s="20"/>
      <c r="P956" s="20"/>
      <c r="Q956" s="20"/>
      <c r="R956" s="20"/>
      <c r="S956" s="20"/>
      <c r="T956" s="20"/>
      <c r="U956" s="20"/>
      <c r="V956" s="20"/>
      <c r="W956" s="20"/>
      <c r="X956" s="20"/>
      <c r="Y956" s="20"/>
      <c r="Z956" s="20"/>
      <c r="AA956" s="20"/>
      <c r="AB956" s="20"/>
      <c r="AC956" s="20"/>
      <c r="AD956" s="20"/>
      <c r="AE956" s="20"/>
      <c r="AF956" s="20"/>
      <c r="AG956" s="20"/>
      <c r="AH956" s="20"/>
      <c r="AI956" s="20"/>
      <c r="AJ956" s="20"/>
      <c r="AK956" s="20"/>
      <c r="AL956" s="20"/>
      <c r="AM956" s="20"/>
      <c r="AN956" s="20"/>
      <c r="AO956" s="20"/>
      <c r="AP956" s="20"/>
      <c r="AQ956" s="20"/>
      <c r="AR956" s="20"/>
      <c r="AS956" s="20"/>
      <c r="AT956" s="20"/>
      <c r="AU956" s="20"/>
      <c r="AV956" s="20"/>
      <c r="AW956" s="20"/>
      <c r="AX956" s="20"/>
      <c r="AY956" s="20"/>
      <c r="AZ956" s="20"/>
      <c r="BA956" s="20"/>
      <c r="BB956" s="20"/>
      <c r="BC956" s="20"/>
    </row>
    <row r="957" ht="13.5" customHeight="1" spans="1:55">
      <c r="A957" s="20"/>
      <c r="B957" s="20"/>
      <c r="C957" s="20"/>
      <c r="D957" s="20"/>
      <c r="E957" s="20"/>
      <c r="F957" s="20"/>
      <c r="G957" s="52"/>
      <c r="H957" s="20"/>
      <c r="I957" s="20"/>
      <c r="J957" s="20"/>
      <c r="K957" s="20"/>
      <c r="L957" s="20"/>
      <c r="M957" s="20"/>
      <c r="N957" s="20"/>
      <c r="O957" s="20"/>
      <c r="P957" s="20"/>
      <c r="Q957" s="20"/>
      <c r="R957" s="20"/>
      <c r="S957" s="20"/>
      <c r="T957" s="20"/>
      <c r="U957" s="20"/>
      <c r="V957" s="20"/>
      <c r="W957" s="20"/>
      <c r="X957" s="20"/>
      <c r="Y957" s="20"/>
      <c r="Z957" s="20"/>
      <c r="AA957" s="20"/>
      <c r="AB957" s="20"/>
      <c r="AC957" s="20"/>
      <c r="AD957" s="20"/>
      <c r="AE957" s="20"/>
      <c r="AF957" s="20"/>
      <c r="AG957" s="20"/>
      <c r="AH957" s="20"/>
      <c r="AI957" s="20"/>
      <c r="AJ957" s="20"/>
      <c r="AK957" s="20"/>
      <c r="AL957" s="20"/>
      <c r="AM957" s="20"/>
      <c r="AN957" s="20"/>
      <c r="AO957" s="20"/>
      <c r="AP957" s="20"/>
      <c r="AQ957" s="20"/>
      <c r="AR957" s="20"/>
      <c r="AS957" s="20"/>
      <c r="AT957" s="20"/>
      <c r="AU957" s="20"/>
      <c r="AV957" s="20"/>
      <c r="AW957" s="20"/>
      <c r="AX957" s="20"/>
      <c r="AY957" s="20"/>
      <c r="AZ957" s="20"/>
      <c r="BA957" s="20"/>
      <c r="BB957" s="20"/>
      <c r="BC957" s="20"/>
    </row>
    <row r="958" ht="13.5" customHeight="1" spans="1:55">
      <c r="A958" s="20"/>
      <c r="B958" s="20"/>
      <c r="C958" s="20"/>
      <c r="D958" s="20"/>
      <c r="E958" s="20"/>
      <c r="F958" s="20"/>
      <c r="G958" s="52"/>
      <c r="H958" s="20"/>
      <c r="I958" s="20"/>
      <c r="J958" s="20"/>
      <c r="K958" s="20"/>
      <c r="L958" s="20"/>
      <c r="M958" s="20"/>
      <c r="N958" s="20"/>
      <c r="O958" s="20"/>
      <c r="P958" s="20"/>
      <c r="Q958" s="20"/>
      <c r="R958" s="20"/>
      <c r="S958" s="20"/>
      <c r="T958" s="20"/>
      <c r="U958" s="20"/>
      <c r="V958" s="20"/>
      <c r="W958" s="20"/>
      <c r="X958" s="20"/>
      <c r="Y958" s="20"/>
      <c r="Z958" s="20"/>
      <c r="AA958" s="20"/>
      <c r="AB958" s="20"/>
      <c r="AC958" s="20"/>
      <c r="AD958" s="20"/>
      <c r="AE958" s="20"/>
      <c r="AF958" s="20"/>
      <c r="AG958" s="20"/>
      <c r="AH958" s="20"/>
      <c r="AI958" s="20"/>
      <c r="AJ958" s="20"/>
      <c r="AK958" s="20"/>
      <c r="AL958" s="20"/>
      <c r="AM958" s="20"/>
      <c r="AN958" s="20"/>
      <c r="AO958" s="20"/>
      <c r="AP958" s="20"/>
      <c r="AQ958" s="20"/>
      <c r="AR958" s="20"/>
      <c r="AS958" s="20"/>
      <c r="AT958" s="20"/>
      <c r="AU958" s="20"/>
      <c r="AV958" s="20"/>
      <c r="AW958" s="20"/>
      <c r="AX958" s="20"/>
      <c r="AY958" s="20"/>
      <c r="AZ958" s="20"/>
      <c r="BA958" s="20"/>
      <c r="BB958" s="20"/>
      <c r="BC958" s="20"/>
    </row>
    <row r="959" ht="13.5" customHeight="1" spans="1:55">
      <c r="A959" s="20"/>
      <c r="B959" s="20"/>
      <c r="C959" s="20"/>
      <c r="D959" s="20"/>
      <c r="E959" s="20"/>
      <c r="F959" s="20"/>
      <c r="G959" s="52"/>
      <c r="H959" s="20"/>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row>
    <row r="960" ht="13.5" customHeight="1" spans="1:55">
      <c r="A960" s="20"/>
      <c r="B960" s="20"/>
      <c r="C960" s="20"/>
      <c r="D960" s="20"/>
      <c r="E960" s="20"/>
      <c r="F960" s="20"/>
      <c r="G960" s="52"/>
      <c r="H960" s="20"/>
      <c r="I960" s="20"/>
      <c r="J960" s="20"/>
      <c r="K960" s="20"/>
      <c r="L960" s="20"/>
      <c r="M960" s="20"/>
      <c r="N960" s="20"/>
      <c r="O960" s="20"/>
      <c r="P960" s="20"/>
      <c r="Q960" s="20"/>
      <c r="R960" s="20"/>
      <c r="S960" s="20"/>
      <c r="T960" s="20"/>
      <c r="U960" s="20"/>
      <c r="V960" s="20"/>
      <c r="W960" s="20"/>
      <c r="X960" s="20"/>
      <c r="Y960" s="20"/>
      <c r="Z960" s="20"/>
      <c r="AA960" s="20"/>
      <c r="AB960" s="20"/>
      <c r="AC960" s="20"/>
      <c r="AD960" s="20"/>
      <c r="AE960" s="20"/>
      <c r="AF960" s="20"/>
      <c r="AG960" s="20"/>
      <c r="AH960" s="20"/>
      <c r="AI960" s="20"/>
      <c r="AJ960" s="20"/>
      <c r="AK960" s="20"/>
      <c r="AL960" s="20"/>
      <c r="AM960" s="20"/>
      <c r="AN960" s="20"/>
      <c r="AO960" s="20"/>
      <c r="AP960" s="20"/>
      <c r="AQ960" s="20"/>
      <c r="AR960" s="20"/>
      <c r="AS960" s="20"/>
      <c r="AT960" s="20"/>
      <c r="AU960" s="20"/>
      <c r="AV960" s="20"/>
      <c r="AW960" s="20"/>
      <c r="AX960" s="20"/>
      <c r="AY960" s="20"/>
      <c r="AZ960" s="20"/>
      <c r="BA960" s="20"/>
      <c r="BB960" s="20"/>
      <c r="BC960" s="20"/>
    </row>
    <row r="961" ht="13.5" customHeight="1" spans="1:55">
      <c r="A961" s="20"/>
      <c r="B961" s="20"/>
      <c r="C961" s="20"/>
      <c r="D961" s="20"/>
      <c r="E961" s="20"/>
      <c r="F961" s="20"/>
      <c r="G961" s="52"/>
      <c r="H961" s="20"/>
      <c r="I961" s="20"/>
      <c r="J961" s="20"/>
      <c r="K961" s="20"/>
      <c r="L961" s="20"/>
      <c r="M961" s="20"/>
      <c r="N961" s="20"/>
      <c r="O961" s="20"/>
      <c r="P961" s="20"/>
      <c r="Q961" s="20"/>
      <c r="R961" s="20"/>
      <c r="S961" s="20"/>
      <c r="T961" s="20"/>
      <c r="U961" s="20"/>
      <c r="V961" s="20"/>
      <c r="W961" s="20"/>
      <c r="X961" s="20"/>
      <c r="Y961" s="20"/>
      <c r="Z961" s="20"/>
      <c r="AA961" s="20"/>
      <c r="AB961" s="20"/>
      <c r="AC961" s="20"/>
      <c r="AD961" s="20"/>
      <c r="AE961" s="20"/>
      <c r="AF961" s="20"/>
      <c r="AG961" s="20"/>
      <c r="AH961" s="20"/>
      <c r="AI961" s="20"/>
      <c r="AJ961" s="20"/>
      <c r="AK961" s="20"/>
      <c r="AL961" s="20"/>
      <c r="AM961" s="20"/>
      <c r="AN961" s="20"/>
      <c r="AO961" s="20"/>
      <c r="AP961" s="20"/>
      <c r="AQ961" s="20"/>
      <c r="AR961" s="20"/>
      <c r="AS961" s="20"/>
      <c r="AT961" s="20"/>
      <c r="AU961" s="20"/>
      <c r="AV961" s="20"/>
      <c r="AW961" s="20"/>
      <c r="AX961" s="20"/>
      <c r="AY961" s="20"/>
      <c r="AZ961" s="20"/>
      <c r="BA961" s="20"/>
      <c r="BB961" s="20"/>
      <c r="BC961" s="20"/>
    </row>
    <row r="962" ht="13.5" customHeight="1" spans="1:55">
      <c r="A962" s="20"/>
      <c r="B962" s="20"/>
      <c r="C962" s="20"/>
      <c r="D962" s="20"/>
      <c r="E962" s="20"/>
      <c r="F962" s="20"/>
      <c r="G962" s="52"/>
      <c r="H962" s="20"/>
      <c r="I962" s="20"/>
      <c r="J962" s="20"/>
      <c r="K962" s="20"/>
      <c r="L962" s="20"/>
      <c r="M962" s="20"/>
      <c r="N962" s="20"/>
      <c r="O962" s="20"/>
      <c r="P962" s="20"/>
      <c r="Q962" s="20"/>
      <c r="R962" s="20"/>
      <c r="S962" s="20"/>
      <c r="T962" s="20"/>
      <c r="U962" s="20"/>
      <c r="V962" s="20"/>
      <c r="W962" s="20"/>
      <c r="X962" s="20"/>
      <c r="Y962" s="20"/>
      <c r="Z962" s="20"/>
      <c r="AA962" s="20"/>
      <c r="AB962" s="20"/>
      <c r="AC962" s="20"/>
      <c r="AD962" s="20"/>
      <c r="AE962" s="20"/>
      <c r="AF962" s="20"/>
      <c r="AG962" s="20"/>
      <c r="AH962" s="20"/>
      <c r="AI962" s="20"/>
      <c r="AJ962" s="20"/>
      <c r="AK962" s="20"/>
      <c r="AL962" s="20"/>
      <c r="AM962" s="20"/>
      <c r="AN962" s="20"/>
      <c r="AO962" s="20"/>
      <c r="AP962" s="20"/>
      <c r="AQ962" s="20"/>
      <c r="AR962" s="20"/>
      <c r="AS962" s="20"/>
      <c r="AT962" s="20"/>
      <c r="AU962" s="20"/>
      <c r="AV962" s="20"/>
      <c r="AW962" s="20"/>
      <c r="AX962" s="20"/>
      <c r="AY962" s="20"/>
      <c r="AZ962" s="20"/>
      <c r="BA962" s="20"/>
      <c r="BB962" s="20"/>
      <c r="BC962" s="20"/>
    </row>
    <row r="963" ht="13.5" customHeight="1" spans="1:55">
      <c r="A963" s="20"/>
      <c r="B963" s="20"/>
      <c r="C963" s="20"/>
      <c r="D963" s="20"/>
      <c r="E963" s="20"/>
      <c r="F963" s="20"/>
      <c r="G963" s="52"/>
      <c r="H963" s="20"/>
      <c r="I963" s="20"/>
      <c r="J963" s="20"/>
      <c r="K963" s="20"/>
      <c r="L963" s="20"/>
      <c r="M963" s="20"/>
      <c r="N963" s="20"/>
      <c r="O963" s="20"/>
      <c r="P963" s="20"/>
      <c r="Q963" s="20"/>
      <c r="R963" s="20"/>
      <c r="S963" s="20"/>
      <c r="T963" s="20"/>
      <c r="U963" s="20"/>
      <c r="V963" s="20"/>
      <c r="W963" s="20"/>
      <c r="X963" s="20"/>
      <c r="Y963" s="20"/>
      <c r="Z963" s="20"/>
      <c r="AA963" s="20"/>
      <c r="AB963" s="20"/>
      <c r="AC963" s="20"/>
      <c r="AD963" s="20"/>
      <c r="AE963" s="20"/>
      <c r="AF963" s="20"/>
      <c r="AG963" s="20"/>
      <c r="AH963" s="20"/>
      <c r="AI963" s="20"/>
      <c r="AJ963" s="20"/>
      <c r="AK963" s="20"/>
      <c r="AL963" s="20"/>
      <c r="AM963" s="20"/>
      <c r="AN963" s="20"/>
      <c r="AO963" s="20"/>
      <c r="AP963" s="20"/>
      <c r="AQ963" s="20"/>
      <c r="AR963" s="20"/>
      <c r="AS963" s="20"/>
      <c r="AT963" s="20"/>
      <c r="AU963" s="20"/>
      <c r="AV963" s="20"/>
      <c r="AW963" s="20"/>
      <c r="AX963" s="20"/>
      <c r="AY963" s="20"/>
      <c r="AZ963" s="20"/>
      <c r="BA963" s="20"/>
      <c r="BB963" s="20"/>
      <c r="BC963" s="20"/>
    </row>
    <row r="964" ht="13.5" customHeight="1" spans="1:55">
      <c r="A964" s="20"/>
      <c r="B964" s="20"/>
      <c r="C964" s="20"/>
      <c r="D964" s="20"/>
      <c r="E964" s="20"/>
      <c r="F964" s="20"/>
      <c r="G964" s="52"/>
      <c r="H964" s="20"/>
      <c r="I964" s="20"/>
      <c r="J964" s="20"/>
      <c r="K964" s="20"/>
      <c r="L964" s="20"/>
      <c r="M964" s="20"/>
      <c r="N964" s="20"/>
      <c r="O964" s="20"/>
      <c r="P964" s="20"/>
      <c r="Q964" s="20"/>
      <c r="R964" s="20"/>
      <c r="S964" s="20"/>
      <c r="T964" s="20"/>
      <c r="U964" s="20"/>
      <c r="V964" s="20"/>
      <c r="W964" s="20"/>
      <c r="X964" s="20"/>
      <c r="Y964" s="20"/>
      <c r="Z964" s="20"/>
      <c r="AA964" s="20"/>
      <c r="AB964" s="20"/>
      <c r="AC964" s="20"/>
      <c r="AD964" s="20"/>
      <c r="AE964" s="20"/>
      <c r="AF964" s="20"/>
      <c r="AG964" s="20"/>
      <c r="AH964" s="20"/>
      <c r="AI964" s="20"/>
      <c r="AJ964" s="20"/>
      <c r="AK964" s="20"/>
      <c r="AL964" s="20"/>
      <c r="AM964" s="20"/>
      <c r="AN964" s="20"/>
      <c r="AO964" s="20"/>
      <c r="AP964" s="20"/>
      <c r="AQ964" s="20"/>
      <c r="AR964" s="20"/>
      <c r="AS964" s="20"/>
      <c r="AT964" s="20"/>
      <c r="AU964" s="20"/>
      <c r="AV964" s="20"/>
      <c r="AW964" s="20"/>
      <c r="AX964" s="20"/>
      <c r="AY964" s="20"/>
      <c r="AZ964" s="20"/>
      <c r="BA964" s="20"/>
      <c r="BB964" s="20"/>
      <c r="BC964" s="20"/>
    </row>
    <row r="965" ht="13.5" customHeight="1" spans="1:55">
      <c r="A965" s="20"/>
      <c r="B965" s="20"/>
      <c r="C965" s="20"/>
      <c r="D965" s="20"/>
      <c r="E965" s="20"/>
      <c r="F965" s="20"/>
      <c r="G965" s="52"/>
      <c r="H965" s="20"/>
      <c r="I965" s="20"/>
      <c r="J965" s="20"/>
      <c r="K965" s="20"/>
      <c r="L965" s="20"/>
      <c r="M965" s="20"/>
      <c r="N965" s="20"/>
      <c r="O965" s="20"/>
      <c r="P965" s="20"/>
      <c r="Q965" s="20"/>
      <c r="R965" s="20"/>
      <c r="S965" s="20"/>
      <c r="T965" s="20"/>
      <c r="U965" s="20"/>
      <c r="V965" s="20"/>
      <c r="W965" s="20"/>
      <c r="X965" s="20"/>
      <c r="Y965" s="20"/>
      <c r="Z965" s="20"/>
      <c r="AA965" s="20"/>
      <c r="AB965" s="20"/>
      <c r="AC965" s="20"/>
      <c r="AD965" s="20"/>
      <c r="AE965" s="20"/>
      <c r="AF965" s="20"/>
      <c r="AG965" s="20"/>
      <c r="AH965" s="20"/>
      <c r="AI965" s="20"/>
      <c r="AJ965" s="20"/>
      <c r="AK965" s="20"/>
      <c r="AL965" s="20"/>
      <c r="AM965" s="20"/>
      <c r="AN965" s="20"/>
      <c r="AO965" s="20"/>
      <c r="AP965" s="20"/>
      <c r="AQ965" s="20"/>
      <c r="AR965" s="20"/>
      <c r="AS965" s="20"/>
      <c r="AT965" s="20"/>
      <c r="AU965" s="20"/>
      <c r="AV965" s="20"/>
      <c r="AW965" s="20"/>
      <c r="AX965" s="20"/>
      <c r="AY965" s="20"/>
      <c r="AZ965" s="20"/>
      <c r="BA965" s="20"/>
      <c r="BB965" s="20"/>
      <c r="BC965" s="20"/>
    </row>
    <row r="966" ht="13.5" customHeight="1" spans="1:55">
      <c r="A966" s="20"/>
      <c r="B966" s="20"/>
      <c r="C966" s="20"/>
      <c r="D966" s="20"/>
      <c r="E966" s="20"/>
      <c r="F966" s="20"/>
      <c r="G966" s="52"/>
      <c r="H966" s="20"/>
      <c r="I966" s="20"/>
      <c r="J966" s="20"/>
      <c r="K966" s="20"/>
      <c r="L966" s="20"/>
      <c r="M966" s="20"/>
      <c r="N966" s="20"/>
      <c r="O966" s="20"/>
      <c r="P966" s="20"/>
      <c r="Q966" s="20"/>
      <c r="R966" s="20"/>
      <c r="S966" s="20"/>
      <c r="T966" s="20"/>
      <c r="U966" s="20"/>
      <c r="V966" s="20"/>
      <c r="W966" s="20"/>
      <c r="X966" s="20"/>
      <c r="Y966" s="20"/>
      <c r="Z966" s="20"/>
      <c r="AA966" s="20"/>
      <c r="AB966" s="20"/>
      <c r="AC966" s="20"/>
      <c r="AD966" s="20"/>
      <c r="AE966" s="20"/>
      <c r="AF966" s="20"/>
      <c r="AG966" s="20"/>
      <c r="AH966" s="20"/>
      <c r="AI966" s="20"/>
      <c r="AJ966" s="20"/>
      <c r="AK966" s="20"/>
      <c r="AL966" s="20"/>
      <c r="AM966" s="20"/>
      <c r="AN966" s="20"/>
      <c r="AO966" s="20"/>
      <c r="AP966" s="20"/>
      <c r="AQ966" s="20"/>
      <c r="AR966" s="20"/>
      <c r="AS966" s="20"/>
      <c r="AT966" s="20"/>
      <c r="AU966" s="20"/>
      <c r="AV966" s="20"/>
      <c r="AW966" s="20"/>
      <c r="AX966" s="20"/>
      <c r="AY966" s="20"/>
      <c r="AZ966" s="20"/>
      <c r="BA966" s="20"/>
      <c r="BB966" s="20"/>
      <c r="BC966" s="20"/>
    </row>
    <row r="967" ht="13.5" customHeight="1" spans="1:55">
      <c r="A967" s="20"/>
      <c r="B967" s="20"/>
      <c r="C967" s="20"/>
      <c r="D967" s="20"/>
      <c r="E967" s="20"/>
      <c r="F967" s="20"/>
      <c r="G967" s="52"/>
      <c r="H967" s="20"/>
      <c r="I967" s="20"/>
      <c r="J967" s="20"/>
      <c r="K967" s="20"/>
      <c r="L967" s="20"/>
      <c r="M967" s="20"/>
      <c r="N967" s="20"/>
      <c r="O967" s="20"/>
      <c r="P967" s="20"/>
      <c r="Q967" s="20"/>
      <c r="R967" s="20"/>
      <c r="S967" s="20"/>
      <c r="T967" s="20"/>
      <c r="U967" s="20"/>
      <c r="V967" s="20"/>
      <c r="W967" s="20"/>
      <c r="X967" s="20"/>
      <c r="Y967" s="20"/>
      <c r="Z967" s="20"/>
      <c r="AA967" s="20"/>
      <c r="AB967" s="20"/>
      <c r="AC967" s="20"/>
      <c r="AD967" s="20"/>
      <c r="AE967" s="20"/>
      <c r="AF967" s="20"/>
      <c r="AG967" s="20"/>
      <c r="AH967" s="20"/>
      <c r="AI967" s="20"/>
      <c r="AJ967" s="20"/>
      <c r="AK967" s="20"/>
      <c r="AL967" s="20"/>
      <c r="AM967" s="20"/>
      <c r="AN967" s="20"/>
      <c r="AO967" s="20"/>
      <c r="AP967" s="20"/>
      <c r="AQ967" s="20"/>
      <c r="AR967" s="20"/>
      <c r="AS967" s="20"/>
      <c r="AT967" s="20"/>
      <c r="AU967" s="20"/>
      <c r="AV967" s="20"/>
      <c r="AW967" s="20"/>
      <c r="AX967" s="20"/>
      <c r="AY967" s="20"/>
      <c r="AZ967" s="20"/>
      <c r="BA967" s="20"/>
      <c r="BB967" s="20"/>
      <c r="BC967" s="20"/>
    </row>
    <row r="968" ht="13.5" customHeight="1" spans="1:55">
      <c r="A968" s="20"/>
      <c r="B968" s="20"/>
      <c r="C968" s="20"/>
      <c r="D968" s="20"/>
      <c r="E968" s="20"/>
      <c r="F968" s="20"/>
      <c r="G968" s="52"/>
      <c r="H968" s="20"/>
      <c r="I968" s="20"/>
      <c r="J968" s="20"/>
      <c r="K968" s="20"/>
      <c r="L968" s="20"/>
      <c r="M968" s="20"/>
      <c r="N968" s="20"/>
      <c r="O968" s="20"/>
      <c r="P968" s="20"/>
      <c r="Q968" s="20"/>
      <c r="R968" s="20"/>
      <c r="S968" s="20"/>
      <c r="T968" s="20"/>
      <c r="U968" s="20"/>
      <c r="V968" s="20"/>
      <c r="W968" s="20"/>
      <c r="X968" s="20"/>
      <c r="Y968" s="20"/>
      <c r="Z968" s="20"/>
      <c r="AA968" s="20"/>
      <c r="AB968" s="20"/>
      <c r="AC968" s="20"/>
      <c r="AD968" s="20"/>
      <c r="AE968" s="20"/>
      <c r="AF968" s="20"/>
      <c r="AG968" s="20"/>
      <c r="AH968" s="20"/>
      <c r="AI968" s="20"/>
      <c r="AJ968" s="20"/>
      <c r="AK968" s="20"/>
      <c r="AL968" s="20"/>
      <c r="AM968" s="20"/>
      <c r="AN968" s="20"/>
      <c r="AO968" s="20"/>
      <c r="AP968" s="20"/>
      <c r="AQ968" s="20"/>
      <c r="AR968" s="20"/>
      <c r="AS968" s="20"/>
      <c r="AT968" s="20"/>
      <c r="AU968" s="20"/>
      <c r="AV968" s="20"/>
      <c r="AW968" s="20"/>
      <c r="AX968" s="20"/>
      <c r="AY968" s="20"/>
      <c r="AZ968" s="20"/>
      <c r="BA968" s="20"/>
      <c r="BB968" s="20"/>
      <c r="BC968" s="20"/>
    </row>
    <row r="969" ht="13.5" customHeight="1" spans="1:55">
      <c r="A969" s="20"/>
      <c r="B969" s="20"/>
      <c r="C969" s="20"/>
      <c r="D969" s="20"/>
      <c r="E969" s="20"/>
      <c r="F969" s="20"/>
      <c r="G969" s="52"/>
      <c r="H969" s="20"/>
      <c r="I969" s="20"/>
      <c r="J969" s="20"/>
      <c r="K969" s="20"/>
      <c r="L969" s="20"/>
      <c r="M969" s="20"/>
      <c r="N969" s="20"/>
      <c r="O969" s="20"/>
      <c r="P969" s="20"/>
      <c r="Q969" s="20"/>
      <c r="R969" s="20"/>
      <c r="S969" s="20"/>
      <c r="T969" s="20"/>
      <c r="U969" s="20"/>
      <c r="V969" s="20"/>
      <c r="W969" s="20"/>
      <c r="X969" s="20"/>
      <c r="Y969" s="20"/>
      <c r="Z969" s="20"/>
      <c r="AA969" s="20"/>
      <c r="AB969" s="20"/>
      <c r="AC969" s="20"/>
      <c r="AD969" s="20"/>
      <c r="AE969" s="20"/>
      <c r="AF969" s="20"/>
      <c r="AG969" s="20"/>
      <c r="AH969" s="20"/>
      <c r="AI969" s="20"/>
      <c r="AJ969" s="20"/>
      <c r="AK969" s="20"/>
      <c r="AL969" s="20"/>
      <c r="AM969" s="20"/>
      <c r="AN969" s="20"/>
      <c r="AO969" s="20"/>
      <c r="AP969" s="20"/>
      <c r="AQ969" s="20"/>
      <c r="AR969" s="20"/>
      <c r="AS969" s="20"/>
      <c r="AT969" s="20"/>
      <c r="AU969" s="20"/>
      <c r="AV969" s="20"/>
      <c r="AW969" s="20"/>
      <c r="AX969" s="20"/>
      <c r="AY969" s="20"/>
      <c r="AZ969" s="20"/>
      <c r="BA969" s="20"/>
      <c r="BB969" s="20"/>
      <c r="BC969" s="20"/>
    </row>
    <row r="970" ht="13.5" customHeight="1" spans="1:55">
      <c r="A970" s="20"/>
      <c r="B970" s="20"/>
      <c r="C970" s="20"/>
      <c r="D970" s="20"/>
      <c r="E970" s="20"/>
      <c r="F970" s="20"/>
      <c r="G970" s="52"/>
      <c r="H970" s="20"/>
      <c r="I970" s="20"/>
      <c r="J970" s="20"/>
      <c r="K970" s="20"/>
      <c r="L970" s="20"/>
      <c r="M970" s="20"/>
      <c r="N970" s="20"/>
      <c r="O970" s="20"/>
      <c r="P970" s="20"/>
      <c r="Q970" s="20"/>
      <c r="R970" s="20"/>
      <c r="S970" s="20"/>
      <c r="T970" s="20"/>
      <c r="U970" s="20"/>
      <c r="V970" s="20"/>
      <c r="W970" s="20"/>
      <c r="X970" s="20"/>
      <c r="Y970" s="20"/>
      <c r="Z970" s="20"/>
      <c r="AA970" s="20"/>
      <c r="AB970" s="20"/>
      <c r="AC970" s="20"/>
      <c r="AD970" s="20"/>
      <c r="AE970" s="20"/>
      <c r="AF970" s="20"/>
      <c r="AG970" s="20"/>
      <c r="AH970" s="20"/>
      <c r="AI970" s="20"/>
      <c r="AJ970" s="20"/>
      <c r="AK970" s="20"/>
      <c r="AL970" s="20"/>
      <c r="AM970" s="20"/>
      <c r="AN970" s="20"/>
      <c r="AO970" s="20"/>
      <c r="AP970" s="20"/>
      <c r="AQ970" s="20"/>
      <c r="AR970" s="20"/>
      <c r="AS970" s="20"/>
      <c r="AT970" s="20"/>
      <c r="AU970" s="20"/>
      <c r="AV970" s="20"/>
      <c r="AW970" s="20"/>
      <c r="AX970" s="20"/>
      <c r="AY970" s="20"/>
      <c r="AZ970" s="20"/>
      <c r="BA970" s="20"/>
      <c r="BB970" s="20"/>
      <c r="BC970" s="20"/>
    </row>
    <row r="971" ht="13.5" customHeight="1" spans="1:55">
      <c r="A971" s="20"/>
      <c r="B971" s="20"/>
      <c r="C971" s="20"/>
      <c r="D971" s="20"/>
      <c r="E971" s="20"/>
      <c r="F971" s="20"/>
      <c r="G971" s="52"/>
      <c r="H971" s="20"/>
      <c r="I971" s="20"/>
      <c r="J971" s="20"/>
      <c r="K971" s="20"/>
      <c r="L971" s="20"/>
      <c r="M971" s="20"/>
      <c r="N971" s="20"/>
      <c r="O971" s="20"/>
      <c r="P971" s="20"/>
      <c r="Q971" s="20"/>
      <c r="R971" s="20"/>
      <c r="S971" s="20"/>
      <c r="T971" s="20"/>
      <c r="U971" s="20"/>
      <c r="V971" s="20"/>
      <c r="W971" s="20"/>
      <c r="X971" s="20"/>
      <c r="Y971" s="20"/>
      <c r="Z971" s="20"/>
      <c r="AA971" s="20"/>
      <c r="AB971" s="20"/>
      <c r="AC971" s="20"/>
      <c r="AD971" s="20"/>
      <c r="AE971" s="20"/>
      <c r="AF971" s="20"/>
      <c r="AG971" s="20"/>
      <c r="AH971" s="20"/>
      <c r="AI971" s="20"/>
      <c r="AJ971" s="20"/>
      <c r="AK971" s="20"/>
      <c r="AL971" s="20"/>
      <c r="AM971" s="20"/>
      <c r="AN971" s="20"/>
      <c r="AO971" s="20"/>
      <c r="AP971" s="20"/>
      <c r="AQ971" s="20"/>
      <c r="AR971" s="20"/>
      <c r="AS971" s="20"/>
      <c r="AT971" s="20"/>
      <c r="AU971" s="20"/>
      <c r="AV971" s="20"/>
      <c r="AW971" s="20"/>
      <c r="AX971" s="20"/>
      <c r="AY971" s="20"/>
      <c r="AZ971" s="20"/>
      <c r="BA971" s="20"/>
      <c r="BB971" s="20"/>
      <c r="BC971" s="20"/>
    </row>
    <row r="972" ht="13.5" customHeight="1" spans="1:55">
      <c r="A972" s="20"/>
      <c r="B972" s="20"/>
      <c r="C972" s="20"/>
      <c r="D972" s="20"/>
      <c r="E972" s="20"/>
      <c r="F972" s="20"/>
      <c r="G972" s="52"/>
      <c r="H972" s="20"/>
      <c r="I972" s="20"/>
      <c r="J972" s="20"/>
      <c r="K972" s="20"/>
      <c r="L972" s="20"/>
      <c r="M972" s="20"/>
      <c r="N972" s="20"/>
      <c r="O972" s="20"/>
      <c r="P972" s="20"/>
      <c r="Q972" s="20"/>
      <c r="R972" s="20"/>
      <c r="S972" s="20"/>
      <c r="T972" s="20"/>
      <c r="U972" s="20"/>
      <c r="V972" s="20"/>
      <c r="W972" s="20"/>
      <c r="X972" s="20"/>
      <c r="Y972" s="20"/>
      <c r="Z972" s="20"/>
      <c r="AA972" s="20"/>
      <c r="AB972" s="20"/>
      <c r="AC972" s="20"/>
      <c r="AD972" s="20"/>
      <c r="AE972" s="20"/>
      <c r="AF972" s="20"/>
      <c r="AG972" s="20"/>
      <c r="AH972" s="20"/>
      <c r="AI972" s="20"/>
      <c r="AJ972" s="20"/>
      <c r="AK972" s="20"/>
      <c r="AL972" s="20"/>
      <c r="AM972" s="20"/>
      <c r="AN972" s="20"/>
      <c r="AO972" s="20"/>
      <c r="AP972" s="20"/>
      <c r="AQ972" s="20"/>
      <c r="AR972" s="20"/>
      <c r="AS972" s="20"/>
      <c r="AT972" s="20"/>
      <c r="AU972" s="20"/>
      <c r="AV972" s="20"/>
      <c r="AW972" s="20"/>
      <c r="AX972" s="20"/>
      <c r="AY972" s="20"/>
      <c r="AZ972" s="20"/>
      <c r="BA972" s="20"/>
      <c r="BB972" s="20"/>
      <c r="BC972" s="20"/>
    </row>
    <row r="973" ht="13.5" customHeight="1" spans="1:55">
      <c r="A973" s="20"/>
      <c r="B973" s="20"/>
      <c r="C973" s="20"/>
      <c r="D973" s="20"/>
      <c r="E973" s="20"/>
      <c r="F973" s="20"/>
      <c r="G973" s="52"/>
      <c r="H973" s="20"/>
      <c r="I973" s="20"/>
      <c r="J973" s="20"/>
      <c r="K973" s="20"/>
      <c r="L973" s="20"/>
      <c r="M973" s="20"/>
      <c r="N973" s="20"/>
      <c r="O973" s="20"/>
      <c r="P973" s="20"/>
      <c r="Q973" s="20"/>
      <c r="R973" s="20"/>
      <c r="S973" s="20"/>
      <c r="T973" s="20"/>
      <c r="U973" s="20"/>
      <c r="V973" s="20"/>
      <c r="W973" s="20"/>
      <c r="X973" s="20"/>
      <c r="Y973" s="20"/>
      <c r="Z973" s="20"/>
      <c r="AA973" s="20"/>
      <c r="AB973" s="20"/>
      <c r="AC973" s="20"/>
      <c r="AD973" s="20"/>
      <c r="AE973" s="20"/>
      <c r="AF973" s="20"/>
      <c r="AG973" s="20"/>
      <c r="AH973" s="20"/>
      <c r="AI973" s="20"/>
      <c r="AJ973" s="20"/>
      <c r="AK973" s="20"/>
      <c r="AL973" s="20"/>
      <c r="AM973" s="20"/>
      <c r="AN973" s="20"/>
      <c r="AO973" s="20"/>
      <c r="AP973" s="20"/>
      <c r="AQ973" s="20"/>
      <c r="AR973" s="20"/>
      <c r="AS973" s="20"/>
      <c r="AT973" s="20"/>
      <c r="AU973" s="20"/>
      <c r="AV973" s="20"/>
      <c r="AW973" s="20"/>
      <c r="AX973" s="20"/>
      <c r="AY973" s="20"/>
      <c r="AZ973" s="20"/>
      <c r="BA973" s="20"/>
      <c r="BB973" s="20"/>
      <c r="BC973" s="20"/>
    </row>
    <row r="974" ht="13.5" customHeight="1" spans="1:55">
      <c r="A974" s="20"/>
      <c r="B974" s="20"/>
      <c r="C974" s="20"/>
      <c r="D974" s="20"/>
      <c r="E974" s="20"/>
      <c r="F974" s="20"/>
      <c r="G974" s="52"/>
      <c r="H974" s="20"/>
      <c r="I974" s="20"/>
      <c r="J974" s="20"/>
      <c r="K974" s="20"/>
      <c r="L974" s="20"/>
      <c r="M974" s="20"/>
      <c r="N974" s="20"/>
      <c r="O974" s="20"/>
      <c r="P974" s="20"/>
      <c r="Q974" s="20"/>
      <c r="R974" s="20"/>
      <c r="S974" s="20"/>
      <c r="T974" s="20"/>
      <c r="U974" s="20"/>
      <c r="V974" s="20"/>
      <c r="W974" s="20"/>
      <c r="X974" s="20"/>
      <c r="Y974" s="20"/>
      <c r="Z974" s="20"/>
      <c r="AA974" s="20"/>
      <c r="AB974" s="20"/>
      <c r="AC974" s="20"/>
      <c r="AD974" s="20"/>
      <c r="AE974" s="20"/>
      <c r="AF974" s="20"/>
      <c r="AG974" s="20"/>
      <c r="AH974" s="20"/>
      <c r="AI974" s="20"/>
      <c r="AJ974" s="20"/>
      <c r="AK974" s="20"/>
      <c r="AL974" s="20"/>
      <c r="AM974" s="20"/>
      <c r="AN974" s="20"/>
      <c r="AO974" s="20"/>
      <c r="AP974" s="20"/>
      <c r="AQ974" s="20"/>
      <c r="AR974" s="20"/>
      <c r="AS974" s="20"/>
      <c r="AT974" s="20"/>
      <c r="AU974" s="20"/>
      <c r="AV974" s="20"/>
      <c r="AW974" s="20"/>
      <c r="AX974" s="20"/>
      <c r="AY974" s="20"/>
      <c r="AZ974" s="20"/>
      <c r="BA974" s="20"/>
      <c r="BB974" s="20"/>
      <c r="BC974" s="20"/>
    </row>
    <row r="975" ht="13.5" customHeight="1" spans="1:55">
      <c r="A975" s="20"/>
      <c r="B975" s="20"/>
      <c r="C975" s="20"/>
      <c r="D975" s="20"/>
      <c r="E975" s="20"/>
      <c r="F975" s="20"/>
      <c r="G975" s="52"/>
      <c r="H975" s="20"/>
      <c r="I975" s="20"/>
      <c r="J975" s="20"/>
      <c r="K975" s="20"/>
      <c r="L975" s="20"/>
      <c r="M975" s="20"/>
      <c r="N975" s="20"/>
      <c r="O975" s="20"/>
      <c r="P975" s="20"/>
      <c r="Q975" s="20"/>
      <c r="R975" s="20"/>
      <c r="S975" s="20"/>
      <c r="T975" s="20"/>
      <c r="U975" s="20"/>
      <c r="V975" s="20"/>
      <c r="W975" s="20"/>
      <c r="X975" s="20"/>
      <c r="Y975" s="20"/>
      <c r="Z975" s="20"/>
      <c r="AA975" s="20"/>
      <c r="AB975" s="20"/>
      <c r="AC975" s="20"/>
      <c r="AD975" s="20"/>
      <c r="AE975" s="20"/>
      <c r="AF975" s="20"/>
      <c r="AG975" s="20"/>
      <c r="AH975" s="20"/>
      <c r="AI975" s="20"/>
      <c r="AJ975" s="20"/>
      <c r="AK975" s="20"/>
      <c r="AL975" s="20"/>
      <c r="AM975" s="20"/>
      <c r="AN975" s="20"/>
      <c r="AO975" s="20"/>
      <c r="AP975" s="20"/>
      <c r="AQ975" s="20"/>
      <c r="AR975" s="20"/>
      <c r="AS975" s="20"/>
      <c r="AT975" s="20"/>
      <c r="AU975" s="20"/>
      <c r="AV975" s="20"/>
      <c r="AW975" s="20"/>
      <c r="AX975" s="20"/>
      <c r="AY975" s="20"/>
      <c r="AZ975" s="20"/>
      <c r="BA975" s="20"/>
      <c r="BB975" s="20"/>
      <c r="BC975" s="20"/>
    </row>
    <row r="976" ht="13.5" customHeight="1" spans="1:55">
      <c r="A976" s="20"/>
      <c r="B976" s="20"/>
      <c r="C976" s="20"/>
      <c r="D976" s="20"/>
      <c r="E976" s="20"/>
      <c r="F976" s="20"/>
      <c r="G976" s="52"/>
      <c r="H976" s="20"/>
      <c r="I976" s="20"/>
      <c r="J976" s="20"/>
      <c r="K976" s="20"/>
      <c r="L976" s="20"/>
      <c r="M976" s="20"/>
      <c r="N976" s="20"/>
      <c r="O976" s="20"/>
      <c r="P976" s="20"/>
      <c r="Q976" s="20"/>
      <c r="R976" s="20"/>
      <c r="S976" s="20"/>
      <c r="T976" s="20"/>
      <c r="U976" s="20"/>
      <c r="V976" s="20"/>
      <c r="W976" s="20"/>
      <c r="X976" s="20"/>
      <c r="Y976" s="20"/>
      <c r="Z976" s="20"/>
      <c r="AA976" s="20"/>
      <c r="AB976" s="20"/>
      <c r="AC976" s="20"/>
      <c r="AD976" s="20"/>
      <c r="AE976" s="20"/>
      <c r="AF976" s="20"/>
      <c r="AG976" s="20"/>
      <c r="AH976" s="20"/>
      <c r="AI976" s="20"/>
      <c r="AJ976" s="20"/>
      <c r="AK976" s="20"/>
      <c r="AL976" s="20"/>
      <c r="AM976" s="20"/>
      <c r="AN976" s="20"/>
      <c r="AO976" s="20"/>
      <c r="AP976" s="20"/>
      <c r="AQ976" s="20"/>
      <c r="AR976" s="20"/>
      <c r="AS976" s="20"/>
      <c r="AT976" s="20"/>
      <c r="AU976" s="20"/>
      <c r="AV976" s="20"/>
      <c r="AW976" s="20"/>
      <c r="AX976" s="20"/>
      <c r="AY976" s="20"/>
      <c r="AZ976" s="20"/>
      <c r="BA976" s="20"/>
      <c r="BB976" s="20"/>
      <c r="BC976" s="20"/>
    </row>
    <row r="977" ht="13.5" customHeight="1" spans="1:55">
      <c r="A977" s="20"/>
      <c r="B977" s="20"/>
      <c r="C977" s="20"/>
      <c r="D977" s="20"/>
      <c r="E977" s="20"/>
      <c r="F977" s="20"/>
      <c r="G977" s="52"/>
      <c r="H977" s="20"/>
      <c r="I977" s="20"/>
      <c r="J977" s="20"/>
      <c r="K977" s="20"/>
      <c r="L977" s="20"/>
      <c r="M977" s="20"/>
      <c r="N977" s="20"/>
      <c r="O977" s="20"/>
      <c r="P977" s="20"/>
      <c r="Q977" s="20"/>
      <c r="R977" s="20"/>
      <c r="S977" s="20"/>
      <c r="T977" s="20"/>
      <c r="U977" s="20"/>
      <c r="V977" s="20"/>
      <c r="W977" s="20"/>
      <c r="X977" s="20"/>
      <c r="Y977" s="20"/>
      <c r="Z977" s="20"/>
      <c r="AA977" s="20"/>
      <c r="AB977" s="20"/>
      <c r="AC977" s="20"/>
      <c r="AD977" s="20"/>
      <c r="AE977" s="20"/>
      <c r="AF977" s="20"/>
      <c r="AG977" s="20"/>
      <c r="AH977" s="20"/>
      <c r="AI977" s="20"/>
      <c r="AJ977" s="20"/>
      <c r="AK977" s="20"/>
      <c r="AL977" s="20"/>
      <c r="AM977" s="20"/>
      <c r="AN977" s="20"/>
      <c r="AO977" s="20"/>
      <c r="AP977" s="20"/>
      <c r="AQ977" s="20"/>
      <c r="AR977" s="20"/>
      <c r="AS977" s="20"/>
      <c r="AT977" s="20"/>
      <c r="AU977" s="20"/>
      <c r="AV977" s="20"/>
      <c r="AW977" s="20"/>
      <c r="AX977" s="20"/>
      <c r="AY977" s="20"/>
      <c r="AZ977" s="20"/>
      <c r="BA977" s="20"/>
      <c r="BB977" s="20"/>
      <c r="BC977" s="20"/>
    </row>
    <row r="978" ht="13.5" customHeight="1" spans="1:55">
      <c r="A978" s="20"/>
      <c r="B978" s="20"/>
      <c r="C978" s="20"/>
      <c r="D978" s="20"/>
      <c r="E978" s="20"/>
      <c r="F978" s="20"/>
      <c r="G978" s="52"/>
      <c r="H978" s="20"/>
      <c r="I978" s="20"/>
      <c r="J978" s="20"/>
      <c r="K978" s="20"/>
      <c r="L978" s="20"/>
      <c r="M978" s="20"/>
      <c r="N978" s="20"/>
      <c r="O978" s="20"/>
      <c r="P978" s="20"/>
      <c r="Q978" s="20"/>
      <c r="R978" s="20"/>
      <c r="S978" s="20"/>
      <c r="T978" s="20"/>
      <c r="U978" s="20"/>
      <c r="V978" s="20"/>
      <c r="W978" s="20"/>
      <c r="X978" s="20"/>
      <c r="Y978" s="20"/>
      <c r="Z978" s="20"/>
      <c r="AA978" s="20"/>
      <c r="AB978" s="20"/>
      <c r="AC978" s="20"/>
      <c r="AD978" s="20"/>
      <c r="AE978" s="20"/>
      <c r="AF978" s="20"/>
      <c r="AG978" s="20"/>
      <c r="AH978" s="20"/>
      <c r="AI978" s="20"/>
      <c r="AJ978" s="20"/>
      <c r="AK978" s="20"/>
      <c r="AL978" s="20"/>
      <c r="AM978" s="20"/>
      <c r="AN978" s="20"/>
      <c r="AO978" s="20"/>
      <c r="AP978" s="20"/>
      <c r="AQ978" s="20"/>
      <c r="AR978" s="20"/>
      <c r="AS978" s="20"/>
      <c r="AT978" s="20"/>
      <c r="AU978" s="20"/>
      <c r="AV978" s="20"/>
      <c r="AW978" s="20"/>
      <c r="AX978" s="20"/>
      <c r="AY978" s="20"/>
      <c r="AZ978" s="20"/>
      <c r="BA978" s="20"/>
      <c r="BB978" s="20"/>
      <c r="BC978" s="20"/>
    </row>
    <row r="979" ht="13.5" customHeight="1" spans="1:55">
      <c r="A979" s="20"/>
      <c r="B979" s="20"/>
      <c r="C979" s="20"/>
      <c r="D979" s="20"/>
      <c r="E979" s="20"/>
      <c r="F979" s="20"/>
      <c r="G979" s="52"/>
      <c r="H979" s="20"/>
      <c r="I979" s="20"/>
      <c r="J979" s="20"/>
      <c r="K979" s="20"/>
      <c r="L979" s="20"/>
      <c r="M979" s="20"/>
      <c r="N979" s="20"/>
      <c r="O979" s="20"/>
      <c r="P979" s="20"/>
      <c r="Q979" s="20"/>
      <c r="R979" s="20"/>
      <c r="S979" s="20"/>
      <c r="T979" s="20"/>
      <c r="U979" s="20"/>
      <c r="V979" s="20"/>
      <c r="W979" s="20"/>
      <c r="X979" s="20"/>
      <c r="Y979" s="20"/>
      <c r="Z979" s="20"/>
      <c r="AA979" s="20"/>
      <c r="AB979" s="20"/>
      <c r="AC979" s="20"/>
      <c r="AD979" s="20"/>
      <c r="AE979" s="20"/>
      <c r="AF979" s="20"/>
      <c r="AG979" s="20"/>
      <c r="AH979" s="20"/>
      <c r="AI979" s="20"/>
      <c r="AJ979" s="20"/>
      <c r="AK979" s="20"/>
      <c r="AL979" s="20"/>
      <c r="AM979" s="20"/>
      <c r="AN979" s="20"/>
      <c r="AO979" s="20"/>
      <c r="AP979" s="20"/>
      <c r="AQ979" s="20"/>
      <c r="AR979" s="20"/>
      <c r="AS979" s="20"/>
      <c r="AT979" s="20"/>
      <c r="AU979" s="20"/>
      <c r="AV979" s="20"/>
      <c r="AW979" s="20"/>
      <c r="AX979" s="20"/>
      <c r="AY979" s="20"/>
      <c r="AZ979" s="20"/>
      <c r="BA979" s="20"/>
      <c r="BB979" s="20"/>
      <c r="BC979" s="20"/>
    </row>
    <row r="980" ht="13.5" customHeight="1" spans="1:55">
      <c r="A980" s="20"/>
      <c r="B980" s="20"/>
      <c r="C980" s="20"/>
      <c r="D980" s="20"/>
      <c r="E980" s="20"/>
      <c r="F980" s="20"/>
      <c r="G980" s="52"/>
      <c r="H980" s="20"/>
      <c r="I980" s="20"/>
      <c r="J980" s="20"/>
      <c r="K980" s="20"/>
      <c r="L980" s="20"/>
      <c r="M980" s="20"/>
      <c r="N980" s="20"/>
      <c r="O980" s="20"/>
      <c r="P980" s="20"/>
      <c r="Q980" s="20"/>
      <c r="R980" s="20"/>
      <c r="S980" s="20"/>
      <c r="T980" s="20"/>
      <c r="U980" s="20"/>
      <c r="V980" s="20"/>
      <c r="W980" s="20"/>
      <c r="X980" s="20"/>
      <c r="Y980" s="20"/>
      <c r="Z980" s="20"/>
      <c r="AA980" s="20"/>
      <c r="AB980" s="20"/>
      <c r="AC980" s="20"/>
      <c r="AD980" s="20"/>
      <c r="AE980" s="20"/>
      <c r="AF980" s="20"/>
      <c r="AG980" s="20"/>
      <c r="AH980" s="20"/>
      <c r="AI980" s="20"/>
      <c r="AJ980" s="20"/>
      <c r="AK980" s="20"/>
      <c r="AL980" s="20"/>
      <c r="AM980" s="20"/>
      <c r="AN980" s="20"/>
      <c r="AO980" s="20"/>
      <c r="AP980" s="20"/>
      <c r="AQ980" s="20"/>
      <c r="AR980" s="20"/>
      <c r="AS980" s="20"/>
      <c r="AT980" s="20"/>
      <c r="AU980" s="20"/>
      <c r="AV980" s="20"/>
      <c r="AW980" s="20"/>
      <c r="AX980" s="20"/>
      <c r="AY980" s="20"/>
      <c r="AZ980" s="20"/>
      <c r="BA980" s="20"/>
      <c r="BB980" s="20"/>
      <c r="BC980" s="20"/>
    </row>
    <row r="981" ht="13.5" customHeight="1" spans="1:55">
      <c r="A981" s="20"/>
      <c r="B981" s="20"/>
      <c r="C981" s="20"/>
      <c r="D981" s="20"/>
      <c r="E981" s="20"/>
      <c r="F981" s="20"/>
      <c r="G981" s="52"/>
      <c r="H981" s="20"/>
      <c r="I981" s="20"/>
      <c r="J981" s="20"/>
      <c r="K981" s="20"/>
      <c r="L981" s="20"/>
      <c r="M981" s="20"/>
      <c r="N981" s="20"/>
      <c r="O981" s="20"/>
      <c r="P981" s="20"/>
      <c r="Q981" s="20"/>
      <c r="R981" s="20"/>
      <c r="S981" s="20"/>
      <c r="T981" s="20"/>
      <c r="U981" s="20"/>
      <c r="V981" s="20"/>
      <c r="W981" s="20"/>
      <c r="X981" s="20"/>
      <c r="Y981" s="20"/>
      <c r="Z981" s="20"/>
      <c r="AA981" s="20"/>
      <c r="AB981" s="20"/>
      <c r="AC981" s="20"/>
      <c r="AD981" s="20"/>
      <c r="AE981" s="20"/>
      <c r="AF981" s="20"/>
      <c r="AG981" s="20"/>
      <c r="AH981" s="20"/>
      <c r="AI981" s="20"/>
      <c r="AJ981" s="20"/>
      <c r="AK981" s="20"/>
      <c r="AL981" s="20"/>
      <c r="AM981" s="20"/>
      <c r="AN981" s="20"/>
      <c r="AO981" s="20"/>
      <c r="AP981" s="20"/>
      <c r="AQ981" s="20"/>
      <c r="AR981" s="20"/>
      <c r="AS981" s="20"/>
      <c r="AT981" s="20"/>
      <c r="AU981" s="20"/>
      <c r="AV981" s="20"/>
      <c r="AW981" s="20"/>
      <c r="AX981" s="20"/>
      <c r="AY981" s="20"/>
      <c r="AZ981" s="20"/>
      <c r="BA981" s="20"/>
      <c r="BB981" s="20"/>
      <c r="BC981" s="20"/>
    </row>
    <row r="982" ht="13.5" customHeight="1" spans="1:55">
      <c r="A982" s="20"/>
      <c r="B982" s="20"/>
      <c r="C982" s="20"/>
      <c r="D982" s="20"/>
      <c r="E982" s="20"/>
      <c r="F982" s="20"/>
      <c r="G982" s="52"/>
      <c r="H982" s="20"/>
      <c r="I982" s="20"/>
      <c r="J982" s="20"/>
      <c r="K982" s="20"/>
      <c r="L982" s="20"/>
      <c r="M982" s="20"/>
      <c r="N982" s="20"/>
      <c r="O982" s="20"/>
      <c r="P982" s="20"/>
      <c r="Q982" s="20"/>
      <c r="R982" s="20"/>
      <c r="S982" s="20"/>
      <c r="T982" s="20"/>
      <c r="U982" s="20"/>
      <c r="V982" s="20"/>
      <c r="W982" s="20"/>
      <c r="X982" s="20"/>
      <c r="Y982" s="20"/>
      <c r="Z982" s="20"/>
      <c r="AA982" s="20"/>
      <c r="AB982" s="20"/>
      <c r="AC982" s="20"/>
      <c r="AD982" s="20"/>
      <c r="AE982" s="20"/>
      <c r="AF982" s="20"/>
      <c r="AG982" s="20"/>
      <c r="AH982" s="20"/>
      <c r="AI982" s="20"/>
      <c r="AJ982" s="20"/>
      <c r="AK982" s="20"/>
      <c r="AL982" s="20"/>
      <c r="AM982" s="20"/>
      <c r="AN982" s="20"/>
      <c r="AO982" s="20"/>
      <c r="AP982" s="20"/>
      <c r="AQ982" s="20"/>
      <c r="AR982" s="20"/>
      <c r="AS982" s="20"/>
      <c r="AT982" s="20"/>
      <c r="AU982" s="20"/>
      <c r="AV982" s="20"/>
      <c r="AW982" s="20"/>
      <c r="AX982" s="20"/>
      <c r="AY982" s="20"/>
      <c r="AZ982" s="20"/>
      <c r="BA982" s="20"/>
      <c r="BB982" s="20"/>
      <c r="BC982" s="20"/>
    </row>
    <row r="983" ht="13.5" customHeight="1" spans="1:55">
      <c r="A983" s="20"/>
      <c r="B983" s="20"/>
      <c r="C983" s="20"/>
      <c r="D983" s="20"/>
      <c r="E983" s="20"/>
      <c r="F983" s="20"/>
      <c r="G983" s="52"/>
      <c r="H983" s="20"/>
      <c r="I983" s="20"/>
      <c r="J983" s="20"/>
      <c r="K983" s="20"/>
      <c r="L983" s="20"/>
      <c r="M983" s="20"/>
      <c r="N983" s="20"/>
      <c r="O983" s="20"/>
      <c r="P983" s="20"/>
      <c r="Q983" s="20"/>
      <c r="R983" s="20"/>
      <c r="S983" s="20"/>
      <c r="T983" s="20"/>
      <c r="U983" s="20"/>
      <c r="V983" s="20"/>
      <c r="W983" s="20"/>
      <c r="X983" s="20"/>
      <c r="Y983" s="20"/>
      <c r="Z983" s="20"/>
      <c r="AA983" s="20"/>
      <c r="AB983" s="20"/>
      <c r="AC983" s="20"/>
      <c r="AD983" s="20"/>
      <c r="AE983" s="20"/>
      <c r="AF983" s="20"/>
      <c r="AG983" s="20"/>
      <c r="AH983" s="20"/>
      <c r="AI983" s="20"/>
      <c r="AJ983" s="20"/>
      <c r="AK983" s="20"/>
      <c r="AL983" s="20"/>
      <c r="AM983" s="20"/>
      <c r="AN983" s="20"/>
      <c r="AO983" s="20"/>
      <c r="AP983" s="20"/>
      <c r="AQ983" s="20"/>
      <c r="AR983" s="20"/>
      <c r="AS983" s="20"/>
      <c r="AT983" s="20"/>
      <c r="AU983" s="20"/>
      <c r="AV983" s="20"/>
      <c r="AW983" s="20"/>
      <c r="AX983" s="20"/>
      <c r="AY983" s="20"/>
      <c r="AZ983" s="20"/>
      <c r="BA983" s="20"/>
      <c r="BB983" s="20"/>
      <c r="BC983" s="20"/>
    </row>
    <row r="984" ht="13.5" customHeight="1" spans="1:55">
      <c r="A984" s="20"/>
      <c r="B984" s="20"/>
      <c r="C984" s="20"/>
      <c r="D984" s="20"/>
      <c r="E984" s="20"/>
      <c r="F984" s="20"/>
      <c r="G984" s="52"/>
      <c r="H984" s="20"/>
      <c r="I984" s="20"/>
      <c r="J984" s="20"/>
      <c r="K984" s="20"/>
      <c r="L984" s="20"/>
      <c r="M984" s="20"/>
      <c r="N984" s="20"/>
      <c r="O984" s="20"/>
      <c r="P984" s="20"/>
      <c r="Q984" s="20"/>
      <c r="R984" s="20"/>
      <c r="S984" s="20"/>
      <c r="T984" s="20"/>
      <c r="U984" s="20"/>
      <c r="V984" s="20"/>
      <c r="W984" s="20"/>
      <c r="X984" s="20"/>
      <c r="Y984" s="20"/>
      <c r="Z984" s="20"/>
      <c r="AA984" s="20"/>
      <c r="AB984" s="20"/>
      <c r="AC984" s="20"/>
      <c r="AD984" s="20"/>
      <c r="AE984" s="20"/>
      <c r="AF984" s="20"/>
      <c r="AG984" s="20"/>
      <c r="AH984" s="20"/>
      <c r="AI984" s="20"/>
      <c r="AJ984" s="20"/>
      <c r="AK984" s="20"/>
      <c r="AL984" s="20"/>
      <c r="AM984" s="20"/>
      <c r="AN984" s="20"/>
      <c r="AO984" s="20"/>
      <c r="AP984" s="20"/>
      <c r="AQ984" s="20"/>
      <c r="AR984" s="20"/>
      <c r="AS984" s="20"/>
      <c r="AT984" s="20"/>
      <c r="AU984" s="20"/>
      <c r="AV984" s="20"/>
      <c r="AW984" s="20"/>
      <c r="AX984" s="20"/>
      <c r="AY984" s="20"/>
      <c r="AZ984" s="20"/>
      <c r="BA984" s="20"/>
      <c r="BB984" s="20"/>
      <c r="BC984" s="20"/>
    </row>
    <row r="985" ht="13.5" customHeight="1" spans="1:55">
      <c r="A985" s="20"/>
      <c r="B985" s="20"/>
      <c r="C985" s="20"/>
      <c r="D985" s="20"/>
      <c r="E985" s="20"/>
      <c r="F985" s="20"/>
      <c r="G985" s="52"/>
      <c r="H985" s="20"/>
      <c r="I985" s="20"/>
      <c r="J985" s="20"/>
      <c r="K985" s="20"/>
      <c r="L985" s="20"/>
      <c r="M985" s="20"/>
      <c r="N985" s="20"/>
      <c r="O985" s="20"/>
      <c r="P985" s="20"/>
      <c r="Q985" s="20"/>
      <c r="R985" s="20"/>
      <c r="S985" s="20"/>
      <c r="T985" s="20"/>
      <c r="U985" s="20"/>
      <c r="V985" s="20"/>
      <c r="W985" s="20"/>
      <c r="X985" s="20"/>
      <c r="Y985" s="20"/>
      <c r="Z985" s="20"/>
      <c r="AA985" s="20"/>
      <c r="AB985" s="20"/>
      <c r="AC985" s="20"/>
      <c r="AD985" s="20"/>
      <c r="AE985" s="20"/>
      <c r="AF985" s="20"/>
      <c r="AG985" s="20"/>
      <c r="AH985" s="20"/>
      <c r="AI985" s="20"/>
      <c r="AJ985" s="20"/>
      <c r="AK985" s="20"/>
      <c r="AL985" s="20"/>
      <c r="AM985" s="20"/>
      <c r="AN985" s="20"/>
      <c r="AO985" s="20"/>
      <c r="AP985" s="20"/>
      <c r="AQ985" s="20"/>
      <c r="AR985" s="20"/>
      <c r="AS985" s="20"/>
      <c r="AT985" s="20"/>
      <c r="AU985" s="20"/>
      <c r="AV985" s="20"/>
      <c r="AW985" s="20"/>
      <c r="AX985" s="20"/>
      <c r="AY985" s="20"/>
      <c r="AZ985" s="20"/>
      <c r="BA985" s="20"/>
      <c r="BB985" s="20"/>
      <c r="BC985" s="20"/>
    </row>
    <row r="986" ht="13.5" customHeight="1" spans="1:55">
      <c r="A986" s="20"/>
      <c r="B986" s="20"/>
      <c r="C986" s="20"/>
      <c r="D986" s="20"/>
      <c r="E986" s="20"/>
      <c r="F986" s="20"/>
      <c r="G986" s="52"/>
      <c r="H986" s="20"/>
      <c r="I986" s="20"/>
      <c r="J986" s="20"/>
      <c r="K986" s="20"/>
      <c r="L986" s="20"/>
      <c r="M986" s="20"/>
      <c r="N986" s="20"/>
      <c r="O986" s="20"/>
      <c r="P986" s="20"/>
      <c r="Q986" s="20"/>
      <c r="R986" s="20"/>
      <c r="S986" s="20"/>
      <c r="T986" s="20"/>
      <c r="U986" s="20"/>
      <c r="V986" s="20"/>
      <c r="W986" s="20"/>
      <c r="X986" s="20"/>
      <c r="Y986" s="20"/>
      <c r="Z986" s="20"/>
      <c r="AA986" s="20"/>
      <c r="AB986" s="20"/>
      <c r="AC986" s="20"/>
      <c r="AD986" s="20"/>
      <c r="AE986" s="20"/>
      <c r="AF986" s="20"/>
      <c r="AG986" s="20"/>
      <c r="AH986" s="20"/>
      <c r="AI986" s="20"/>
      <c r="AJ986" s="20"/>
      <c r="AK986" s="20"/>
      <c r="AL986" s="20"/>
      <c r="AM986" s="20"/>
      <c r="AN986" s="20"/>
      <c r="AO986" s="20"/>
      <c r="AP986" s="20"/>
      <c r="AQ986" s="20"/>
      <c r="AR986" s="20"/>
      <c r="AS986" s="20"/>
      <c r="AT986" s="20"/>
      <c r="AU986" s="20"/>
      <c r="AV986" s="20"/>
      <c r="AW986" s="20"/>
      <c r="AX986" s="20"/>
      <c r="AY986" s="20"/>
      <c r="AZ986" s="20"/>
      <c r="BA986" s="20"/>
      <c r="BB986" s="20"/>
      <c r="BC986" s="20"/>
    </row>
    <row r="987" ht="13.5" customHeight="1" spans="1:55">
      <c r="A987" s="20"/>
      <c r="B987" s="20"/>
      <c r="C987" s="20"/>
      <c r="D987" s="20"/>
      <c r="E987" s="20"/>
      <c r="F987" s="20"/>
      <c r="G987" s="52"/>
      <c r="H987" s="20"/>
      <c r="I987" s="20"/>
      <c r="J987" s="20"/>
      <c r="K987" s="20"/>
      <c r="L987" s="20"/>
      <c r="M987" s="20"/>
      <c r="N987" s="20"/>
      <c r="O987" s="20"/>
      <c r="P987" s="20"/>
      <c r="Q987" s="20"/>
      <c r="R987" s="20"/>
      <c r="S987" s="20"/>
      <c r="T987" s="20"/>
      <c r="U987" s="20"/>
      <c r="V987" s="20"/>
      <c r="W987" s="20"/>
      <c r="X987" s="20"/>
      <c r="Y987" s="20"/>
      <c r="Z987" s="20"/>
      <c r="AA987" s="20"/>
      <c r="AB987" s="20"/>
      <c r="AC987" s="20"/>
      <c r="AD987" s="20"/>
      <c r="AE987" s="20"/>
      <c r="AF987" s="20"/>
      <c r="AG987" s="20"/>
      <c r="AH987" s="20"/>
      <c r="AI987" s="20"/>
      <c r="AJ987" s="20"/>
      <c r="AK987" s="20"/>
      <c r="AL987" s="20"/>
      <c r="AM987" s="20"/>
      <c r="AN987" s="20"/>
      <c r="AO987" s="20"/>
      <c r="AP987" s="20"/>
      <c r="AQ987" s="20"/>
      <c r="AR987" s="20"/>
      <c r="AS987" s="20"/>
      <c r="AT987" s="20"/>
      <c r="AU987" s="20"/>
      <c r="AV987" s="20"/>
      <c r="AW987" s="20"/>
      <c r="AX987" s="20"/>
      <c r="AY987" s="20"/>
      <c r="AZ987" s="20"/>
      <c r="BA987" s="20"/>
      <c r="BB987" s="20"/>
      <c r="BC987" s="20"/>
    </row>
    <row r="988" ht="13.5" customHeight="1" spans="1:55">
      <c r="A988" s="20"/>
      <c r="B988" s="20"/>
      <c r="C988" s="20"/>
      <c r="D988" s="20"/>
      <c r="E988" s="20"/>
      <c r="F988" s="20"/>
      <c r="G988" s="52"/>
      <c r="H988" s="20"/>
      <c r="I988" s="20"/>
      <c r="J988" s="20"/>
      <c r="K988" s="20"/>
      <c r="L988" s="20"/>
      <c r="M988" s="20"/>
      <c r="N988" s="20"/>
      <c r="O988" s="20"/>
      <c r="P988" s="20"/>
      <c r="Q988" s="20"/>
      <c r="R988" s="20"/>
      <c r="S988" s="20"/>
      <c r="T988" s="20"/>
      <c r="U988" s="20"/>
      <c r="V988" s="20"/>
      <c r="W988" s="20"/>
      <c r="X988" s="20"/>
      <c r="Y988" s="20"/>
      <c r="Z988" s="20"/>
      <c r="AA988" s="20"/>
      <c r="AB988" s="20"/>
      <c r="AC988" s="20"/>
      <c r="AD988" s="20"/>
      <c r="AE988" s="20"/>
      <c r="AF988" s="20"/>
      <c r="AG988" s="20"/>
      <c r="AH988" s="20"/>
      <c r="AI988" s="20"/>
      <c r="AJ988" s="20"/>
      <c r="AK988" s="20"/>
      <c r="AL988" s="20"/>
      <c r="AM988" s="20"/>
      <c r="AN988" s="20"/>
      <c r="AO988" s="20"/>
      <c r="AP988" s="20"/>
      <c r="AQ988" s="20"/>
      <c r="AR988" s="20"/>
      <c r="AS988" s="20"/>
      <c r="AT988" s="20"/>
      <c r="AU988" s="20"/>
      <c r="AV988" s="20"/>
      <c r="AW988" s="20"/>
      <c r="AX988" s="20"/>
      <c r="AY988" s="20"/>
      <c r="AZ988" s="20"/>
      <c r="BA988" s="20"/>
      <c r="BB988" s="20"/>
      <c r="BC988" s="20"/>
    </row>
    <row r="989" ht="13.5" customHeight="1" spans="1:55">
      <c r="A989" s="20"/>
      <c r="B989" s="20"/>
      <c r="C989" s="20"/>
      <c r="D989" s="20"/>
      <c r="E989" s="20"/>
      <c r="F989" s="20"/>
      <c r="G989" s="52"/>
      <c r="H989" s="20"/>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row>
    <row r="990" ht="13.5" customHeight="1" spans="1:55">
      <c r="A990" s="20"/>
      <c r="B990" s="20"/>
      <c r="C990" s="20"/>
      <c r="D990" s="20"/>
      <c r="E990" s="20"/>
      <c r="F990" s="20"/>
      <c r="G990" s="52"/>
      <c r="H990" s="20"/>
      <c r="I990" s="20"/>
      <c r="J990" s="20"/>
      <c r="K990" s="20"/>
      <c r="L990" s="20"/>
      <c r="M990" s="20"/>
      <c r="N990" s="20"/>
      <c r="O990" s="20"/>
      <c r="P990" s="20"/>
      <c r="Q990" s="20"/>
      <c r="R990" s="20"/>
      <c r="S990" s="20"/>
      <c r="T990" s="20"/>
      <c r="U990" s="20"/>
      <c r="V990" s="20"/>
      <c r="W990" s="20"/>
      <c r="X990" s="20"/>
      <c r="Y990" s="20"/>
      <c r="Z990" s="20"/>
      <c r="AA990" s="20"/>
      <c r="AB990" s="20"/>
      <c r="AC990" s="20"/>
      <c r="AD990" s="20"/>
      <c r="AE990" s="20"/>
      <c r="AF990" s="20"/>
      <c r="AG990" s="20"/>
      <c r="AH990" s="20"/>
      <c r="AI990" s="20"/>
      <c r="AJ990" s="20"/>
      <c r="AK990" s="20"/>
      <c r="AL990" s="20"/>
      <c r="AM990" s="20"/>
      <c r="AN990" s="20"/>
      <c r="AO990" s="20"/>
      <c r="AP990" s="20"/>
      <c r="AQ990" s="20"/>
      <c r="AR990" s="20"/>
      <c r="AS990" s="20"/>
      <c r="AT990" s="20"/>
      <c r="AU990" s="20"/>
      <c r="AV990" s="20"/>
      <c r="AW990" s="20"/>
      <c r="AX990" s="20"/>
      <c r="AY990" s="20"/>
      <c r="AZ990" s="20"/>
      <c r="BA990" s="20"/>
      <c r="BB990" s="20"/>
      <c r="BC990" s="20"/>
    </row>
    <row r="991" ht="13.5" customHeight="1" spans="1:55">
      <c r="A991" s="20"/>
      <c r="B991" s="20"/>
      <c r="C991" s="20"/>
      <c r="D991" s="20"/>
      <c r="E991" s="20"/>
      <c r="F991" s="20"/>
      <c r="G991" s="52"/>
      <c r="H991" s="20"/>
      <c r="I991" s="20"/>
      <c r="J991" s="20"/>
      <c r="K991" s="20"/>
      <c r="L991" s="20"/>
      <c r="M991" s="20"/>
      <c r="N991" s="20"/>
      <c r="O991" s="20"/>
      <c r="P991" s="20"/>
      <c r="Q991" s="20"/>
      <c r="R991" s="20"/>
      <c r="S991" s="20"/>
      <c r="T991" s="20"/>
      <c r="U991" s="20"/>
      <c r="V991" s="20"/>
      <c r="W991" s="20"/>
      <c r="X991" s="20"/>
      <c r="Y991" s="20"/>
      <c r="Z991" s="20"/>
      <c r="AA991" s="20"/>
      <c r="AB991" s="20"/>
      <c r="AC991" s="20"/>
      <c r="AD991" s="20"/>
      <c r="AE991" s="20"/>
      <c r="AF991" s="20"/>
      <c r="AG991" s="20"/>
      <c r="AH991" s="20"/>
      <c r="AI991" s="20"/>
      <c r="AJ991" s="20"/>
      <c r="AK991" s="20"/>
      <c r="AL991" s="20"/>
      <c r="AM991" s="20"/>
      <c r="AN991" s="20"/>
      <c r="AO991" s="20"/>
      <c r="AP991" s="20"/>
      <c r="AQ991" s="20"/>
      <c r="AR991" s="20"/>
      <c r="AS991" s="20"/>
      <c r="AT991" s="20"/>
      <c r="AU991" s="20"/>
      <c r="AV991" s="20"/>
      <c r="AW991" s="20"/>
      <c r="AX991" s="20"/>
      <c r="AY991" s="20"/>
      <c r="AZ991" s="20"/>
      <c r="BA991" s="20"/>
      <c r="BB991" s="20"/>
      <c r="BC991" s="20"/>
    </row>
    <row r="992" ht="13.5" customHeight="1" spans="1:55">
      <c r="A992" s="20"/>
      <c r="B992" s="20"/>
      <c r="C992" s="20"/>
      <c r="D992" s="20"/>
      <c r="E992" s="20"/>
      <c r="F992" s="20"/>
      <c r="G992" s="52"/>
      <c r="H992" s="20"/>
      <c r="I992" s="20"/>
      <c r="J992" s="20"/>
      <c r="K992" s="20"/>
      <c r="L992" s="20"/>
      <c r="M992" s="20"/>
      <c r="N992" s="20"/>
      <c r="O992" s="20"/>
      <c r="P992" s="20"/>
      <c r="Q992" s="20"/>
      <c r="R992" s="20"/>
      <c r="S992" s="20"/>
      <c r="T992" s="20"/>
      <c r="U992" s="20"/>
      <c r="V992" s="20"/>
      <c r="W992" s="20"/>
      <c r="X992" s="20"/>
      <c r="Y992" s="20"/>
      <c r="Z992" s="20"/>
      <c r="AA992" s="20"/>
      <c r="AB992" s="20"/>
      <c r="AC992" s="20"/>
      <c r="AD992" s="20"/>
      <c r="AE992" s="20"/>
      <c r="AF992" s="20"/>
      <c r="AG992" s="20"/>
      <c r="AH992" s="20"/>
      <c r="AI992" s="20"/>
      <c r="AJ992" s="20"/>
      <c r="AK992" s="20"/>
      <c r="AL992" s="20"/>
      <c r="AM992" s="20"/>
      <c r="AN992" s="20"/>
      <c r="AO992" s="20"/>
      <c r="AP992" s="20"/>
      <c r="AQ992" s="20"/>
      <c r="AR992" s="20"/>
      <c r="AS992" s="20"/>
      <c r="AT992" s="20"/>
      <c r="AU992" s="20"/>
      <c r="AV992" s="20"/>
      <c r="AW992" s="20"/>
      <c r="AX992" s="20"/>
      <c r="AY992" s="20"/>
      <c r="AZ992" s="20"/>
      <c r="BA992" s="20"/>
      <c r="BB992" s="20"/>
      <c r="BC992" s="20"/>
    </row>
    <row r="993" ht="13.5" customHeight="1" spans="1:55">
      <c r="A993" s="20"/>
      <c r="B993" s="20"/>
      <c r="C993" s="20"/>
      <c r="D993" s="20"/>
      <c r="E993" s="20"/>
      <c r="F993" s="20"/>
      <c r="G993" s="52"/>
      <c r="H993" s="20"/>
      <c r="I993" s="20"/>
      <c r="J993" s="20"/>
      <c r="K993" s="20"/>
      <c r="L993" s="20"/>
      <c r="M993" s="20"/>
      <c r="N993" s="20"/>
      <c r="O993" s="20"/>
      <c r="P993" s="20"/>
      <c r="Q993" s="20"/>
      <c r="R993" s="20"/>
      <c r="S993" s="20"/>
      <c r="T993" s="20"/>
      <c r="U993" s="20"/>
      <c r="V993" s="20"/>
      <c r="W993" s="20"/>
      <c r="X993" s="20"/>
      <c r="Y993" s="20"/>
      <c r="Z993" s="20"/>
      <c r="AA993" s="20"/>
      <c r="AB993" s="20"/>
      <c r="AC993" s="20"/>
      <c r="AD993" s="20"/>
      <c r="AE993" s="20"/>
      <c r="AF993" s="20"/>
      <c r="AG993" s="20"/>
      <c r="AH993" s="20"/>
      <c r="AI993" s="20"/>
      <c r="AJ993" s="20"/>
      <c r="AK993" s="20"/>
      <c r="AL993" s="20"/>
      <c r="AM993" s="20"/>
      <c r="AN993" s="20"/>
      <c r="AO993" s="20"/>
      <c r="AP993" s="20"/>
      <c r="AQ993" s="20"/>
      <c r="AR993" s="20"/>
      <c r="AS993" s="20"/>
      <c r="AT993" s="20"/>
      <c r="AU993" s="20"/>
      <c r="AV993" s="20"/>
      <c r="AW993" s="20"/>
      <c r="AX993" s="20"/>
      <c r="AY993" s="20"/>
      <c r="AZ993" s="20"/>
      <c r="BA993" s="20"/>
      <c r="BB993" s="20"/>
      <c r="BC993" s="20"/>
    </row>
    <row r="994" ht="13.5" customHeight="1" spans="1:55">
      <c r="A994" s="20"/>
      <c r="B994" s="20"/>
      <c r="C994" s="20"/>
      <c r="D994" s="20"/>
      <c r="E994" s="20"/>
      <c r="F994" s="20"/>
      <c r="G994" s="52"/>
      <c r="H994" s="20"/>
      <c r="I994" s="20"/>
      <c r="J994" s="20"/>
      <c r="K994" s="20"/>
      <c r="L994" s="20"/>
      <c r="M994" s="20"/>
      <c r="N994" s="20"/>
      <c r="O994" s="20"/>
      <c r="P994" s="20"/>
      <c r="Q994" s="20"/>
      <c r="R994" s="20"/>
      <c r="S994" s="20"/>
      <c r="T994" s="20"/>
      <c r="U994" s="20"/>
      <c r="V994" s="20"/>
      <c r="W994" s="20"/>
      <c r="X994" s="20"/>
      <c r="Y994" s="20"/>
      <c r="Z994" s="20"/>
      <c r="AA994" s="20"/>
      <c r="AB994" s="20"/>
      <c r="AC994" s="20"/>
      <c r="AD994" s="20"/>
      <c r="AE994" s="20"/>
      <c r="AF994" s="20"/>
      <c r="AG994" s="20"/>
      <c r="AH994" s="20"/>
      <c r="AI994" s="20"/>
      <c r="AJ994" s="20"/>
      <c r="AK994" s="20"/>
      <c r="AL994" s="20"/>
      <c r="AM994" s="20"/>
      <c r="AN994" s="20"/>
      <c r="AO994" s="20"/>
      <c r="AP994" s="20"/>
      <c r="AQ994" s="20"/>
      <c r="AR994" s="20"/>
      <c r="AS994" s="20"/>
      <c r="AT994" s="20"/>
      <c r="AU994" s="20"/>
      <c r="AV994" s="20"/>
      <c r="AW994" s="20"/>
      <c r="AX994" s="20"/>
      <c r="AY994" s="20"/>
      <c r="AZ994" s="20"/>
      <c r="BA994" s="20"/>
      <c r="BB994" s="20"/>
      <c r="BC994" s="20"/>
    </row>
    <row r="995" ht="13.5" customHeight="1" spans="1:55">
      <c r="A995" s="20"/>
      <c r="B995" s="20"/>
      <c r="C995" s="20"/>
      <c r="D995" s="20"/>
      <c r="E995" s="20"/>
      <c r="F995" s="20"/>
      <c r="G995" s="52"/>
      <c r="H995" s="20"/>
      <c r="I995" s="20"/>
      <c r="J995" s="20"/>
      <c r="K995" s="20"/>
      <c r="L995" s="20"/>
      <c r="M995" s="20"/>
      <c r="N995" s="20"/>
      <c r="O995" s="20"/>
      <c r="P995" s="20"/>
      <c r="Q995" s="20"/>
      <c r="R995" s="20"/>
      <c r="S995" s="20"/>
      <c r="T995" s="20"/>
      <c r="U995" s="20"/>
      <c r="V995" s="20"/>
      <c r="W995" s="20"/>
      <c r="X995" s="20"/>
      <c r="Y995" s="20"/>
      <c r="Z995" s="20"/>
      <c r="AA995" s="20"/>
      <c r="AB995" s="20"/>
      <c r="AC995" s="20"/>
      <c r="AD995" s="20"/>
      <c r="AE995" s="20"/>
      <c r="AF995" s="20"/>
      <c r="AG995" s="20"/>
      <c r="AH995" s="20"/>
      <c r="AI995" s="20"/>
      <c r="AJ995" s="20"/>
      <c r="AK995" s="20"/>
      <c r="AL995" s="20"/>
      <c r="AM995" s="20"/>
      <c r="AN995" s="20"/>
      <c r="AO995" s="20"/>
      <c r="AP995" s="20"/>
      <c r="AQ995" s="20"/>
      <c r="AR995" s="20"/>
      <c r="AS995" s="20"/>
      <c r="AT995" s="20"/>
      <c r="AU995" s="20"/>
      <c r="AV995" s="20"/>
      <c r="AW995" s="20"/>
      <c r="AX995" s="20"/>
      <c r="AY995" s="20"/>
      <c r="AZ995" s="20"/>
      <c r="BA995" s="20"/>
      <c r="BB995" s="20"/>
      <c r="BC995" s="20"/>
    </row>
    <row r="996" ht="13.5" customHeight="1" spans="1:55">
      <c r="A996" s="20"/>
      <c r="B996" s="20"/>
      <c r="C996" s="20"/>
      <c r="D996" s="20"/>
      <c r="E996" s="20"/>
      <c r="F996" s="20"/>
      <c r="G996" s="52"/>
      <c r="H996" s="20"/>
      <c r="I996" s="20"/>
      <c r="J996" s="20"/>
      <c r="K996" s="20"/>
      <c r="L996" s="20"/>
      <c r="M996" s="20"/>
      <c r="N996" s="20"/>
      <c r="O996" s="20"/>
      <c r="P996" s="20"/>
      <c r="Q996" s="20"/>
      <c r="R996" s="20"/>
      <c r="S996" s="20"/>
      <c r="T996" s="20"/>
      <c r="U996" s="20"/>
      <c r="V996" s="20"/>
      <c r="W996" s="20"/>
      <c r="X996" s="20"/>
      <c r="Y996" s="20"/>
      <c r="Z996" s="20"/>
      <c r="AA996" s="20"/>
      <c r="AB996" s="20"/>
      <c r="AC996" s="20"/>
      <c r="AD996" s="20"/>
      <c r="AE996" s="20"/>
      <c r="AF996" s="20"/>
      <c r="AG996" s="20"/>
      <c r="AH996" s="20"/>
      <c r="AI996" s="20"/>
      <c r="AJ996" s="20"/>
      <c r="AK996" s="20"/>
      <c r="AL996" s="20"/>
      <c r="AM996" s="20"/>
      <c r="AN996" s="20"/>
      <c r="AO996" s="20"/>
      <c r="AP996" s="20"/>
      <c r="AQ996" s="20"/>
      <c r="AR996" s="20"/>
      <c r="AS996" s="20"/>
      <c r="AT996" s="20"/>
      <c r="AU996" s="20"/>
      <c r="AV996" s="20"/>
      <c r="AW996" s="20"/>
      <c r="AX996" s="20"/>
      <c r="AY996" s="20"/>
      <c r="AZ996" s="20"/>
      <c r="BA996" s="20"/>
      <c r="BB996" s="20"/>
      <c r="BC996" s="20"/>
    </row>
    <row r="997" ht="13.5" customHeight="1" spans="1:55">
      <c r="A997" s="20"/>
      <c r="B997" s="20"/>
      <c r="C997" s="20"/>
      <c r="D997" s="20"/>
      <c r="E997" s="20"/>
      <c r="F997" s="20"/>
      <c r="G997" s="52"/>
      <c r="H997" s="20"/>
      <c r="I997" s="20"/>
      <c r="J997" s="20"/>
      <c r="K997" s="20"/>
      <c r="L997" s="20"/>
      <c r="M997" s="20"/>
      <c r="N997" s="20"/>
      <c r="O997" s="20"/>
      <c r="P997" s="20"/>
      <c r="Q997" s="20"/>
      <c r="R997" s="20"/>
      <c r="S997" s="20"/>
      <c r="T997" s="20"/>
      <c r="U997" s="20"/>
      <c r="V997" s="20"/>
      <c r="W997" s="20"/>
      <c r="X997" s="20"/>
      <c r="Y997" s="20"/>
      <c r="Z997" s="20"/>
      <c r="AA997" s="20"/>
      <c r="AB997" s="20"/>
      <c r="AC997" s="20"/>
      <c r="AD997" s="20"/>
      <c r="AE997" s="20"/>
      <c r="AF997" s="20"/>
      <c r="AG997" s="20"/>
      <c r="AH997" s="20"/>
      <c r="AI997" s="20"/>
      <c r="AJ997" s="20"/>
      <c r="AK997" s="20"/>
      <c r="AL997" s="20"/>
      <c r="AM997" s="20"/>
      <c r="AN997" s="20"/>
      <c r="AO997" s="20"/>
      <c r="AP997" s="20"/>
      <c r="AQ997" s="20"/>
      <c r="AR997" s="20"/>
      <c r="AS997" s="20"/>
      <c r="AT997" s="20"/>
      <c r="AU997" s="20"/>
      <c r="AV997" s="20"/>
      <c r="AW997" s="20"/>
      <c r="AX997" s="20"/>
      <c r="AY997" s="20"/>
      <c r="AZ997" s="20"/>
      <c r="BA997" s="20"/>
      <c r="BB997" s="20"/>
      <c r="BC997" s="20"/>
    </row>
    <row r="998" ht="13.5" customHeight="1" spans="1:55">
      <c r="A998" s="20"/>
      <c r="B998" s="20"/>
      <c r="C998" s="20"/>
      <c r="D998" s="20"/>
      <c r="E998" s="20"/>
      <c r="F998" s="20"/>
      <c r="G998" s="52"/>
      <c r="H998" s="20"/>
      <c r="I998" s="20"/>
      <c r="J998" s="20"/>
      <c r="K998" s="20"/>
      <c r="L998" s="20"/>
      <c r="M998" s="20"/>
      <c r="N998" s="20"/>
      <c r="O998" s="20"/>
      <c r="P998" s="20"/>
      <c r="Q998" s="20"/>
      <c r="R998" s="20"/>
      <c r="S998" s="20"/>
      <c r="T998" s="20"/>
      <c r="U998" s="20"/>
      <c r="V998" s="20"/>
      <c r="W998" s="20"/>
      <c r="X998" s="20"/>
      <c r="Y998" s="20"/>
      <c r="Z998" s="20"/>
      <c r="AA998" s="20"/>
      <c r="AB998" s="20"/>
      <c r="AC998" s="20"/>
      <c r="AD998" s="20"/>
      <c r="AE998" s="20"/>
      <c r="AF998" s="20"/>
      <c r="AG998" s="20"/>
      <c r="AH998" s="20"/>
      <c r="AI998" s="20"/>
      <c r="AJ998" s="20"/>
      <c r="AK998" s="20"/>
      <c r="AL998" s="20"/>
      <c r="AM998" s="20"/>
      <c r="AN998" s="20"/>
      <c r="AO998" s="20"/>
      <c r="AP998" s="20"/>
      <c r="AQ998" s="20"/>
      <c r="AR998" s="20"/>
      <c r="AS998" s="20"/>
      <c r="AT998" s="20"/>
      <c r="AU998" s="20"/>
      <c r="AV998" s="20"/>
      <c r="AW998" s="20"/>
      <c r="AX998" s="20"/>
      <c r="AY998" s="20"/>
      <c r="AZ998" s="20"/>
      <c r="BA998" s="20"/>
      <c r="BB998" s="20"/>
      <c r="BC998" s="20"/>
    </row>
    <row r="999" ht="13.5" customHeight="1" spans="1:55">
      <c r="A999" s="20"/>
      <c r="B999" s="20"/>
      <c r="C999" s="20"/>
      <c r="D999" s="20"/>
      <c r="E999" s="20"/>
      <c r="F999" s="20"/>
      <c r="G999" s="52"/>
      <c r="H999" s="20"/>
      <c r="I999" s="20"/>
      <c r="J999" s="20"/>
      <c r="K999" s="20"/>
      <c r="L999" s="20"/>
      <c r="M999" s="20"/>
      <c r="N999" s="20"/>
      <c r="O999" s="20"/>
      <c r="P999" s="20"/>
      <c r="Q999" s="20"/>
      <c r="R999" s="20"/>
      <c r="S999" s="20"/>
      <c r="T999" s="20"/>
      <c r="U999" s="20"/>
      <c r="V999" s="20"/>
      <c r="W999" s="20"/>
      <c r="X999" s="20"/>
      <c r="Y999" s="20"/>
      <c r="Z999" s="20"/>
      <c r="AA999" s="20"/>
      <c r="AB999" s="20"/>
      <c r="AC999" s="20"/>
      <c r="AD999" s="20"/>
      <c r="AE999" s="20"/>
      <c r="AF999" s="20"/>
      <c r="AG999" s="20"/>
      <c r="AH999" s="20"/>
      <c r="AI999" s="20"/>
      <c r="AJ999" s="20"/>
      <c r="AK999" s="20"/>
      <c r="AL999" s="20"/>
      <c r="AM999" s="20"/>
      <c r="AN999" s="20"/>
      <c r="AO999" s="20"/>
      <c r="AP999" s="20"/>
      <c r="AQ999" s="20"/>
      <c r="AR999" s="20"/>
      <c r="AS999" s="20"/>
      <c r="AT999" s="20"/>
      <c r="AU999" s="20"/>
      <c r="AV999" s="20"/>
      <c r="AW999" s="20"/>
      <c r="AX999" s="20"/>
      <c r="AY999" s="20"/>
      <c r="AZ999" s="20"/>
      <c r="BA999" s="20"/>
      <c r="BB999" s="20"/>
      <c r="BC999" s="20"/>
    </row>
    <row r="1000" ht="13.5" customHeight="1" spans="1:55">
      <c r="A1000" s="20"/>
      <c r="B1000" s="20"/>
      <c r="C1000" s="20"/>
      <c r="D1000" s="20"/>
      <c r="E1000" s="20"/>
      <c r="F1000" s="20"/>
      <c r="G1000" s="52"/>
      <c r="H1000" s="20"/>
      <c r="I1000" s="20"/>
      <c r="J1000" s="20"/>
      <c r="K1000" s="20"/>
      <c r="L1000" s="20"/>
      <c r="M1000" s="20"/>
      <c r="N1000" s="20"/>
      <c r="O1000" s="20"/>
      <c r="P1000" s="20"/>
      <c r="Q1000" s="20"/>
      <c r="R1000" s="20"/>
      <c r="S1000" s="20"/>
      <c r="T1000" s="20"/>
      <c r="U1000" s="20"/>
      <c r="V1000" s="20"/>
      <c r="W1000" s="20"/>
      <c r="X1000" s="20"/>
      <c r="Y1000" s="20"/>
      <c r="Z1000" s="20"/>
      <c r="AA1000" s="20"/>
      <c r="AB1000" s="20"/>
      <c r="AC1000" s="20"/>
      <c r="AD1000" s="20"/>
      <c r="AE1000" s="20"/>
      <c r="AF1000" s="20"/>
      <c r="AG1000" s="20"/>
      <c r="AH1000" s="20"/>
      <c r="AI1000" s="20"/>
      <c r="AJ1000" s="20"/>
      <c r="AK1000" s="20"/>
      <c r="AL1000" s="20"/>
      <c r="AM1000" s="20"/>
      <c r="AN1000" s="20"/>
      <c r="AO1000" s="20"/>
      <c r="AP1000" s="20"/>
      <c r="AQ1000" s="20"/>
      <c r="AR1000" s="20"/>
      <c r="AS1000" s="20"/>
      <c r="AT1000" s="20"/>
      <c r="AU1000" s="20"/>
      <c r="AV1000" s="20"/>
      <c r="AW1000" s="20"/>
      <c r="AX1000" s="20"/>
      <c r="AY1000" s="20"/>
      <c r="AZ1000" s="20"/>
      <c r="BA1000" s="20"/>
      <c r="BB1000" s="20"/>
      <c r="BC1000" s="20"/>
    </row>
  </sheetData>
  <mergeCells count="1">
    <mergeCell ref="G5:H5"/>
  </mergeCells>
  <conditionalFormatting sqref="G6:G457">
    <cfRule type="cellIs" dxfId="0" priority="4" operator="equal">
      <formula>FALSE</formula>
    </cfRule>
    <cfRule type="cellIs" dxfId="1" priority="3" operator="equal">
      <formula>TRUE</formula>
    </cfRule>
  </conditionalFormatting>
  <conditionalFormatting sqref="H6:H457">
    <cfRule type="cellIs" dxfId="2" priority="2" operator="equal">
      <formula>"👎"</formula>
    </cfRule>
    <cfRule type="cellIs" dxfId="3" priority="1" operator="equal">
      <formula>"👍"</formula>
    </cfRule>
  </conditionalFormatting>
  <pageMargins left="0.7" right="0.7" top="0.75" bottom="0.75" header="0" footer="0"/>
  <pageSetup paperSize="1" orientation="landscape"/>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7" tint="0.4"/>
  </sheetPr>
  <dimension ref="A3:B117"/>
  <sheetViews>
    <sheetView workbookViewId="0">
      <selection activeCell="E37" sqref="E37"/>
    </sheetView>
  </sheetViews>
  <sheetFormatPr defaultColWidth="9.14285714285714" defaultRowHeight="15" outlineLevelCol="1"/>
  <cols>
    <col min="1" max="1" width="15.1428571428571"/>
    <col min="2" max="2" width="36.5714285714286"/>
    <col min="3" max="113" width="15.1428571428571"/>
    <col min="114" max="115" width="11.8571428571429"/>
    <col min="116" max="226" width="36.2857142857143"/>
    <col min="227" max="227" width="27.7142857142857"/>
    <col min="228" max="228" width="41.8571428571429"/>
  </cols>
  <sheetData>
    <row r="3" spans="1:2">
      <c r="A3" t="s">
        <v>1143</v>
      </c>
      <c r="B3" t="s">
        <v>1266</v>
      </c>
    </row>
    <row r="4" spans="1:2">
      <c r="A4" t="s">
        <v>1161</v>
      </c>
      <c r="B4" s="46">
        <v>1</v>
      </c>
    </row>
    <row r="5" spans="1:2">
      <c r="A5" t="s">
        <v>1157</v>
      </c>
      <c r="B5" s="46">
        <v>1</v>
      </c>
    </row>
    <row r="6" spans="1:2">
      <c r="A6" t="s">
        <v>1160</v>
      </c>
      <c r="B6" s="46">
        <v>1</v>
      </c>
    </row>
    <row r="7" spans="1:2">
      <c r="A7" t="s">
        <v>1159</v>
      </c>
      <c r="B7" s="46">
        <v>1</v>
      </c>
    </row>
    <row r="8" spans="1:2">
      <c r="A8" t="s">
        <v>1147</v>
      </c>
      <c r="B8" s="46">
        <v>1.6</v>
      </c>
    </row>
    <row r="9" spans="1:2">
      <c r="A9" t="s">
        <v>1168</v>
      </c>
      <c r="B9" s="46">
        <v>2</v>
      </c>
    </row>
    <row r="10" spans="1:2">
      <c r="A10" t="s">
        <v>1165</v>
      </c>
      <c r="B10" s="46">
        <v>2</v>
      </c>
    </row>
    <row r="11" spans="1:2">
      <c r="A11" t="s">
        <v>1162</v>
      </c>
      <c r="B11" s="46">
        <v>3</v>
      </c>
    </row>
    <row r="12" spans="1:2">
      <c r="A12" t="s">
        <v>1175</v>
      </c>
      <c r="B12" s="46">
        <v>4</v>
      </c>
    </row>
    <row r="13" spans="1:2">
      <c r="A13" t="s">
        <v>1179</v>
      </c>
      <c r="B13" s="46">
        <v>5</v>
      </c>
    </row>
    <row r="14" spans="1:2">
      <c r="A14" t="s">
        <v>1182</v>
      </c>
      <c r="B14" s="46">
        <v>5</v>
      </c>
    </row>
    <row r="15" spans="1:2">
      <c r="A15" t="s">
        <v>1158</v>
      </c>
      <c r="B15" s="46">
        <v>5</v>
      </c>
    </row>
    <row r="16" spans="1:2">
      <c r="A16" t="s">
        <v>1183</v>
      </c>
      <c r="B16" s="46">
        <v>6.4</v>
      </c>
    </row>
    <row r="17" spans="1:2">
      <c r="A17" t="s">
        <v>1171</v>
      </c>
      <c r="B17" s="46">
        <v>8</v>
      </c>
    </row>
    <row r="18" spans="1:2">
      <c r="A18" t="s">
        <v>1187</v>
      </c>
      <c r="B18" s="46">
        <v>9</v>
      </c>
    </row>
    <row r="19" spans="1:2">
      <c r="A19" t="s">
        <v>1167</v>
      </c>
      <c r="B19" s="46">
        <v>10</v>
      </c>
    </row>
    <row r="20" spans="1:2">
      <c r="A20" t="s">
        <v>1191</v>
      </c>
      <c r="B20" s="46">
        <v>11</v>
      </c>
    </row>
    <row r="21" spans="1:2">
      <c r="A21" t="s">
        <v>1198</v>
      </c>
      <c r="B21" s="46">
        <v>13</v>
      </c>
    </row>
    <row r="22" spans="1:2">
      <c r="A22" t="s">
        <v>1154</v>
      </c>
      <c r="B22" s="46">
        <v>13</v>
      </c>
    </row>
    <row r="23" spans="1:2">
      <c r="A23" t="s">
        <v>1178</v>
      </c>
      <c r="B23" s="46">
        <v>14</v>
      </c>
    </row>
    <row r="24" spans="1:2">
      <c r="A24" t="s">
        <v>1177</v>
      </c>
      <c r="B24" s="46">
        <v>15</v>
      </c>
    </row>
    <row r="25" spans="1:2">
      <c r="A25" t="s">
        <v>1163</v>
      </c>
      <c r="B25" s="46">
        <v>15</v>
      </c>
    </row>
    <row r="26" spans="1:2">
      <c r="A26" t="s">
        <v>1180</v>
      </c>
      <c r="B26" s="46">
        <v>19</v>
      </c>
    </row>
    <row r="27" spans="1:2">
      <c r="A27" t="s">
        <v>1150</v>
      </c>
      <c r="B27" s="46">
        <v>19</v>
      </c>
    </row>
    <row r="28" spans="1:2">
      <c r="A28" t="s">
        <v>1190</v>
      </c>
      <c r="B28" s="46">
        <v>20</v>
      </c>
    </row>
    <row r="29" spans="1:2">
      <c r="A29" t="s">
        <v>1164</v>
      </c>
      <c r="B29" s="46">
        <v>25</v>
      </c>
    </row>
    <row r="30" spans="1:2">
      <c r="A30" t="s">
        <v>1210</v>
      </c>
      <c r="B30" s="46">
        <v>25.6</v>
      </c>
    </row>
    <row r="31" spans="1:2">
      <c r="A31" t="s">
        <v>1196</v>
      </c>
      <c r="B31" s="46">
        <v>26</v>
      </c>
    </row>
    <row r="32" spans="1:2">
      <c r="A32" t="s">
        <v>1155</v>
      </c>
      <c r="B32" s="46">
        <v>26</v>
      </c>
    </row>
    <row r="33" spans="1:2">
      <c r="A33" t="s">
        <v>1199</v>
      </c>
      <c r="B33" s="46">
        <v>26</v>
      </c>
    </row>
    <row r="34" spans="1:2">
      <c r="A34" t="s">
        <v>1186</v>
      </c>
      <c r="B34" s="46">
        <v>32</v>
      </c>
    </row>
    <row r="35" spans="1:2">
      <c r="A35" t="s">
        <v>1193</v>
      </c>
      <c r="B35" s="46">
        <v>36</v>
      </c>
    </row>
    <row r="36" spans="1:2">
      <c r="A36" t="s">
        <v>1173</v>
      </c>
      <c r="B36" s="46">
        <v>40</v>
      </c>
    </row>
    <row r="37" spans="1:2">
      <c r="A37" t="s">
        <v>1203</v>
      </c>
      <c r="B37" s="46">
        <v>42</v>
      </c>
    </row>
    <row r="38" spans="1:2">
      <c r="A38" t="s">
        <v>1181</v>
      </c>
      <c r="B38" s="46">
        <v>47</v>
      </c>
    </row>
    <row r="39" spans="1:2">
      <c r="A39" t="s">
        <v>1229</v>
      </c>
      <c r="B39" s="46">
        <v>54</v>
      </c>
    </row>
    <row r="40" spans="1:2">
      <c r="A40" t="s">
        <v>1208</v>
      </c>
      <c r="B40" s="46">
        <v>63</v>
      </c>
    </row>
    <row r="41" spans="1:2">
      <c r="A41" t="s">
        <v>1170</v>
      </c>
      <c r="B41" s="46">
        <v>70</v>
      </c>
    </row>
    <row r="42" spans="1:2">
      <c r="A42" t="s">
        <v>1172</v>
      </c>
      <c r="B42" s="46">
        <v>71</v>
      </c>
    </row>
    <row r="43" spans="1:2">
      <c r="A43" t="s">
        <v>1218</v>
      </c>
      <c r="B43" s="46">
        <v>72</v>
      </c>
    </row>
    <row r="44" spans="1:2">
      <c r="A44" t="s">
        <v>1234</v>
      </c>
      <c r="B44" s="46">
        <v>72.8</v>
      </c>
    </row>
    <row r="45" spans="1:2">
      <c r="A45" t="s">
        <v>1152</v>
      </c>
      <c r="B45" s="46">
        <v>89</v>
      </c>
    </row>
    <row r="46" spans="1:2">
      <c r="A46" t="s">
        <v>1235</v>
      </c>
      <c r="B46" s="46">
        <v>90.4</v>
      </c>
    </row>
    <row r="47" spans="1:2">
      <c r="A47" t="s">
        <v>1236</v>
      </c>
      <c r="B47" s="46">
        <v>93</v>
      </c>
    </row>
    <row r="48" spans="1:2">
      <c r="A48" t="s">
        <v>1238</v>
      </c>
      <c r="B48" s="46">
        <v>97</v>
      </c>
    </row>
    <row r="49" spans="1:2">
      <c r="A49" t="s">
        <v>1225</v>
      </c>
      <c r="B49" s="46">
        <v>97</v>
      </c>
    </row>
    <row r="50" spans="1:2">
      <c r="A50" t="s">
        <v>1192</v>
      </c>
      <c r="B50" s="46">
        <v>100</v>
      </c>
    </row>
    <row r="51" spans="1:2">
      <c r="A51" t="s">
        <v>1149</v>
      </c>
      <c r="B51" s="46">
        <v>102.4</v>
      </c>
    </row>
    <row r="52" spans="1:2">
      <c r="A52" t="s">
        <v>1189</v>
      </c>
      <c r="B52" s="46">
        <v>121</v>
      </c>
    </row>
    <row r="53" spans="1:2">
      <c r="A53" t="s">
        <v>1216</v>
      </c>
      <c r="B53" s="46">
        <v>125</v>
      </c>
    </row>
    <row r="54" spans="1:2">
      <c r="A54" t="s">
        <v>1184</v>
      </c>
      <c r="B54" s="46">
        <v>133</v>
      </c>
    </row>
    <row r="55" spans="1:2">
      <c r="A55" t="s">
        <v>1212</v>
      </c>
      <c r="B55" s="46">
        <v>134</v>
      </c>
    </row>
    <row r="56" spans="1:2">
      <c r="A56" t="s">
        <v>1219</v>
      </c>
      <c r="B56" s="46">
        <v>147</v>
      </c>
    </row>
    <row r="57" spans="1:2">
      <c r="A57" t="s">
        <v>1205</v>
      </c>
      <c r="B57" s="46">
        <v>169</v>
      </c>
    </row>
    <row r="58" spans="1:2">
      <c r="A58" t="s">
        <v>1217</v>
      </c>
      <c r="B58" s="46">
        <v>170</v>
      </c>
    </row>
    <row r="59" spans="1:2">
      <c r="A59" t="s">
        <v>1243</v>
      </c>
      <c r="B59" s="46">
        <v>184</v>
      </c>
    </row>
    <row r="60" spans="1:2">
      <c r="A60" t="s">
        <v>1195</v>
      </c>
      <c r="B60" s="46">
        <v>185</v>
      </c>
    </row>
    <row r="61" spans="1:2">
      <c r="A61" t="s">
        <v>1169</v>
      </c>
      <c r="B61" s="46">
        <v>186</v>
      </c>
    </row>
    <row r="62" spans="1:2">
      <c r="A62" t="s">
        <v>1226</v>
      </c>
      <c r="B62" s="46">
        <v>205</v>
      </c>
    </row>
    <row r="63" spans="1:2">
      <c r="A63" t="s">
        <v>1200</v>
      </c>
      <c r="B63" s="46">
        <v>208</v>
      </c>
    </row>
    <row r="64" spans="1:2">
      <c r="A64" t="s">
        <v>1224</v>
      </c>
      <c r="B64" s="46">
        <v>221</v>
      </c>
    </row>
    <row r="65" spans="1:2">
      <c r="A65" t="s">
        <v>1185</v>
      </c>
      <c r="B65" s="46">
        <v>224</v>
      </c>
    </row>
    <row r="66" spans="1:2">
      <c r="A66" t="s">
        <v>1231</v>
      </c>
      <c r="B66" s="46">
        <v>228</v>
      </c>
    </row>
    <row r="67" spans="1:2">
      <c r="A67" t="s">
        <v>1188</v>
      </c>
      <c r="B67" s="46">
        <v>244</v>
      </c>
    </row>
    <row r="68" spans="1:2">
      <c r="A68" t="s">
        <v>1246</v>
      </c>
      <c r="B68" s="46">
        <v>273</v>
      </c>
    </row>
    <row r="69" spans="1:2">
      <c r="A69" t="s">
        <v>1228</v>
      </c>
      <c r="B69" s="46">
        <v>284</v>
      </c>
    </row>
    <row r="70" spans="1:2">
      <c r="A70" t="s">
        <v>1207</v>
      </c>
      <c r="B70" s="46">
        <v>289</v>
      </c>
    </row>
    <row r="71" spans="1:2">
      <c r="A71" t="s">
        <v>1232</v>
      </c>
      <c r="B71" s="46">
        <v>304</v>
      </c>
    </row>
    <row r="72" spans="1:2">
      <c r="A72" t="s">
        <v>1206</v>
      </c>
      <c r="B72" s="46">
        <v>309</v>
      </c>
    </row>
    <row r="73" spans="1:2">
      <c r="A73" t="s">
        <v>1202</v>
      </c>
      <c r="B73" s="46">
        <v>318</v>
      </c>
    </row>
    <row r="74" spans="1:2">
      <c r="A74" t="s">
        <v>1237</v>
      </c>
      <c r="B74" s="46">
        <v>340</v>
      </c>
    </row>
    <row r="75" spans="1:2">
      <c r="A75" t="s">
        <v>1204</v>
      </c>
      <c r="B75" s="46">
        <v>366</v>
      </c>
    </row>
    <row r="76" spans="1:2">
      <c r="A76" t="s">
        <v>1176</v>
      </c>
      <c r="B76" s="46">
        <v>367</v>
      </c>
    </row>
    <row r="77" spans="1:2">
      <c r="A77" t="s">
        <v>1201</v>
      </c>
      <c r="B77" s="46">
        <v>381</v>
      </c>
    </row>
    <row r="78" spans="1:2">
      <c r="A78" t="s">
        <v>1239</v>
      </c>
      <c r="B78" s="46">
        <v>384</v>
      </c>
    </row>
    <row r="79" spans="1:2">
      <c r="A79" t="s">
        <v>1242</v>
      </c>
      <c r="B79" s="46">
        <v>397</v>
      </c>
    </row>
    <row r="80" spans="1:2">
      <c r="A80" t="s">
        <v>1233</v>
      </c>
      <c r="B80" s="46">
        <v>446</v>
      </c>
    </row>
    <row r="81" spans="1:2">
      <c r="A81" t="s">
        <v>1211</v>
      </c>
      <c r="B81" s="46">
        <v>506</v>
      </c>
    </row>
    <row r="82" spans="1:2">
      <c r="A82" t="s">
        <v>1252</v>
      </c>
      <c r="B82" s="46">
        <v>508</v>
      </c>
    </row>
    <row r="83" spans="1:2">
      <c r="A83" t="s">
        <v>1213</v>
      </c>
      <c r="B83" s="46">
        <v>524</v>
      </c>
    </row>
    <row r="84" spans="1:2">
      <c r="A84" t="s">
        <v>1197</v>
      </c>
      <c r="B84" s="46">
        <v>544</v>
      </c>
    </row>
    <row r="85" spans="1:2">
      <c r="A85" t="s">
        <v>1247</v>
      </c>
      <c r="B85" s="46">
        <v>577</v>
      </c>
    </row>
    <row r="86" spans="1:2">
      <c r="A86" t="s">
        <v>1253</v>
      </c>
      <c r="B86" s="46">
        <v>633</v>
      </c>
    </row>
    <row r="87" spans="1:2">
      <c r="A87" t="s">
        <v>1215</v>
      </c>
      <c r="B87" s="46">
        <v>680</v>
      </c>
    </row>
    <row r="88" spans="1:2">
      <c r="A88" t="s">
        <v>1221</v>
      </c>
      <c r="B88" s="46">
        <v>716</v>
      </c>
    </row>
    <row r="89" spans="1:2">
      <c r="A89" t="s">
        <v>1174</v>
      </c>
      <c r="B89" s="46">
        <v>734</v>
      </c>
    </row>
    <row r="90" spans="1:2">
      <c r="A90" t="s">
        <v>1214</v>
      </c>
      <c r="B90" s="46">
        <v>761</v>
      </c>
    </row>
    <row r="91" spans="1:2">
      <c r="A91" t="s">
        <v>1256</v>
      </c>
      <c r="B91" s="46">
        <v>794</v>
      </c>
    </row>
    <row r="92" spans="1:2">
      <c r="A92" t="s">
        <v>1240</v>
      </c>
      <c r="B92" s="46">
        <v>968</v>
      </c>
    </row>
    <row r="93" spans="1:2">
      <c r="A93" t="s">
        <v>1223</v>
      </c>
      <c r="B93" s="46">
        <v>1126.4</v>
      </c>
    </row>
    <row r="94" spans="1:2">
      <c r="A94" t="s">
        <v>1220</v>
      </c>
      <c r="B94" s="46">
        <v>1135</v>
      </c>
    </row>
    <row r="95" spans="1:2">
      <c r="A95" t="s">
        <v>1227</v>
      </c>
      <c r="B95" s="46">
        <v>1265</v>
      </c>
    </row>
    <row r="96" spans="1:2">
      <c r="A96" t="s">
        <v>1248</v>
      </c>
      <c r="B96" s="46">
        <v>1383</v>
      </c>
    </row>
    <row r="97" spans="1:2">
      <c r="A97" t="s">
        <v>1260</v>
      </c>
      <c r="B97" s="46">
        <v>1400</v>
      </c>
    </row>
    <row r="98" spans="1:2">
      <c r="A98" t="s">
        <v>1261</v>
      </c>
      <c r="B98" s="46">
        <v>1539</v>
      </c>
    </row>
    <row r="99" spans="1:2">
      <c r="A99" t="s">
        <v>1262</v>
      </c>
      <c r="B99" s="46">
        <v>1556</v>
      </c>
    </row>
    <row r="100" spans="1:2">
      <c r="A100" t="s">
        <v>1245</v>
      </c>
      <c r="B100" s="46">
        <v>1799</v>
      </c>
    </row>
    <row r="101" spans="1:2">
      <c r="A101" t="s">
        <v>1250</v>
      </c>
      <c r="B101" s="46">
        <v>1917</v>
      </c>
    </row>
    <row r="102" spans="1:2">
      <c r="A102" t="s">
        <v>1222</v>
      </c>
      <c r="B102" s="46">
        <v>1948</v>
      </c>
    </row>
    <row r="103" spans="1:2">
      <c r="A103" t="s">
        <v>1249</v>
      </c>
      <c r="B103" s="46">
        <v>2207</v>
      </c>
    </row>
    <row r="104" spans="1:2">
      <c r="A104" t="s">
        <v>1263</v>
      </c>
      <c r="B104" s="46">
        <v>2265</v>
      </c>
    </row>
    <row r="105" spans="1:2">
      <c r="A105" t="s">
        <v>1230</v>
      </c>
      <c r="B105" s="46">
        <v>2438</v>
      </c>
    </row>
    <row r="106" spans="1:2">
      <c r="A106" t="s">
        <v>1194</v>
      </c>
      <c r="B106" s="46">
        <v>2504</v>
      </c>
    </row>
    <row r="107" spans="1:2">
      <c r="A107" t="s">
        <v>1241</v>
      </c>
      <c r="B107" s="46">
        <v>2625</v>
      </c>
    </row>
    <row r="108" spans="1:2">
      <c r="A108" t="s">
        <v>1255</v>
      </c>
      <c r="B108" s="46">
        <v>2858</v>
      </c>
    </row>
    <row r="109" spans="1:2">
      <c r="A109" t="s">
        <v>1244</v>
      </c>
      <c r="B109" s="46">
        <v>6484</v>
      </c>
    </row>
    <row r="110" spans="1:2">
      <c r="A110" t="s">
        <v>1257</v>
      </c>
      <c r="B110" s="46">
        <v>6550</v>
      </c>
    </row>
    <row r="111" spans="1:2">
      <c r="A111" t="s">
        <v>1254</v>
      </c>
      <c r="B111" s="46">
        <v>7319</v>
      </c>
    </row>
    <row r="112" spans="1:2">
      <c r="A112" t="s">
        <v>1209</v>
      </c>
      <c r="B112" s="46">
        <v>8726</v>
      </c>
    </row>
    <row r="113" spans="1:2">
      <c r="A113" t="s">
        <v>1251</v>
      </c>
      <c r="B113" s="46">
        <v>9165</v>
      </c>
    </row>
    <row r="114" spans="1:2">
      <c r="A114" t="s">
        <v>1259</v>
      </c>
      <c r="B114" s="46">
        <v>9306</v>
      </c>
    </row>
    <row r="115" spans="1:2">
      <c r="A115" t="s">
        <v>1258</v>
      </c>
      <c r="B115" s="46">
        <v>16839</v>
      </c>
    </row>
    <row r="116" spans="1:2">
      <c r="A116" t="s">
        <v>1264</v>
      </c>
      <c r="B116" s="46">
        <v>76813.6</v>
      </c>
    </row>
    <row r="117" spans="1:2">
      <c r="A117" t="s">
        <v>1267</v>
      </c>
      <c r="B117" s="46">
        <v>188056.2</v>
      </c>
    </row>
  </sheetData>
  <pageMargins left="0.75" right="0.75" top="1" bottom="1" header="0.5" footer="0.5"/>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7" tint="0.4"/>
  </sheetPr>
  <dimension ref="A1:D115"/>
  <sheetViews>
    <sheetView workbookViewId="0">
      <selection activeCell="G8" sqref="G8"/>
    </sheetView>
  </sheetViews>
  <sheetFormatPr defaultColWidth="9.14285714285714" defaultRowHeight="15" outlineLevelCol="3"/>
  <cols>
    <col min="1" max="1" width="15.1428571428571" customWidth="1"/>
    <col min="2" max="2" width="36.2857142857143" customWidth="1"/>
    <col min="3" max="3" width="16.8571428571429" customWidth="1"/>
    <col min="4" max="4" width="27.5714285714286" customWidth="1"/>
  </cols>
  <sheetData>
    <row r="1" spans="1:4">
      <c r="A1" t="s">
        <v>1143</v>
      </c>
      <c r="B1" t="s">
        <v>1266</v>
      </c>
      <c r="C1" t="s">
        <v>1268</v>
      </c>
      <c r="D1" s="45" t="s">
        <v>1269</v>
      </c>
    </row>
    <row r="2" spans="1:4">
      <c r="A2" t="s">
        <v>1161</v>
      </c>
      <c r="B2" s="46">
        <v>1</v>
      </c>
      <c r="C2">
        <f>B2</f>
        <v>1</v>
      </c>
      <c r="D2" s="47">
        <f>C2/SUM($B$2:$B$114)</f>
        <v>5.31755932535061e-6</v>
      </c>
    </row>
    <row r="3" spans="1:4">
      <c r="A3" t="s">
        <v>1157</v>
      </c>
      <c r="B3" s="46">
        <v>1</v>
      </c>
      <c r="C3">
        <f>C2+B3</f>
        <v>2</v>
      </c>
      <c r="D3" s="47">
        <f t="shared" ref="D3:D34" si="0">C3/SUM($B$2:$B$114)*100</f>
        <v>0.00106351186507012</v>
      </c>
    </row>
    <row r="4" spans="1:4">
      <c r="A4" t="s">
        <v>1160</v>
      </c>
      <c r="B4" s="46">
        <v>1</v>
      </c>
      <c r="C4">
        <f t="shared" ref="C4:C35" si="1">C3+B4</f>
        <v>3</v>
      </c>
      <c r="D4" s="47">
        <f t="shared" si="0"/>
        <v>0.00159526779760518</v>
      </c>
    </row>
    <row r="5" spans="1:4">
      <c r="A5" t="s">
        <v>1159</v>
      </c>
      <c r="B5" s="46">
        <v>1</v>
      </c>
      <c r="C5">
        <f t="shared" si="1"/>
        <v>4</v>
      </c>
      <c r="D5" s="47">
        <f t="shared" si="0"/>
        <v>0.00212702373014025</v>
      </c>
    </row>
    <row r="6" spans="1:4">
      <c r="A6" t="s">
        <v>1147</v>
      </c>
      <c r="B6" s="46">
        <v>1.6</v>
      </c>
      <c r="C6">
        <f t="shared" si="1"/>
        <v>5.6</v>
      </c>
      <c r="D6" s="47">
        <f t="shared" si="0"/>
        <v>0.00297783322219634</v>
      </c>
    </row>
    <row r="7" spans="1:4">
      <c r="A7" t="s">
        <v>1168</v>
      </c>
      <c r="B7" s="46">
        <v>2</v>
      </c>
      <c r="C7">
        <f t="shared" si="1"/>
        <v>7.6</v>
      </c>
      <c r="D7" s="47">
        <f t="shared" si="0"/>
        <v>0.00404134508726647</v>
      </c>
    </row>
    <row r="8" spans="1:4">
      <c r="A8" t="s">
        <v>1165</v>
      </c>
      <c r="B8" s="46">
        <v>2</v>
      </c>
      <c r="C8">
        <f t="shared" si="1"/>
        <v>9.6</v>
      </c>
      <c r="D8" s="47">
        <f t="shared" si="0"/>
        <v>0.00510485695233659</v>
      </c>
    </row>
    <row r="9" spans="1:4">
      <c r="A9" t="s">
        <v>1162</v>
      </c>
      <c r="B9" s="46">
        <v>3</v>
      </c>
      <c r="C9">
        <f t="shared" si="1"/>
        <v>12.6</v>
      </c>
      <c r="D9" s="47">
        <f t="shared" si="0"/>
        <v>0.00670012474994177</v>
      </c>
    </row>
    <row r="10" spans="1:4">
      <c r="A10" t="s">
        <v>1175</v>
      </c>
      <c r="B10" s="46">
        <v>4</v>
      </c>
      <c r="C10">
        <f t="shared" si="1"/>
        <v>16.6</v>
      </c>
      <c r="D10" s="47">
        <f t="shared" si="0"/>
        <v>0.00882714848008202</v>
      </c>
    </row>
    <row r="11" spans="1:4">
      <c r="A11" t="s">
        <v>1179</v>
      </c>
      <c r="B11" s="46">
        <v>5</v>
      </c>
      <c r="C11">
        <f t="shared" si="1"/>
        <v>21.6</v>
      </c>
      <c r="D11" s="47">
        <f t="shared" si="0"/>
        <v>0.0114859281427573</v>
      </c>
    </row>
    <row r="12" spans="1:4">
      <c r="A12" t="s">
        <v>1182</v>
      </c>
      <c r="B12" s="46">
        <v>5</v>
      </c>
      <c r="C12">
        <f t="shared" si="1"/>
        <v>26.6</v>
      </c>
      <c r="D12" s="47">
        <f t="shared" si="0"/>
        <v>0.0141447078054326</v>
      </c>
    </row>
    <row r="13" spans="1:4">
      <c r="A13" t="s">
        <v>1158</v>
      </c>
      <c r="B13" s="46">
        <v>5</v>
      </c>
      <c r="C13">
        <f t="shared" si="1"/>
        <v>31.6</v>
      </c>
      <c r="D13" s="47">
        <f t="shared" si="0"/>
        <v>0.0168034874681079</v>
      </c>
    </row>
    <row r="14" spans="1:4">
      <c r="A14" t="s">
        <v>1183</v>
      </c>
      <c r="B14" s="46">
        <v>6.4</v>
      </c>
      <c r="C14">
        <f t="shared" si="1"/>
        <v>38</v>
      </c>
      <c r="D14" s="47">
        <f t="shared" si="0"/>
        <v>0.0202067254363323</v>
      </c>
    </row>
    <row r="15" spans="1:4">
      <c r="A15" t="s">
        <v>1171</v>
      </c>
      <c r="B15" s="46">
        <v>8</v>
      </c>
      <c r="C15">
        <f t="shared" si="1"/>
        <v>46</v>
      </c>
      <c r="D15" s="47">
        <f t="shared" si="0"/>
        <v>0.0244607728966128</v>
      </c>
    </row>
    <row r="16" spans="1:4">
      <c r="A16" t="s">
        <v>1187</v>
      </c>
      <c r="B16" s="46">
        <v>9</v>
      </c>
      <c r="C16">
        <f t="shared" si="1"/>
        <v>55</v>
      </c>
      <c r="D16" s="47">
        <f t="shared" si="0"/>
        <v>0.0292465762894284</v>
      </c>
    </row>
    <row r="17" spans="1:4">
      <c r="A17" t="s">
        <v>1167</v>
      </c>
      <c r="B17" s="46">
        <v>10</v>
      </c>
      <c r="C17">
        <f t="shared" si="1"/>
        <v>65</v>
      </c>
      <c r="D17" s="47">
        <f t="shared" si="0"/>
        <v>0.034564135614779</v>
      </c>
    </row>
    <row r="18" spans="1:4">
      <c r="A18" t="s">
        <v>1191</v>
      </c>
      <c r="B18" s="46">
        <v>11</v>
      </c>
      <c r="C18">
        <f t="shared" si="1"/>
        <v>76</v>
      </c>
      <c r="D18" s="47">
        <f t="shared" si="0"/>
        <v>0.0404134508726647</v>
      </c>
    </row>
    <row r="19" spans="1:4">
      <c r="A19" t="s">
        <v>1198</v>
      </c>
      <c r="B19" s="46">
        <v>13</v>
      </c>
      <c r="C19">
        <f t="shared" si="1"/>
        <v>89</v>
      </c>
      <c r="D19" s="47">
        <f t="shared" si="0"/>
        <v>0.0473262779956205</v>
      </c>
    </row>
    <row r="20" spans="1:4">
      <c r="A20" t="s">
        <v>1154</v>
      </c>
      <c r="B20" s="46">
        <v>13</v>
      </c>
      <c r="C20">
        <f t="shared" si="1"/>
        <v>102</v>
      </c>
      <c r="D20" s="47">
        <f t="shared" si="0"/>
        <v>0.0542391051185762</v>
      </c>
    </row>
    <row r="21" spans="1:4">
      <c r="A21" t="s">
        <v>1178</v>
      </c>
      <c r="B21" s="46">
        <v>14</v>
      </c>
      <c r="C21">
        <f t="shared" si="1"/>
        <v>116</v>
      </c>
      <c r="D21" s="47">
        <f t="shared" si="0"/>
        <v>0.0616836881740671</v>
      </c>
    </row>
    <row r="22" spans="1:4">
      <c r="A22" t="s">
        <v>1177</v>
      </c>
      <c r="B22" s="46">
        <v>15</v>
      </c>
      <c r="C22">
        <f t="shared" si="1"/>
        <v>131</v>
      </c>
      <c r="D22" s="47">
        <f t="shared" si="0"/>
        <v>0.069660027162093</v>
      </c>
    </row>
    <row r="23" spans="1:4">
      <c r="A23" t="s">
        <v>1163</v>
      </c>
      <c r="B23" s="46">
        <v>15</v>
      </c>
      <c r="C23">
        <f t="shared" si="1"/>
        <v>146</v>
      </c>
      <c r="D23" s="47">
        <f t="shared" si="0"/>
        <v>0.077636366150119</v>
      </c>
    </row>
    <row r="24" spans="1:4">
      <c r="A24" t="s">
        <v>1180</v>
      </c>
      <c r="B24" s="46">
        <v>19</v>
      </c>
      <c r="C24">
        <f t="shared" si="1"/>
        <v>165</v>
      </c>
      <c r="D24" s="47">
        <f t="shared" si="0"/>
        <v>0.0877397288682851</v>
      </c>
    </row>
    <row r="25" spans="1:4">
      <c r="A25" t="s">
        <v>1150</v>
      </c>
      <c r="B25" s="46">
        <v>19</v>
      </c>
      <c r="C25">
        <f t="shared" si="1"/>
        <v>184</v>
      </c>
      <c r="D25" s="47">
        <f t="shared" si="0"/>
        <v>0.0978430915864513</v>
      </c>
    </row>
    <row r="26" spans="1:4">
      <c r="A26" t="s">
        <v>1190</v>
      </c>
      <c r="B26" s="46">
        <v>20</v>
      </c>
      <c r="C26">
        <f t="shared" si="1"/>
        <v>204</v>
      </c>
      <c r="D26" s="47">
        <f t="shared" si="0"/>
        <v>0.108478210237152</v>
      </c>
    </row>
    <row r="27" spans="1:4">
      <c r="A27" t="s">
        <v>1164</v>
      </c>
      <c r="B27" s="46">
        <v>25</v>
      </c>
      <c r="C27">
        <f t="shared" si="1"/>
        <v>229</v>
      </c>
      <c r="D27" s="47">
        <f t="shared" si="0"/>
        <v>0.121772108550529</v>
      </c>
    </row>
    <row r="28" spans="1:4">
      <c r="A28" t="s">
        <v>1210</v>
      </c>
      <c r="B28" s="46">
        <v>25.6</v>
      </c>
      <c r="C28">
        <f t="shared" si="1"/>
        <v>254.6</v>
      </c>
      <c r="D28" s="47">
        <f t="shared" si="0"/>
        <v>0.135385060423427</v>
      </c>
    </row>
    <row r="29" spans="1:4">
      <c r="A29" t="s">
        <v>1196</v>
      </c>
      <c r="B29" s="46">
        <v>26</v>
      </c>
      <c r="C29">
        <f t="shared" si="1"/>
        <v>280.6</v>
      </c>
      <c r="D29" s="47">
        <f t="shared" si="0"/>
        <v>0.149210714669338</v>
      </c>
    </row>
    <row r="30" spans="1:4">
      <c r="A30" t="s">
        <v>1155</v>
      </c>
      <c r="B30" s="46">
        <v>26</v>
      </c>
      <c r="C30">
        <f t="shared" si="1"/>
        <v>306.6</v>
      </c>
      <c r="D30" s="47">
        <f t="shared" si="0"/>
        <v>0.16303636891525</v>
      </c>
    </row>
    <row r="31" spans="1:4">
      <c r="A31" t="s">
        <v>1199</v>
      </c>
      <c r="B31" s="46">
        <v>26</v>
      </c>
      <c r="C31">
        <f t="shared" si="1"/>
        <v>332.6</v>
      </c>
      <c r="D31" s="47">
        <f t="shared" si="0"/>
        <v>0.176862023161161</v>
      </c>
    </row>
    <row r="32" spans="1:4">
      <c r="A32" t="s">
        <v>1186</v>
      </c>
      <c r="B32" s="46">
        <v>32</v>
      </c>
      <c r="C32">
        <f t="shared" si="1"/>
        <v>364.6</v>
      </c>
      <c r="D32" s="47">
        <f t="shared" si="0"/>
        <v>0.193878213002283</v>
      </c>
    </row>
    <row r="33" spans="1:4">
      <c r="A33" t="s">
        <v>1193</v>
      </c>
      <c r="B33" s="46">
        <v>36</v>
      </c>
      <c r="C33">
        <f t="shared" si="1"/>
        <v>400.6</v>
      </c>
      <c r="D33" s="47">
        <f t="shared" si="0"/>
        <v>0.213021426573546</v>
      </c>
    </row>
    <row r="34" spans="1:4">
      <c r="A34" t="s">
        <v>1173</v>
      </c>
      <c r="B34" s="46">
        <v>40</v>
      </c>
      <c r="C34">
        <f t="shared" si="1"/>
        <v>440.6</v>
      </c>
      <c r="D34" s="47">
        <f t="shared" si="0"/>
        <v>0.234291663874948</v>
      </c>
    </row>
    <row r="35" spans="1:4">
      <c r="A35" t="s">
        <v>1203</v>
      </c>
      <c r="B35" s="46">
        <v>42</v>
      </c>
      <c r="C35">
        <f t="shared" si="1"/>
        <v>482.6</v>
      </c>
      <c r="D35" s="47">
        <f t="shared" ref="D35:D66" si="2">C35/SUM($B$2:$B$114)*100</f>
        <v>0.256625413041421</v>
      </c>
    </row>
    <row r="36" spans="1:4">
      <c r="A36" t="s">
        <v>1181</v>
      </c>
      <c r="B36" s="46">
        <v>47</v>
      </c>
      <c r="C36">
        <f t="shared" ref="C36:C67" si="3">C35+B36</f>
        <v>529.6</v>
      </c>
      <c r="D36" s="47">
        <f t="shared" si="2"/>
        <v>0.281617941870568</v>
      </c>
    </row>
    <row r="37" spans="1:4">
      <c r="A37" t="s">
        <v>1229</v>
      </c>
      <c r="B37" s="46">
        <v>54</v>
      </c>
      <c r="C37">
        <f t="shared" si="3"/>
        <v>583.6</v>
      </c>
      <c r="D37" s="47">
        <f t="shared" si="2"/>
        <v>0.310332762227462</v>
      </c>
    </row>
    <row r="38" spans="1:4">
      <c r="A38" t="s">
        <v>1208</v>
      </c>
      <c r="B38" s="46">
        <v>63</v>
      </c>
      <c r="C38">
        <f t="shared" si="3"/>
        <v>646.6</v>
      </c>
      <c r="D38" s="47">
        <f t="shared" si="2"/>
        <v>0.343833385977171</v>
      </c>
    </row>
    <row r="39" spans="1:4">
      <c r="A39" t="s">
        <v>1170</v>
      </c>
      <c r="B39" s="46">
        <v>70</v>
      </c>
      <c r="C39">
        <f t="shared" si="3"/>
        <v>716.6</v>
      </c>
      <c r="D39" s="47">
        <f t="shared" si="2"/>
        <v>0.381056301254625</v>
      </c>
    </row>
    <row r="40" spans="1:4">
      <c r="A40" t="s">
        <v>1172</v>
      </c>
      <c r="B40" s="46">
        <v>71</v>
      </c>
      <c r="C40">
        <f t="shared" si="3"/>
        <v>787.6</v>
      </c>
      <c r="D40" s="47">
        <f t="shared" si="2"/>
        <v>0.418810972464614</v>
      </c>
    </row>
    <row r="41" spans="1:4">
      <c r="A41" t="s">
        <v>1218</v>
      </c>
      <c r="B41" s="46">
        <v>72</v>
      </c>
      <c r="C41">
        <f t="shared" si="3"/>
        <v>859.6</v>
      </c>
      <c r="D41" s="47">
        <f t="shared" si="2"/>
        <v>0.457097399607139</v>
      </c>
    </row>
    <row r="42" spans="1:4">
      <c r="A42" t="s">
        <v>1234</v>
      </c>
      <c r="B42" s="46">
        <v>72.8</v>
      </c>
      <c r="C42">
        <f t="shared" si="3"/>
        <v>932.4</v>
      </c>
      <c r="D42" s="47">
        <f t="shared" si="2"/>
        <v>0.495809231495691</v>
      </c>
    </row>
    <row r="43" spans="1:4">
      <c r="A43" t="s">
        <v>1152</v>
      </c>
      <c r="B43" s="46">
        <v>89</v>
      </c>
      <c r="C43">
        <f t="shared" si="3"/>
        <v>1021.4</v>
      </c>
      <c r="D43" s="47">
        <f t="shared" si="2"/>
        <v>0.543135509491312</v>
      </c>
    </row>
    <row r="44" spans="1:4">
      <c r="A44" t="s">
        <v>1235</v>
      </c>
      <c r="B44" s="46">
        <v>90.4</v>
      </c>
      <c r="C44">
        <f t="shared" si="3"/>
        <v>1111.8</v>
      </c>
      <c r="D44" s="47">
        <f t="shared" si="2"/>
        <v>0.591206245792481</v>
      </c>
    </row>
    <row r="45" spans="1:4">
      <c r="A45" t="s">
        <v>1236</v>
      </c>
      <c r="B45" s="46">
        <v>93</v>
      </c>
      <c r="C45">
        <f t="shared" si="3"/>
        <v>1204.8</v>
      </c>
      <c r="D45" s="47">
        <f t="shared" si="2"/>
        <v>0.640659547518242</v>
      </c>
    </row>
    <row r="46" spans="1:4">
      <c r="A46" t="s">
        <v>1238</v>
      </c>
      <c r="B46" s="46">
        <v>97</v>
      </c>
      <c r="C46">
        <f t="shared" si="3"/>
        <v>1301.8</v>
      </c>
      <c r="D46" s="47">
        <f t="shared" si="2"/>
        <v>0.692239872974143</v>
      </c>
    </row>
    <row r="47" spans="1:4">
      <c r="A47" t="s">
        <v>1225</v>
      </c>
      <c r="B47" s="46">
        <v>97</v>
      </c>
      <c r="C47">
        <f t="shared" si="3"/>
        <v>1398.8</v>
      </c>
      <c r="D47" s="47">
        <f t="shared" si="2"/>
        <v>0.743820198430044</v>
      </c>
    </row>
    <row r="48" spans="1:4">
      <c r="A48" s="48" t="s">
        <v>1192</v>
      </c>
      <c r="B48" s="46">
        <v>100</v>
      </c>
      <c r="C48">
        <f t="shared" si="3"/>
        <v>1498.8</v>
      </c>
      <c r="D48" s="49">
        <f t="shared" si="2"/>
        <v>0.79699579168355</v>
      </c>
    </row>
    <row r="49" spans="1:4">
      <c r="A49" s="48" t="s">
        <v>1149</v>
      </c>
      <c r="B49" s="46">
        <v>102.4</v>
      </c>
      <c r="C49">
        <f t="shared" si="3"/>
        <v>1601.2</v>
      </c>
      <c r="D49" s="49">
        <f t="shared" si="2"/>
        <v>0.85144759917514</v>
      </c>
    </row>
    <row r="50" spans="1:4">
      <c r="A50" s="48" t="s">
        <v>1189</v>
      </c>
      <c r="B50" s="46">
        <v>121</v>
      </c>
      <c r="C50">
        <f t="shared" si="3"/>
        <v>1722.2</v>
      </c>
      <c r="D50" s="49">
        <f t="shared" si="2"/>
        <v>0.915790067011882</v>
      </c>
    </row>
    <row r="51" spans="1:4">
      <c r="A51" s="48" t="s">
        <v>1216</v>
      </c>
      <c r="B51" s="46">
        <v>125</v>
      </c>
      <c r="C51">
        <f t="shared" si="3"/>
        <v>1847.2</v>
      </c>
      <c r="D51" s="49">
        <f t="shared" si="2"/>
        <v>0.982259558578765</v>
      </c>
    </row>
    <row r="52" spans="1:4">
      <c r="A52" s="48" t="s">
        <v>1184</v>
      </c>
      <c r="B52" s="46">
        <v>133</v>
      </c>
      <c r="C52">
        <f t="shared" si="3"/>
        <v>1980.2</v>
      </c>
      <c r="D52" s="49">
        <f t="shared" si="2"/>
        <v>1.05298309760593</v>
      </c>
    </row>
    <row r="53" spans="1:4">
      <c r="A53" s="48" t="s">
        <v>1212</v>
      </c>
      <c r="B53" s="46">
        <v>134</v>
      </c>
      <c r="C53">
        <f t="shared" si="3"/>
        <v>2114.2</v>
      </c>
      <c r="D53" s="49">
        <f t="shared" si="2"/>
        <v>1.12423839256563</v>
      </c>
    </row>
    <row r="54" spans="1:4">
      <c r="A54" s="48" t="s">
        <v>1219</v>
      </c>
      <c r="B54" s="46">
        <v>147</v>
      </c>
      <c r="C54">
        <f t="shared" si="3"/>
        <v>2261.2</v>
      </c>
      <c r="D54" s="49">
        <f t="shared" si="2"/>
        <v>1.20240651464828</v>
      </c>
    </row>
    <row r="55" spans="1:4">
      <c r="A55" s="48" t="s">
        <v>1205</v>
      </c>
      <c r="B55" s="46">
        <v>169</v>
      </c>
      <c r="C55">
        <f t="shared" si="3"/>
        <v>2430.2</v>
      </c>
      <c r="D55" s="49">
        <f t="shared" si="2"/>
        <v>1.29227326724671</v>
      </c>
    </row>
    <row r="56" spans="1:4">
      <c r="A56" s="48" t="s">
        <v>1217</v>
      </c>
      <c r="B56" s="46">
        <v>170</v>
      </c>
      <c r="C56">
        <f t="shared" si="3"/>
        <v>2600.2</v>
      </c>
      <c r="D56" s="49">
        <f t="shared" si="2"/>
        <v>1.38267177577767</v>
      </c>
    </row>
    <row r="57" spans="1:4">
      <c r="A57" s="48" t="s">
        <v>1243</v>
      </c>
      <c r="B57" s="46">
        <v>184</v>
      </c>
      <c r="C57">
        <f t="shared" si="3"/>
        <v>2784.2</v>
      </c>
      <c r="D57" s="49">
        <f t="shared" si="2"/>
        <v>1.48051486736412</v>
      </c>
    </row>
    <row r="58" spans="1:4">
      <c r="A58" s="48" t="s">
        <v>1195</v>
      </c>
      <c r="B58" s="46">
        <v>185</v>
      </c>
      <c r="C58">
        <f t="shared" si="3"/>
        <v>2969.2</v>
      </c>
      <c r="D58" s="49">
        <f t="shared" si="2"/>
        <v>1.5788897148831</v>
      </c>
    </row>
    <row r="59" spans="1:4">
      <c r="A59" s="48" t="s">
        <v>1169</v>
      </c>
      <c r="B59" s="46">
        <v>186</v>
      </c>
      <c r="C59">
        <f t="shared" si="3"/>
        <v>3155.2</v>
      </c>
      <c r="D59" s="49">
        <f t="shared" si="2"/>
        <v>1.67779631833463</v>
      </c>
    </row>
    <row r="60" spans="1:4">
      <c r="A60" s="48" t="s">
        <v>1226</v>
      </c>
      <c r="B60" s="46">
        <v>205</v>
      </c>
      <c r="C60">
        <f t="shared" si="3"/>
        <v>3360.2</v>
      </c>
      <c r="D60" s="49">
        <f t="shared" si="2"/>
        <v>1.78680628450431</v>
      </c>
    </row>
    <row r="61" spans="1:4">
      <c r="A61" s="48" t="s">
        <v>1200</v>
      </c>
      <c r="B61" s="46">
        <v>208</v>
      </c>
      <c r="C61">
        <f t="shared" si="3"/>
        <v>3568.2</v>
      </c>
      <c r="D61" s="49">
        <f t="shared" si="2"/>
        <v>1.89741151847161</v>
      </c>
    </row>
    <row r="62" spans="1:4">
      <c r="A62" s="48" t="s">
        <v>1224</v>
      </c>
      <c r="B62" s="46">
        <v>221</v>
      </c>
      <c r="C62">
        <f t="shared" si="3"/>
        <v>3789.2</v>
      </c>
      <c r="D62" s="49">
        <f t="shared" si="2"/>
        <v>2.01492957956185</v>
      </c>
    </row>
    <row r="63" spans="1:4">
      <c r="A63" s="48" t="s">
        <v>1185</v>
      </c>
      <c r="B63" s="46">
        <v>224</v>
      </c>
      <c r="C63">
        <f t="shared" si="3"/>
        <v>4013.2</v>
      </c>
      <c r="D63" s="49">
        <f t="shared" si="2"/>
        <v>2.13404290844971</v>
      </c>
    </row>
    <row r="64" spans="1:4">
      <c r="A64" s="48" t="s">
        <v>1231</v>
      </c>
      <c r="B64" s="46">
        <v>228</v>
      </c>
      <c r="C64">
        <f t="shared" si="3"/>
        <v>4241.2</v>
      </c>
      <c r="D64" s="49">
        <f t="shared" si="2"/>
        <v>2.2552832610677</v>
      </c>
    </row>
    <row r="65" spans="1:4">
      <c r="A65" s="48" t="s">
        <v>1188</v>
      </c>
      <c r="B65" s="46">
        <v>244</v>
      </c>
      <c r="C65">
        <f t="shared" si="3"/>
        <v>4485.2</v>
      </c>
      <c r="D65" s="49">
        <f t="shared" si="2"/>
        <v>2.38503170860626</v>
      </c>
    </row>
    <row r="66" spans="1:4">
      <c r="A66" s="48" t="s">
        <v>1246</v>
      </c>
      <c r="B66" s="46">
        <v>273</v>
      </c>
      <c r="C66">
        <f t="shared" si="3"/>
        <v>4758.2</v>
      </c>
      <c r="D66" s="49">
        <f t="shared" si="2"/>
        <v>2.53020107818833</v>
      </c>
    </row>
    <row r="67" spans="1:4">
      <c r="A67" s="48" t="s">
        <v>1228</v>
      </c>
      <c r="B67" s="46">
        <v>284</v>
      </c>
      <c r="C67">
        <f t="shared" si="3"/>
        <v>5042.2</v>
      </c>
      <c r="D67" s="49">
        <f t="shared" ref="D67:D98" si="4">C67/SUM($B$2:$B$114)*100</f>
        <v>2.68121976302829</v>
      </c>
    </row>
    <row r="68" spans="1:4">
      <c r="A68" s="48" t="s">
        <v>1207</v>
      </c>
      <c r="B68" s="46">
        <v>289</v>
      </c>
      <c r="C68">
        <f t="shared" ref="C68:C99" si="5">C67+B68</f>
        <v>5331.2</v>
      </c>
      <c r="D68" s="49">
        <f t="shared" si="4"/>
        <v>2.83489722753092</v>
      </c>
    </row>
    <row r="69" spans="1:4">
      <c r="A69" s="48" t="s">
        <v>1232</v>
      </c>
      <c r="B69" s="46">
        <v>304</v>
      </c>
      <c r="C69">
        <f t="shared" si="5"/>
        <v>5635.2</v>
      </c>
      <c r="D69" s="49">
        <f t="shared" si="4"/>
        <v>2.99655103102158</v>
      </c>
    </row>
    <row r="70" spans="1:4">
      <c r="A70" s="48" t="s">
        <v>1206</v>
      </c>
      <c r="B70" s="46">
        <v>309</v>
      </c>
      <c r="C70">
        <f t="shared" si="5"/>
        <v>5944.2</v>
      </c>
      <c r="D70" s="49">
        <f t="shared" si="4"/>
        <v>3.16086361417491</v>
      </c>
    </row>
    <row r="71" spans="1:4">
      <c r="A71" s="48" t="s">
        <v>1202</v>
      </c>
      <c r="B71" s="46">
        <v>318</v>
      </c>
      <c r="C71">
        <f t="shared" si="5"/>
        <v>6262.2</v>
      </c>
      <c r="D71" s="49">
        <f t="shared" si="4"/>
        <v>3.32996200072106</v>
      </c>
    </row>
    <row r="72" spans="1:4">
      <c r="A72" s="48" t="s">
        <v>1237</v>
      </c>
      <c r="B72" s="46">
        <v>340</v>
      </c>
      <c r="C72">
        <f t="shared" si="5"/>
        <v>6602.2</v>
      </c>
      <c r="D72" s="49">
        <f t="shared" si="4"/>
        <v>3.51075901778298</v>
      </c>
    </row>
    <row r="73" spans="1:4">
      <c r="A73" s="48" t="s">
        <v>1204</v>
      </c>
      <c r="B73" s="46">
        <v>366</v>
      </c>
      <c r="C73">
        <f t="shared" si="5"/>
        <v>6968.2</v>
      </c>
      <c r="D73" s="49">
        <f t="shared" si="4"/>
        <v>3.70538168909081</v>
      </c>
    </row>
    <row r="74" spans="1:4">
      <c r="A74" s="48" t="s">
        <v>1176</v>
      </c>
      <c r="B74" s="46">
        <v>367</v>
      </c>
      <c r="C74">
        <f t="shared" si="5"/>
        <v>7335.2</v>
      </c>
      <c r="D74" s="49">
        <f t="shared" si="4"/>
        <v>3.90053611633118</v>
      </c>
    </row>
    <row r="75" spans="1:4">
      <c r="A75" s="48" t="s">
        <v>1201</v>
      </c>
      <c r="B75" s="46">
        <v>381</v>
      </c>
      <c r="C75">
        <f t="shared" si="5"/>
        <v>7716.2</v>
      </c>
      <c r="D75" s="49">
        <f t="shared" si="4"/>
        <v>4.10313512662704</v>
      </c>
    </row>
    <row r="76" spans="1:4">
      <c r="A76" s="48" t="s">
        <v>1239</v>
      </c>
      <c r="B76" s="46">
        <v>384</v>
      </c>
      <c r="C76">
        <f t="shared" si="5"/>
        <v>8100.2</v>
      </c>
      <c r="D76" s="49">
        <f t="shared" si="4"/>
        <v>4.3073294047205</v>
      </c>
    </row>
    <row r="77" spans="1:4">
      <c r="A77" s="48" t="s">
        <v>1242</v>
      </c>
      <c r="B77" s="46">
        <v>397</v>
      </c>
      <c r="C77">
        <f t="shared" si="5"/>
        <v>8497.2</v>
      </c>
      <c r="D77" s="49">
        <f t="shared" si="4"/>
        <v>4.51843650993692</v>
      </c>
    </row>
    <row r="78" spans="1:4">
      <c r="A78" s="48" t="s">
        <v>1233</v>
      </c>
      <c r="B78" s="46">
        <v>446</v>
      </c>
      <c r="C78">
        <f t="shared" si="5"/>
        <v>8943.2</v>
      </c>
      <c r="D78" s="49">
        <f t="shared" si="4"/>
        <v>4.75559965584756</v>
      </c>
    </row>
    <row r="79" spans="1:4">
      <c r="A79" s="48" t="s">
        <v>1211</v>
      </c>
      <c r="B79" s="46">
        <v>506</v>
      </c>
      <c r="C79">
        <f t="shared" si="5"/>
        <v>9449.2</v>
      </c>
      <c r="D79" s="49">
        <f t="shared" si="4"/>
        <v>5.0246681577103</v>
      </c>
    </row>
    <row r="80" spans="1:4">
      <c r="A80" s="48" t="s">
        <v>1252</v>
      </c>
      <c r="B80" s="46">
        <v>508</v>
      </c>
      <c r="C80">
        <f t="shared" si="5"/>
        <v>9957.2</v>
      </c>
      <c r="D80" s="49">
        <f t="shared" si="4"/>
        <v>5.29480017143811</v>
      </c>
    </row>
    <row r="81" spans="1:4">
      <c r="A81" s="48" t="s">
        <v>1213</v>
      </c>
      <c r="B81" s="46">
        <v>524</v>
      </c>
      <c r="C81">
        <f t="shared" si="5"/>
        <v>10481.2</v>
      </c>
      <c r="D81" s="49">
        <f t="shared" si="4"/>
        <v>5.57344028008649</v>
      </c>
    </row>
    <row r="82" spans="1:4">
      <c r="A82" s="48" t="s">
        <v>1197</v>
      </c>
      <c r="B82" s="46">
        <v>544</v>
      </c>
      <c r="C82">
        <f t="shared" si="5"/>
        <v>11025.2</v>
      </c>
      <c r="D82" s="49">
        <f t="shared" si="4"/>
        <v>5.86271550738556</v>
      </c>
    </row>
    <row r="83" spans="1:4">
      <c r="A83" s="48" t="s">
        <v>1247</v>
      </c>
      <c r="B83" s="46">
        <v>577</v>
      </c>
      <c r="C83">
        <f t="shared" si="5"/>
        <v>11602.2</v>
      </c>
      <c r="D83" s="49">
        <f t="shared" si="4"/>
        <v>6.16953868045829</v>
      </c>
    </row>
    <row r="84" spans="1:4">
      <c r="A84" s="48" t="s">
        <v>1253</v>
      </c>
      <c r="B84" s="46">
        <v>633</v>
      </c>
      <c r="C84">
        <f t="shared" si="5"/>
        <v>12235.2</v>
      </c>
      <c r="D84" s="49">
        <f t="shared" si="4"/>
        <v>6.50614018575298</v>
      </c>
    </row>
    <row r="85" spans="1:4">
      <c r="A85" s="48" t="s">
        <v>1215</v>
      </c>
      <c r="B85" s="46">
        <v>680</v>
      </c>
      <c r="C85">
        <f t="shared" si="5"/>
        <v>12915.2</v>
      </c>
      <c r="D85" s="49">
        <f t="shared" si="4"/>
        <v>6.86773421987682</v>
      </c>
    </row>
    <row r="86" spans="1:4">
      <c r="A86" s="48" t="s">
        <v>1221</v>
      </c>
      <c r="B86" s="46">
        <v>716</v>
      </c>
      <c r="C86">
        <f t="shared" si="5"/>
        <v>13631.2</v>
      </c>
      <c r="D86" s="49">
        <f t="shared" si="4"/>
        <v>7.24847146757193</v>
      </c>
    </row>
    <row r="87" spans="1:4">
      <c r="A87" s="48" t="s">
        <v>1174</v>
      </c>
      <c r="B87" s="46">
        <v>734</v>
      </c>
      <c r="C87">
        <f t="shared" si="5"/>
        <v>14365.2</v>
      </c>
      <c r="D87" s="49">
        <f t="shared" si="4"/>
        <v>7.63878032205266</v>
      </c>
    </row>
    <row r="88" spans="1:4">
      <c r="A88" s="48" t="s">
        <v>1214</v>
      </c>
      <c r="B88" s="46">
        <v>761</v>
      </c>
      <c r="C88">
        <f t="shared" si="5"/>
        <v>15126.2</v>
      </c>
      <c r="D88" s="49">
        <f t="shared" si="4"/>
        <v>8.04344658671184</v>
      </c>
    </row>
    <row r="89" spans="1:4">
      <c r="A89" s="48" t="s">
        <v>1256</v>
      </c>
      <c r="B89" s="46">
        <v>794</v>
      </c>
      <c r="C89">
        <f t="shared" si="5"/>
        <v>15920.2</v>
      </c>
      <c r="D89" s="49">
        <f t="shared" si="4"/>
        <v>8.46566079714468</v>
      </c>
    </row>
    <row r="90" spans="1:4">
      <c r="A90" s="48" t="s">
        <v>1240</v>
      </c>
      <c r="B90" s="46">
        <v>968</v>
      </c>
      <c r="C90">
        <f t="shared" si="5"/>
        <v>16888.2</v>
      </c>
      <c r="D90" s="49">
        <f t="shared" si="4"/>
        <v>8.98040053983862</v>
      </c>
    </row>
    <row r="91" spans="1:4">
      <c r="A91" s="48" t="s">
        <v>1223</v>
      </c>
      <c r="B91" s="46">
        <v>1126.4</v>
      </c>
      <c r="C91">
        <f t="shared" si="5"/>
        <v>18014.6</v>
      </c>
      <c r="D91" s="49">
        <f t="shared" si="4"/>
        <v>9.57937042224612</v>
      </c>
    </row>
    <row r="92" spans="1:4">
      <c r="A92" s="48" t="s">
        <v>1220</v>
      </c>
      <c r="B92" s="46">
        <v>1135</v>
      </c>
      <c r="C92">
        <f t="shared" si="5"/>
        <v>19149.6</v>
      </c>
      <c r="D92" s="49">
        <f t="shared" si="4"/>
        <v>10.1829134056734</v>
      </c>
    </row>
    <row r="93" spans="1:4">
      <c r="A93" s="48" t="s">
        <v>1227</v>
      </c>
      <c r="B93" s="46">
        <v>1265</v>
      </c>
      <c r="C93">
        <f t="shared" si="5"/>
        <v>20414.6</v>
      </c>
      <c r="D93" s="49">
        <f t="shared" si="4"/>
        <v>10.8555846603303</v>
      </c>
    </row>
    <row r="94" spans="1:4">
      <c r="A94" s="48" t="s">
        <v>1248</v>
      </c>
      <c r="B94" s="46">
        <v>1383</v>
      </c>
      <c r="C94">
        <f t="shared" si="5"/>
        <v>21797.6</v>
      </c>
      <c r="D94" s="49">
        <f t="shared" si="4"/>
        <v>11.5910031150263</v>
      </c>
    </row>
    <row r="95" spans="1:4">
      <c r="A95" s="48" t="s">
        <v>1260</v>
      </c>
      <c r="B95" s="46">
        <v>1400</v>
      </c>
      <c r="C95">
        <f t="shared" si="5"/>
        <v>23197.6</v>
      </c>
      <c r="D95" s="49">
        <f t="shared" si="4"/>
        <v>12.3354614205753</v>
      </c>
    </row>
    <row r="96" spans="1:4">
      <c r="A96" s="48" t="s">
        <v>1261</v>
      </c>
      <c r="B96" s="46">
        <v>1539</v>
      </c>
      <c r="C96">
        <f t="shared" si="5"/>
        <v>24736.6</v>
      </c>
      <c r="D96" s="49">
        <f t="shared" si="4"/>
        <v>13.1538338007468</v>
      </c>
    </row>
    <row r="97" spans="1:4">
      <c r="A97" s="48" t="s">
        <v>1262</v>
      </c>
      <c r="B97" s="46">
        <v>1556</v>
      </c>
      <c r="C97">
        <f t="shared" si="5"/>
        <v>26292.6</v>
      </c>
      <c r="D97" s="49">
        <f t="shared" si="4"/>
        <v>13.9812460317714</v>
      </c>
    </row>
    <row r="98" spans="1:4">
      <c r="A98" s="48" t="s">
        <v>1245</v>
      </c>
      <c r="B98" s="46">
        <v>1799</v>
      </c>
      <c r="C98">
        <f t="shared" si="5"/>
        <v>28091.6</v>
      </c>
      <c r="D98" s="49">
        <f t="shared" si="4"/>
        <v>14.9378749544019</v>
      </c>
    </row>
    <row r="99" spans="1:4">
      <c r="A99" s="48" t="s">
        <v>1250</v>
      </c>
      <c r="B99" s="46">
        <v>1917</v>
      </c>
      <c r="C99">
        <f t="shared" si="5"/>
        <v>30008.6</v>
      </c>
      <c r="D99" s="49">
        <f t="shared" ref="D99:D114" si="6">C99/SUM($B$2:$B$114)*100</f>
        <v>15.9572510770716</v>
      </c>
    </row>
    <row r="100" spans="1:4">
      <c r="A100" s="48" t="s">
        <v>1222</v>
      </c>
      <c r="B100" s="46">
        <v>1948</v>
      </c>
      <c r="C100">
        <f t="shared" ref="C100:C115" si="7">C99+B100</f>
        <v>31956.6</v>
      </c>
      <c r="D100" s="49">
        <f t="shared" si="6"/>
        <v>16.9931116336499</v>
      </c>
    </row>
    <row r="101" spans="1:4">
      <c r="A101" s="48" t="s">
        <v>1249</v>
      </c>
      <c r="B101" s="46">
        <v>2207</v>
      </c>
      <c r="C101">
        <f t="shared" si="7"/>
        <v>34163.6</v>
      </c>
      <c r="D101" s="49">
        <f t="shared" si="6"/>
        <v>18.1666969767548</v>
      </c>
    </row>
    <row r="102" spans="1:4">
      <c r="A102" s="48" t="s">
        <v>1263</v>
      </c>
      <c r="B102" s="46">
        <v>2265</v>
      </c>
      <c r="C102">
        <f t="shared" si="7"/>
        <v>36428.6</v>
      </c>
      <c r="D102" s="49">
        <f t="shared" si="6"/>
        <v>19.3711241639467</v>
      </c>
    </row>
    <row r="103" spans="1:4">
      <c r="A103" s="48" t="s">
        <v>1230</v>
      </c>
      <c r="B103" s="46">
        <v>2438</v>
      </c>
      <c r="C103">
        <f t="shared" si="7"/>
        <v>38866.6</v>
      </c>
      <c r="D103" s="49">
        <f t="shared" si="6"/>
        <v>20.6675451274672</v>
      </c>
    </row>
    <row r="104" spans="1:4">
      <c r="A104" s="48" t="s">
        <v>1194</v>
      </c>
      <c r="B104" s="46">
        <v>2504</v>
      </c>
      <c r="C104">
        <f t="shared" si="7"/>
        <v>41370.6</v>
      </c>
      <c r="D104" s="49">
        <f t="shared" si="6"/>
        <v>21.999061982535</v>
      </c>
    </row>
    <row r="105" spans="1:4">
      <c r="A105" s="48" t="s">
        <v>1241</v>
      </c>
      <c r="B105" s="46">
        <v>2625</v>
      </c>
      <c r="C105">
        <f t="shared" si="7"/>
        <v>43995.6</v>
      </c>
      <c r="D105" s="49">
        <f t="shared" si="6"/>
        <v>23.3949213054395</v>
      </c>
    </row>
    <row r="106" spans="1:4">
      <c r="A106" s="48" t="s">
        <v>1255</v>
      </c>
      <c r="B106" s="46">
        <v>2858</v>
      </c>
      <c r="C106">
        <f t="shared" si="7"/>
        <v>46853.6</v>
      </c>
      <c r="D106" s="49">
        <f t="shared" si="6"/>
        <v>24.9146797606248</v>
      </c>
    </row>
    <row r="107" spans="1:4">
      <c r="A107" s="48" t="s">
        <v>1244</v>
      </c>
      <c r="B107" s="46">
        <v>6484</v>
      </c>
      <c r="C107">
        <f t="shared" si="7"/>
        <v>53337.6</v>
      </c>
      <c r="D107" s="49">
        <f t="shared" si="6"/>
        <v>28.3625852271821</v>
      </c>
    </row>
    <row r="108" spans="1:4">
      <c r="A108" s="48" t="s">
        <v>1257</v>
      </c>
      <c r="B108" s="46">
        <v>6550</v>
      </c>
      <c r="C108">
        <f t="shared" si="7"/>
        <v>59887.6</v>
      </c>
      <c r="D108" s="49">
        <f t="shared" si="6"/>
        <v>31.8455865852867</v>
      </c>
    </row>
    <row r="109" spans="1:4">
      <c r="A109" s="48" t="s">
        <v>1254</v>
      </c>
      <c r="B109" s="46">
        <v>7319</v>
      </c>
      <c r="C109">
        <f t="shared" si="7"/>
        <v>67206.6</v>
      </c>
      <c r="D109" s="49">
        <f t="shared" si="6"/>
        <v>35.7375082555109</v>
      </c>
    </row>
    <row r="110" spans="1:4">
      <c r="A110" s="48" t="s">
        <v>1209</v>
      </c>
      <c r="B110" s="46">
        <v>8726</v>
      </c>
      <c r="C110">
        <f t="shared" si="7"/>
        <v>75932.6</v>
      </c>
      <c r="D110" s="49">
        <f t="shared" si="6"/>
        <v>40.3776105228118</v>
      </c>
    </row>
    <row r="111" spans="1:4">
      <c r="A111" s="48" t="s">
        <v>1251</v>
      </c>
      <c r="B111" s="46">
        <v>9165</v>
      </c>
      <c r="C111">
        <f t="shared" si="7"/>
        <v>85097.6</v>
      </c>
      <c r="D111" s="49">
        <f t="shared" si="6"/>
        <v>45.2511536444956</v>
      </c>
    </row>
    <row r="112" spans="1:4">
      <c r="A112" s="48" t="s">
        <v>1259</v>
      </c>
      <c r="B112" s="46">
        <v>9306</v>
      </c>
      <c r="C112">
        <f t="shared" si="7"/>
        <v>94403.6</v>
      </c>
      <c r="D112" s="49">
        <f t="shared" si="6"/>
        <v>50.1996743526669</v>
      </c>
    </row>
    <row r="113" spans="1:4">
      <c r="A113" s="48" t="s">
        <v>1258</v>
      </c>
      <c r="B113" s="46">
        <v>16839</v>
      </c>
      <c r="C113">
        <f t="shared" si="7"/>
        <v>111242.6</v>
      </c>
      <c r="D113" s="49">
        <f t="shared" si="6"/>
        <v>59.1539125006248</v>
      </c>
    </row>
    <row r="114" spans="1:4">
      <c r="A114" s="48" t="s">
        <v>1264</v>
      </c>
      <c r="B114" s="46">
        <v>76813.6</v>
      </c>
      <c r="C114">
        <f t="shared" si="7"/>
        <v>188056.2</v>
      </c>
      <c r="D114" s="49">
        <f t="shared" si="6"/>
        <v>100</v>
      </c>
    </row>
    <row r="115" spans="1:4">
      <c r="A115" t="s">
        <v>1267</v>
      </c>
      <c r="B115" s="46">
        <v>188056.2</v>
      </c>
      <c r="D115" s="50"/>
    </row>
  </sheetData>
  <pageMargins left="0.75" right="0.75" top="1" bottom="1" header="0.5" footer="0.5"/>
  <headerFooter/>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9"/>
  </sheetPr>
  <dimension ref="A1:R1002"/>
  <sheetViews>
    <sheetView showGridLines="0" workbookViewId="0">
      <selection activeCell="A1" sqref="A1"/>
    </sheetView>
  </sheetViews>
  <sheetFormatPr defaultColWidth="14.4285714285714" defaultRowHeight="15" customHeight="1"/>
  <cols>
    <col min="1" max="2" width="8.71428571428571" customWidth="1"/>
    <col min="3" max="3" width="14.1428571428571" customWidth="1"/>
    <col min="4" max="4" width="19" customWidth="1"/>
    <col min="5" max="5" width="11" customWidth="1"/>
    <col min="6" max="9" width="8.71428571428571" customWidth="1"/>
    <col min="10" max="10" width="20.1428571428571" customWidth="1"/>
    <col min="11" max="11" width="8.85714285714286" customWidth="1"/>
    <col min="12" max="12" width="8.28571428571429" customWidth="1"/>
    <col min="13" max="13" width="11.1428571428571" customWidth="1"/>
    <col min="14" max="14" width="6.42857142857143" customWidth="1"/>
    <col min="15" max="26" width="8.71428571428571" customWidth="1"/>
  </cols>
  <sheetData>
    <row r="1" ht="14.25" customHeight="1" spans="1:1">
      <c r="A1" s="20"/>
    </row>
    <row r="2" ht="14.25" customHeight="1" spans="1:18">
      <c r="A2" s="21" t="s">
        <v>1036</v>
      </c>
      <c r="B2" s="22"/>
      <c r="C2" s="22"/>
      <c r="D2" s="22"/>
      <c r="E2" s="22"/>
      <c r="F2" s="22"/>
      <c r="G2" s="22"/>
      <c r="H2" s="22"/>
      <c r="I2" s="22"/>
      <c r="J2" s="22"/>
      <c r="K2" s="22"/>
      <c r="L2" s="22"/>
      <c r="M2" s="22"/>
      <c r="N2" s="22"/>
      <c r="O2" s="22"/>
      <c r="P2" s="22"/>
      <c r="Q2" s="22"/>
      <c r="R2" s="42"/>
    </row>
    <row r="3" ht="14.25" customHeight="1" spans="1:18">
      <c r="A3" s="23" t="s">
        <v>1270</v>
      </c>
      <c r="B3" s="24"/>
      <c r="C3" s="24"/>
      <c r="D3" s="24"/>
      <c r="E3" s="24"/>
      <c r="F3" s="24"/>
      <c r="G3" s="24"/>
      <c r="H3" s="24"/>
      <c r="I3" s="24"/>
      <c r="J3" s="24"/>
      <c r="K3" s="24"/>
      <c r="L3" s="24"/>
      <c r="M3" s="24"/>
      <c r="N3" s="24"/>
      <c r="O3" s="24"/>
      <c r="P3" s="24"/>
      <c r="Q3" s="24"/>
      <c r="R3" s="43"/>
    </row>
    <row r="4" ht="14.25" customHeight="1" spans="1:18">
      <c r="A4" s="24" t="s">
        <v>1271</v>
      </c>
      <c r="B4" s="24"/>
      <c r="C4" s="24"/>
      <c r="D4" s="24"/>
      <c r="E4" s="24"/>
      <c r="F4" s="24"/>
      <c r="G4" s="24"/>
      <c r="H4" s="24"/>
      <c r="I4" s="24"/>
      <c r="J4" s="24"/>
      <c r="K4" s="24"/>
      <c r="L4" s="24"/>
      <c r="M4" s="24"/>
      <c r="N4" s="24"/>
      <c r="O4" s="24"/>
      <c r="P4" s="24"/>
      <c r="Q4" s="24"/>
      <c r="R4" s="43"/>
    </row>
    <row r="5" ht="14.25" customHeight="1" spans="1:18">
      <c r="A5" s="25" t="s">
        <v>1272</v>
      </c>
      <c r="B5" s="26"/>
      <c r="C5" s="26"/>
      <c r="D5" s="26"/>
      <c r="E5" s="26"/>
      <c r="F5" s="26"/>
      <c r="G5" s="26"/>
      <c r="H5" s="26"/>
      <c r="I5" s="26"/>
      <c r="J5" s="26"/>
      <c r="K5" s="26"/>
      <c r="L5" s="26"/>
      <c r="M5" s="26"/>
      <c r="N5" s="26"/>
      <c r="O5" s="26"/>
      <c r="P5" s="26"/>
      <c r="Q5" s="26"/>
      <c r="R5" s="44"/>
    </row>
    <row r="6" ht="14.25" customHeight="1"/>
    <row r="7" ht="14.25" customHeight="1" spans="1:10">
      <c r="A7" s="27" t="s">
        <v>1273</v>
      </c>
      <c r="B7" s="28"/>
      <c r="C7" s="28"/>
      <c r="D7" s="28"/>
      <c r="E7" s="28"/>
      <c r="F7" s="28"/>
      <c r="G7" s="28"/>
      <c r="H7" s="29" t="s">
        <v>1274</v>
      </c>
      <c r="I7" s="29"/>
      <c r="J7" s="29" t="s">
        <v>1275</v>
      </c>
    </row>
    <row r="8" ht="14.25" customHeight="1" spans="1:10">
      <c r="A8" s="30" t="s">
        <v>1276</v>
      </c>
      <c r="H8" s="7"/>
      <c r="J8" s="7"/>
    </row>
    <row r="9" ht="14.25" customHeight="1" spans="1:1">
      <c r="A9" s="30"/>
    </row>
    <row r="10" ht="14.25" customHeight="1" spans="4:14">
      <c r="D10" s="31" t="s">
        <v>1277</v>
      </c>
      <c r="E10" s="32" t="s">
        <v>39</v>
      </c>
      <c r="F10" s="32" t="s">
        <v>35</v>
      </c>
      <c r="G10" s="32" t="s">
        <v>57</v>
      </c>
      <c r="H10" s="33"/>
      <c r="J10" s="31" t="s">
        <v>1278</v>
      </c>
      <c r="K10" s="31" t="s">
        <v>38</v>
      </c>
      <c r="L10" s="31" t="s">
        <v>34</v>
      </c>
      <c r="M10" s="40" t="s">
        <v>43</v>
      </c>
      <c r="N10" s="31" t="s">
        <v>50</v>
      </c>
    </row>
    <row r="11" ht="14.25" customHeight="1" spans="4:14">
      <c r="D11" s="6" t="s">
        <v>37</v>
      </c>
      <c r="E11" s="6">
        <f>COUNTIFS(Dump!$F:F,"India",Dump!$D:D,$D11)</f>
        <v>199</v>
      </c>
      <c r="F11" s="6">
        <f>COUNTIFS(Dump!$F:G,F$10,Dump!$D:E,$D11)</f>
        <v>34</v>
      </c>
      <c r="G11" s="6">
        <f>COUNTIFS(Dump!$F:H,G$10,Dump!$D:F,$D11)</f>
        <v>24</v>
      </c>
      <c r="H11" s="34"/>
      <c r="I11" s="34"/>
      <c r="J11" s="41" t="s">
        <v>1279</v>
      </c>
      <c r="K11" s="35">
        <f>COUNTIFS(Dump!$E:$E,K$10,Dump!$D:$D,$D11)</f>
        <v>163</v>
      </c>
      <c r="L11" s="35">
        <f>COUNTIFS(Dump!$E:$E,L$10,Dump!$D:$D,$D11)</f>
        <v>14</v>
      </c>
      <c r="M11" s="35">
        <f>COUNTIFS(Dump!$E:$E,M$10,Dump!$D:$D,$D11)</f>
        <v>73</v>
      </c>
      <c r="N11" s="35">
        <f>COUNTIFS(Dump!$E:$E,N$10,Dump!$D:$D,$D11)</f>
        <v>7</v>
      </c>
    </row>
    <row r="12" ht="14.25" customHeight="1" spans="4:14">
      <c r="D12" s="6" t="s">
        <v>129</v>
      </c>
      <c r="E12" s="35">
        <f>COUNTIFS(Dump!$F:F,E$10,Dump!$D:D,$D$12)</f>
        <v>150</v>
      </c>
      <c r="F12" s="35">
        <f>COUNTIFS(Dump!$F:G,F$10,Dump!$D:E,$D$12)</f>
        <v>12</v>
      </c>
      <c r="G12" s="35">
        <f>COUNTIFS(Dump!$F:H,G$10,Dump!$D:F,$D$12)</f>
        <v>4</v>
      </c>
      <c r="J12" s="6" t="s">
        <v>45</v>
      </c>
      <c r="K12" s="35">
        <f>COUNTIFS(Dump!$E:$E,K$10,Dump!$D:$D,"Demo Scheduled")</f>
        <v>82</v>
      </c>
      <c r="L12" s="35">
        <f>COUNTIFS(Dump!$E:$E,L$10,Dump!$D:$D,"Demo Scheduled")</f>
        <v>30</v>
      </c>
      <c r="M12" s="35">
        <f>COUNTIFS(Dump!$E:$E,M$10,Dump!$D:$D,"Demo Scheduled")</f>
        <v>96</v>
      </c>
      <c r="N12" s="35">
        <f>COUNTIFS(Dump!$E:$E,N$10,Dump!$D:$D,"Demo Scheduled")</f>
        <v>10</v>
      </c>
    </row>
    <row r="13" ht="14.25" customHeight="1" spans="4:14">
      <c r="D13" s="5" t="s">
        <v>1280</v>
      </c>
      <c r="E13" s="36">
        <f t="shared" ref="E13:G13" si="0">(E12/E11)*100</f>
        <v>75.3768844221106</v>
      </c>
      <c r="F13" s="36">
        <f t="shared" si="0"/>
        <v>35.2941176470588</v>
      </c>
      <c r="G13" s="36">
        <f t="shared" si="0"/>
        <v>16.6666666666667</v>
      </c>
      <c r="J13" s="5" t="s">
        <v>1281</v>
      </c>
      <c r="K13" s="39">
        <f t="shared" ref="K13:N13" si="1">(K12/K11)*100</f>
        <v>50.3067484662577</v>
      </c>
      <c r="L13" s="39">
        <f t="shared" si="1"/>
        <v>214.285714285714</v>
      </c>
      <c r="M13" s="39">
        <f t="shared" si="1"/>
        <v>131.506849315068</v>
      </c>
      <c r="N13" s="39">
        <f t="shared" si="1"/>
        <v>142.857142857143</v>
      </c>
    </row>
    <row r="14" ht="14.25" customHeight="1" spans="4:7">
      <c r="D14" s="6"/>
      <c r="E14" s="6"/>
      <c r="F14" s="6"/>
      <c r="G14" s="6"/>
    </row>
    <row r="15" ht="14.25" customHeight="1" spans="4:14">
      <c r="D15" s="6" t="s">
        <v>62</v>
      </c>
      <c r="E15" s="35">
        <f>COUNTIFS(Dump!$F:$F,E$10,Dump!$D:$D,"Invalid")</f>
        <v>86</v>
      </c>
      <c r="F15" s="35">
        <f>COUNTIFS(Dump!$F:$F,F$10,Dump!$D:$D,"Invalid")</f>
        <v>29</v>
      </c>
      <c r="G15" s="35">
        <f>COUNTIFS(Dump!$F:$F,G$10,Dump!$D:$D,"Invalid")</f>
        <v>17</v>
      </c>
      <c r="J15" s="6" t="s">
        <v>33</v>
      </c>
      <c r="K15" s="35">
        <f>COUNTIFS(Dump!$E:$E,K$10,Dump!$D:$D,"Demo Done")</f>
        <v>35</v>
      </c>
      <c r="L15" s="35">
        <f>COUNTIFS(Dump!$E:$E,L$10,Dump!$D:$D,"Demo Done")</f>
        <v>26</v>
      </c>
      <c r="M15" s="35">
        <f>COUNTIFS(Dump!$E:$E,M$10,Dump!$D:$D,"Demo Done")</f>
        <v>61</v>
      </c>
      <c r="N15" s="35">
        <f>COUNTIFS(Dump!$E:$E,N$10,Dump!$D:$D,"Demo Done")</f>
        <v>15</v>
      </c>
    </row>
    <row r="16" ht="14.25" customHeight="1" spans="4:14">
      <c r="D16" s="5" t="s">
        <v>1282</v>
      </c>
      <c r="E16" s="37">
        <f>(E15/$E$11)*100</f>
        <v>43.21608040201</v>
      </c>
      <c r="F16" s="37">
        <f t="shared" ref="F16:G16" si="2">(F15/F$11)*100</f>
        <v>85.2941176470588</v>
      </c>
      <c r="G16" s="37">
        <f t="shared" si="2"/>
        <v>70.8333333333333</v>
      </c>
      <c r="J16" s="5" t="s">
        <v>1283</v>
      </c>
      <c r="K16" s="39">
        <f t="shared" ref="K16:N16" si="3">(K15/K11)*100</f>
        <v>21.4723926380368</v>
      </c>
      <c r="L16" s="39">
        <f t="shared" si="3"/>
        <v>185.714285714286</v>
      </c>
      <c r="M16" s="39">
        <f t="shared" si="3"/>
        <v>83.5616438356164</v>
      </c>
      <c r="N16" s="39">
        <f t="shared" si="3"/>
        <v>214.285714285714</v>
      </c>
    </row>
    <row r="17" ht="14.25" customHeight="1" spans="4:7">
      <c r="D17" s="6"/>
      <c r="E17" s="6"/>
      <c r="F17" s="6"/>
      <c r="G17" s="6"/>
    </row>
    <row r="18" ht="14.25" customHeight="1" spans="4:14">
      <c r="D18" s="6" t="s">
        <v>1284</v>
      </c>
      <c r="E18" s="35">
        <f>COUNTIFS(Dump!$F:$F,"India",Dump!$D:$D,"Not Interested")</f>
        <v>0</v>
      </c>
      <c r="F18" s="35">
        <f>COUNTIFS(Dump!$F:$F,"US",Dump!$D:$D,"Not Interested")</f>
        <v>0</v>
      </c>
      <c r="G18" s="35">
        <f>COUNTIFS(Dump!$F:$F,"ROW",Dump!$D:$D,"Not Interested")</f>
        <v>0</v>
      </c>
      <c r="J18" s="6" t="s">
        <v>42</v>
      </c>
      <c r="K18" s="35">
        <f>COUNTIFS(Dump!$E:$E,K$10,Dump!$D:$D,"Enrolled")</f>
        <v>6</v>
      </c>
      <c r="L18" s="35">
        <f>COUNTIFS(Dump!$E:$E,L$10,Dump!$D:$D,"Enrolled")</f>
        <v>9</v>
      </c>
      <c r="M18" s="35">
        <f>COUNTIFS(Dump!$E:$E,M$10,Dump!$D:$D,"Enrolled")</f>
        <v>8</v>
      </c>
      <c r="N18" s="35">
        <f>COUNTIFS(Dump!$E:$E,N$10,Dump!$D:$D,"Enrolled")</f>
        <v>0</v>
      </c>
    </row>
    <row r="19" ht="14.25" customHeight="1" spans="4:14">
      <c r="D19" s="5" t="s">
        <v>1285</v>
      </c>
      <c r="E19" s="37">
        <f t="shared" ref="E19:G19" si="4">(E18/E11)*100</f>
        <v>0</v>
      </c>
      <c r="F19" s="37">
        <f t="shared" si="4"/>
        <v>0</v>
      </c>
      <c r="G19" s="37">
        <f t="shared" si="4"/>
        <v>0</v>
      </c>
      <c r="J19" s="5" t="s">
        <v>1286</v>
      </c>
      <c r="K19" s="39">
        <f t="shared" ref="K19:N19" si="5">(K18/K11)*100</f>
        <v>3.68098159509202</v>
      </c>
      <c r="L19" s="39">
        <f t="shared" si="5"/>
        <v>64.2857142857143</v>
      </c>
      <c r="M19" s="39">
        <f t="shared" si="5"/>
        <v>10.958904109589</v>
      </c>
      <c r="N19" s="39">
        <f t="shared" si="5"/>
        <v>0</v>
      </c>
    </row>
    <row r="20" ht="14.25" customHeight="1"/>
    <row r="21" ht="14.25" customHeight="1"/>
    <row r="22" ht="14.25" customHeight="1" spans="4:7">
      <c r="D22" s="6" t="s">
        <v>45</v>
      </c>
      <c r="E22" s="35">
        <f>COUNTIFS(Dump!$F:$F,E$10,Dump!$D:$D,"Demo Scheduled")</f>
        <v>152</v>
      </c>
      <c r="F22" s="35">
        <f>COUNTIFS(Dump!$F:$F,F$10,Dump!$D:$D,"Demo Scheduled")</f>
        <v>38</v>
      </c>
      <c r="G22" s="35">
        <f>COUNTIFS(Dump!$F:$F,G$10,Dump!$D:$D,"Demo Scheduled")</f>
        <v>28</v>
      </c>
    </row>
    <row r="23" ht="14.25" customHeight="1" spans="4:7">
      <c r="D23" s="6" t="s">
        <v>1287</v>
      </c>
      <c r="E23" s="37">
        <f t="shared" ref="E23:G23" si="6">(E22/E11)*100</f>
        <v>76.3819095477387</v>
      </c>
      <c r="F23" s="37">
        <f t="shared" si="6"/>
        <v>111.764705882353</v>
      </c>
      <c r="G23" s="37">
        <f t="shared" si="6"/>
        <v>116.666666666667</v>
      </c>
    </row>
    <row r="24" ht="14.25" customHeight="1"/>
    <row r="25" ht="14.25" customHeight="1" spans="4:7">
      <c r="D25" s="6" t="s">
        <v>33</v>
      </c>
      <c r="E25" s="35">
        <f>COUNTIFS(Dump!$F:$F,E$10,Dump!$D:$D,D25)</f>
        <v>56</v>
      </c>
      <c r="F25" s="35">
        <f>COUNTIFS(Dump!$F:$F,F$10,Dump!$D:$D,$D$25)</f>
        <v>30</v>
      </c>
      <c r="G25" s="35">
        <f>COUNTIFS(Dump!$F:$F,G$10,Dump!$D:$D,$D$25)</f>
        <v>51</v>
      </c>
    </row>
    <row r="26" ht="14.25" customHeight="1" spans="4:7">
      <c r="D26" s="6" t="s">
        <v>1288</v>
      </c>
      <c r="E26" s="37">
        <f t="shared" ref="E26:G26" si="7">(E25/E11)*100</f>
        <v>28.1407035175879</v>
      </c>
      <c r="F26" s="37">
        <f t="shared" si="7"/>
        <v>88.2352941176471</v>
      </c>
      <c r="G26" s="37">
        <f t="shared" si="7"/>
        <v>212.5</v>
      </c>
    </row>
    <row r="27" ht="14.25" customHeight="1"/>
    <row r="28" ht="14.25" customHeight="1" spans="4:7">
      <c r="D28" s="38" t="s">
        <v>47</v>
      </c>
      <c r="E28" s="35">
        <f>COUNTIFS(Dump!$F:$F,E$10,Dump!$D:$D,$D$28)</f>
        <v>36</v>
      </c>
      <c r="F28" s="35">
        <f>COUNTIFS(Dump!$F:$F,F$10,Dump!$D:$D,$D$28)</f>
        <v>12</v>
      </c>
      <c r="G28" s="35">
        <f>COUNTIFS(Dump!$F:$F,G$10,Dump!$D:$D,$D$28)</f>
        <v>8</v>
      </c>
    </row>
    <row r="29" ht="14.25" customHeight="1" spans="4:7">
      <c r="D29" s="38" t="s">
        <v>1289</v>
      </c>
      <c r="E29" s="37">
        <f t="shared" ref="E29:G29" si="8">(E28/E11)*100</f>
        <v>18.0904522613065</v>
      </c>
      <c r="F29" s="37">
        <f t="shared" si="8"/>
        <v>35.2941176470588</v>
      </c>
      <c r="G29" s="37">
        <f t="shared" si="8"/>
        <v>33.3333333333333</v>
      </c>
    </row>
    <row r="30" ht="14.25" customHeight="1" spans="4:7">
      <c r="D30" s="7"/>
      <c r="E30" s="7"/>
      <c r="F30" s="7"/>
      <c r="G30" s="7"/>
    </row>
    <row r="31" ht="14.25" customHeight="1" spans="4:7">
      <c r="D31" s="6" t="s">
        <v>42</v>
      </c>
      <c r="E31" s="35">
        <f>COUNTIFS(Dump!$F:$F,E$10,Dump!$D:$D,$D$31)</f>
        <v>11</v>
      </c>
      <c r="F31" s="35">
        <f>COUNTIFS(Dump!$F:$F,F$10,Dump!$D:$D,$D$31)</f>
        <v>8</v>
      </c>
      <c r="G31" s="35">
        <f>COUNTIFS(Dump!$F:$F,G$10,Dump!$D:$D,$D$31)</f>
        <v>4</v>
      </c>
    </row>
    <row r="32" ht="14.25" customHeight="1" spans="4:7">
      <c r="D32" s="6" t="s">
        <v>1290</v>
      </c>
      <c r="E32" s="39">
        <f t="shared" ref="E32:G32" si="9">(E31/E22)*100</f>
        <v>7.23684210526316</v>
      </c>
      <c r="F32" s="39">
        <f t="shared" si="9"/>
        <v>21.0526315789474</v>
      </c>
      <c r="G32" s="39">
        <f t="shared" si="9"/>
        <v>14.2857142857143</v>
      </c>
    </row>
    <row r="33" ht="14.25" customHeight="1" spans="4:7">
      <c r="D33" s="6" t="s">
        <v>1291</v>
      </c>
      <c r="E33" s="39">
        <f t="shared" ref="E33:G33" si="10">(E31/E11)*100</f>
        <v>5.52763819095477</v>
      </c>
      <c r="F33" s="39">
        <f t="shared" si="10"/>
        <v>23.5294117647059</v>
      </c>
      <c r="G33" s="39">
        <f t="shared" si="10"/>
        <v>16.6666666666667</v>
      </c>
    </row>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sheetData>
  <pageMargins left="0.7" right="0.7" top="0.75" bottom="0.75" header="0" footer="0"/>
  <pageSetup paperSize="1" orientation="landscape"/>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9"/>
  </sheetPr>
  <dimension ref="A1:J1004"/>
  <sheetViews>
    <sheetView showGridLines="0" workbookViewId="0">
      <selection activeCell="E24" sqref="E24"/>
    </sheetView>
  </sheetViews>
  <sheetFormatPr defaultColWidth="14.4285714285714" defaultRowHeight="15" customHeight="1"/>
  <cols>
    <col min="1" max="1" width="30" style="1" customWidth="1"/>
    <col min="2" max="2" width="11.4285714285714" style="1" customWidth="1"/>
    <col min="3" max="4" width="8.71428571428571" style="1" customWidth="1"/>
    <col min="5" max="5" width="21.8571428571429" style="1" customWidth="1"/>
    <col min="6" max="6" width="33.4285714285714" style="1" customWidth="1"/>
    <col min="7" max="26" width="8.71428571428571" customWidth="1"/>
  </cols>
  <sheetData>
    <row r="1" customHeight="1" spans="1:6">
      <c r="A1" s="2" t="s">
        <v>1292</v>
      </c>
      <c r="B1" s="2"/>
      <c r="C1" s="2"/>
      <c r="D1" s="2"/>
      <c r="E1" s="2"/>
      <c r="F1" s="2"/>
    </row>
    <row r="2" customHeight="1" spans="1:6">
      <c r="A2" s="2"/>
      <c r="B2" s="2"/>
      <c r="C2" s="2"/>
      <c r="D2" s="2"/>
      <c r="E2" s="2"/>
      <c r="F2" s="2"/>
    </row>
    <row r="3" customHeight="1" spans="1:6">
      <c r="A3" s="2"/>
      <c r="B3" s="2"/>
      <c r="C3" s="2"/>
      <c r="D3" s="2"/>
      <c r="E3" s="2"/>
      <c r="F3" s="2"/>
    </row>
    <row r="4" customHeight="1" spans="1:6">
      <c r="A4"/>
      <c r="B4"/>
      <c r="C4"/>
      <c r="D4"/>
      <c r="E4"/>
      <c r="F4"/>
    </row>
    <row r="5" ht="14.25" customHeight="1" spans="1:6">
      <c r="A5" s="3" t="s">
        <v>1293</v>
      </c>
      <c r="B5" s="4"/>
      <c r="C5"/>
      <c r="D5"/>
      <c r="E5" s="3" t="s">
        <v>1294</v>
      </c>
      <c r="F5" s="4"/>
    </row>
    <row r="6" ht="14.25" customHeight="1" spans="1:6">
      <c r="A6" s="5" t="s">
        <v>1295</v>
      </c>
      <c r="B6" s="5" t="s">
        <v>1296</v>
      </c>
      <c r="C6"/>
      <c r="D6"/>
      <c r="E6" s="5" t="s">
        <v>1295</v>
      </c>
      <c r="F6" s="5" t="s">
        <v>1296</v>
      </c>
    </row>
    <row r="7" ht="14.25" customHeight="1" spans="1:6">
      <c r="A7" s="6" t="s">
        <v>1297</v>
      </c>
      <c r="B7" s="6" t="s">
        <v>1298</v>
      </c>
      <c r="C7"/>
      <c r="D7"/>
      <c r="E7" s="6" t="s">
        <v>1297</v>
      </c>
      <c r="F7" s="6" t="s">
        <v>1298</v>
      </c>
    </row>
    <row r="8" ht="14.25" customHeight="1" spans="1:6">
      <c r="A8" s="6" t="s">
        <v>1113</v>
      </c>
      <c r="B8" s="6" t="s">
        <v>1299</v>
      </c>
      <c r="C8"/>
      <c r="D8"/>
      <c r="E8" s="6" t="s">
        <v>1300</v>
      </c>
      <c r="F8" s="6" t="s">
        <v>1301</v>
      </c>
    </row>
    <row r="9" ht="14.25" customHeight="1" spans="1:6">
      <c r="A9" s="6" t="s">
        <v>1302</v>
      </c>
      <c r="B9" s="6" t="s">
        <v>1299</v>
      </c>
      <c r="C9"/>
      <c r="D9"/>
      <c r="E9"/>
      <c r="F9"/>
    </row>
    <row r="10" ht="14.25" customHeight="1" spans="1:6">
      <c r="A10" s="6" t="s">
        <v>1114</v>
      </c>
      <c r="B10" s="6" t="s">
        <v>1299</v>
      </c>
      <c r="C10"/>
      <c r="D10"/>
      <c r="E10"/>
      <c r="F10"/>
    </row>
    <row r="11" ht="14.25" customHeight="1" spans="1:6">
      <c r="A11" s="6" t="s">
        <v>1303</v>
      </c>
      <c r="B11" s="6" t="s">
        <v>1299</v>
      </c>
      <c r="C11"/>
      <c r="D11"/>
      <c r="E11"/>
      <c r="F11"/>
    </row>
    <row r="12" ht="14.25" customHeight="1" spans="1:6">
      <c r="A12" s="6" t="s">
        <v>1304</v>
      </c>
      <c r="B12" s="6" t="s">
        <v>1298</v>
      </c>
      <c r="C12"/>
      <c r="D12"/>
      <c r="E12"/>
      <c r="F12"/>
    </row>
    <row r="13" ht="14.25" customHeight="1" spans="1:6">
      <c r="A13"/>
      <c r="B13"/>
      <c r="C13"/>
      <c r="D13"/>
      <c r="E13"/>
      <c r="F13"/>
    </row>
    <row r="14" ht="14.25" customHeight="1" spans="1:6">
      <c r="A14" s="7" t="s">
        <v>1305</v>
      </c>
      <c r="B14"/>
      <c r="C14"/>
      <c r="D14"/>
      <c r="E14"/>
      <c r="F14"/>
    </row>
    <row r="15" ht="14.25" customHeight="1" spans="1:6">
      <c r="A15" s="7" t="s">
        <v>1306</v>
      </c>
      <c r="B15"/>
      <c r="C15"/>
      <c r="D15"/>
      <c r="E15"/>
      <c r="F15"/>
    </row>
    <row r="16" ht="14.25" customHeight="1" spans="1:6">
      <c r="A16" s="7" t="s">
        <v>1307</v>
      </c>
      <c r="B16"/>
      <c r="C16"/>
      <c r="D16"/>
      <c r="E16"/>
      <c r="F16"/>
    </row>
    <row r="17" ht="14.25" customHeight="1" spans="1:6">
      <c r="A17" s="7" t="s">
        <v>1308</v>
      </c>
      <c r="B17"/>
      <c r="C17"/>
      <c r="D17"/>
      <c r="E17"/>
      <c r="F17"/>
    </row>
    <row r="18" ht="14.25" customHeight="1" spans="1:6">
      <c r="A18"/>
      <c r="B18"/>
      <c r="C18"/>
      <c r="D18"/>
      <c r="E18"/>
      <c r="F18"/>
    </row>
    <row r="19" ht="29" customHeight="1" spans="1:6">
      <c r="A19" s="8" t="s">
        <v>1309</v>
      </c>
      <c r="B19" s="8"/>
      <c r="C19" s="8"/>
      <c r="D19" s="8"/>
      <c r="E19" s="8"/>
      <c r="F19" s="8"/>
    </row>
    <row r="20" ht="14.25" customHeight="1" spans="1:10">
      <c r="A20" s="9" t="s">
        <v>1310</v>
      </c>
      <c r="J20" s="16"/>
    </row>
    <row r="21" ht="14.25" customHeight="1" spans="1:10">
      <c r="A21" s="1" t="s">
        <v>1311</v>
      </c>
      <c r="J21" s="17"/>
    </row>
    <row r="22" ht="14.25" customHeight="1" spans="10:10">
      <c r="J22" s="18"/>
    </row>
    <row r="23" ht="14.25" customHeight="1" spans="1:5">
      <c r="A23" s="10" t="s">
        <v>1312</v>
      </c>
      <c r="E23" s="11"/>
    </row>
    <row r="24" ht="14.25" customHeight="1" spans="1:1">
      <c r="A24" s="12" t="s">
        <v>1313</v>
      </c>
    </row>
    <row r="25" ht="14.25" customHeight="1" spans="1:1">
      <c r="A25" s="12" t="s">
        <v>1314</v>
      </c>
    </row>
    <row r="26" ht="14.25" customHeight="1" spans="1:1">
      <c r="A26" s="1" t="s">
        <v>1315</v>
      </c>
    </row>
    <row r="27" ht="14.25" customHeight="1" spans="1:1">
      <c r="A27" s="1" t="s">
        <v>1316</v>
      </c>
    </row>
    <row r="28" ht="14.25" customHeight="1" spans="1:1">
      <c r="A28" s="1" t="s">
        <v>1317</v>
      </c>
    </row>
    <row r="29" ht="14.25" customHeight="1" spans="1:1">
      <c r="A29" s="1" t="s">
        <v>1318</v>
      </c>
    </row>
    <row r="30" ht="14.25" customHeight="1" spans="1:1">
      <c r="A30" s="1" t="s">
        <v>1319</v>
      </c>
    </row>
    <row r="31" ht="14.25" customHeight="1"/>
    <row r="32" ht="14.25" customHeight="1" spans="1:1">
      <c r="A32" s="13" t="s">
        <v>1320</v>
      </c>
    </row>
    <row r="33" ht="14.25" customHeight="1" spans="1:1">
      <c r="A33" s="14" t="s">
        <v>1321</v>
      </c>
    </row>
    <row r="34" ht="14.25" customHeight="1" spans="1:1">
      <c r="A34" s="1" t="s">
        <v>1322</v>
      </c>
    </row>
    <row r="35" ht="14.25" customHeight="1" spans="1:1">
      <c r="A35" s="1" t="s">
        <v>1323</v>
      </c>
    </row>
    <row r="36" ht="14.25" customHeight="1" spans="1:1">
      <c r="A36" s="1" t="s">
        <v>1324</v>
      </c>
    </row>
    <row r="37" ht="14.25" customHeight="1" spans="1:1">
      <c r="A37" s="1" t="s">
        <v>1325</v>
      </c>
    </row>
    <row r="38" ht="14.25" customHeight="1" spans="1:1">
      <c r="A38" s="1" t="s">
        <v>1326</v>
      </c>
    </row>
    <row r="39" ht="14.25" customHeight="1" spans="1:1">
      <c r="A39" s="1" t="s">
        <v>1327</v>
      </c>
    </row>
    <row r="40" ht="14.25" customHeight="1" spans="1:1">
      <c r="A40" s="1" t="s">
        <v>1328</v>
      </c>
    </row>
    <row r="41" ht="14.25" customHeight="1" spans="1:1">
      <c r="A41" s="1" t="s">
        <v>1329</v>
      </c>
    </row>
    <row r="42" ht="14.25" customHeight="1" spans="1:1">
      <c r="A42" s="1" t="s">
        <v>1330</v>
      </c>
    </row>
    <row r="43" ht="14.25" customHeight="1" spans="1:1">
      <c r="A43" s="1" t="s">
        <v>1331</v>
      </c>
    </row>
    <row r="44" ht="14.25" customHeight="1"/>
    <row r="45" ht="14.25" customHeight="1" spans="1:1">
      <c r="A45" s="15" t="s">
        <v>1332</v>
      </c>
    </row>
    <row r="46" ht="14.25" customHeight="1"/>
    <row r="47" ht="14.25" customHeight="1" spans="1:1">
      <c r="A47" s="9" t="s">
        <v>1333</v>
      </c>
    </row>
    <row r="48" ht="14.25" customHeight="1" spans="1:1">
      <c r="A48" s="1" t="s">
        <v>1313</v>
      </c>
    </row>
    <row r="49" ht="14.25" customHeight="1" spans="1:1">
      <c r="A49" s="1" t="s">
        <v>1334</v>
      </c>
    </row>
    <row r="50" ht="14.25" customHeight="1" spans="1:1">
      <c r="A50" s="1" t="s">
        <v>1319</v>
      </c>
    </row>
    <row r="51" ht="14.25" customHeight="1" spans="1:1">
      <c r="A51" s="1" t="s">
        <v>1335</v>
      </c>
    </row>
    <row r="52" ht="14.25" customHeight="1" spans="1:1">
      <c r="A52" s="1" t="s">
        <v>1336</v>
      </c>
    </row>
    <row r="53" ht="14.25" customHeight="1" spans="1:1">
      <c r="A53" s="13" t="s">
        <v>1337</v>
      </c>
    </row>
    <row r="54" ht="14.25" customHeight="1" spans="1:1">
      <c r="A54" s="14" t="s">
        <v>1321</v>
      </c>
    </row>
    <row r="55" ht="14.25" customHeight="1" spans="1:1">
      <c r="A55" s="1" t="s">
        <v>1338</v>
      </c>
    </row>
    <row r="56" ht="14.25" customHeight="1" spans="1:1">
      <c r="A56" s="1" t="s">
        <v>1339</v>
      </c>
    </row>
    <row r="57" ht="14.25" customHeight="1" spans="1:1">
      <c r="A57" s="1" t="s">
        <v>1340</v>
      </c>
    </row>
    <row r="58" ht="14.25" customHeight="1" spans="1:1">
      <c r="A58" s="1" t="s">
        <v>1341</v>
      </c>
    </row>
    <row r="59" ht="14.25" customHeight="1" spans="1:1">
      <c r="A59" s="1" t="s">
        <v>1342</v>
      </c>
    </row>
    <row r="60" ht="14.25" customHeight="1" spans="1:1">
      <c r="A60" s="13" t="s">
        <v>1337</v>
      </c>
    </row>
    <row r="61" ht="14.25" customHeight="1" spans="1:1">
      <c r="A61" s="14" t="s">
        <v>1343</v>
      </c>
    </row>
    <row r="62" ht="14.25" customHeight="1" spans="1:1">
      <c r="A62" s="1" t="s">
        <v>1344</v>
      </c>
    </row>
    <row r="63" ht="14.25" customHeight="1" spans="1:1">
      <c r="A63" s="1" t="s">
        <v>1345</v>
      </c>
    </row>
    <row r="64" ht="14.25" customHeight="1" spans="1:1">
      <c r="A64" s="1" t="s">
        <v>1346</v>
      </c>
    </row>
    <row r="65" ht="14.25" customHeight="1" spans="1:1">
      <c r="A65" s="1" t="s">
        <v>1347</v>
      </c>
    </row>
    <row r="66" ht="14.25" customHeight="1" spans="1:1">
      <c r="A66" s="1" t="s">
        <v>1348</v>
      </c>
    </row>
    <row r="67" ht="14.25" customHeight="1" spans="1:1">
      <c r="A67" s="1" t="s">
        <v>1349</v>
      </c>
    </row>
    <row r="68" ht="14.25" customHeight="1" spans="1:1">
      <c r="A68" s="1" t="s">
        <v>1350</v>
      </c>
    </row>
    <row r="69" ht="14.25" customHeight="1" spans="1:1">
      <c r="A69" s="1" t="s">
        <v>1351</v>
      </c>
    </row>
    <row r="70" ht="14.25" customHeight="1" spans="1:1">
      <c r="A70" s="1" t="s">
        <v>1352</v>
      </c>
    </row>
    <row r="71" ht="14.25" customHeight="1" spans="1:1">
      <c r="A71" s="1" t="s">
        <v>1353</v>
      </c>
    </row>
    <row r="72" ht="14.25" customHeight="1" spans="1:1">
      <c r="A72" s="15" t="s">
        <v>1354</v>
      </c>
    </row>
    <row r="73" ht="14.25" customHeight="1"/>
    <row r="74" ht="14.25" customHeight="1" spans="1:1">
      <c r="A74" s="1" t="s">
        <v>1355</v>
      </c>
    </row>
    <row r="75" ht="14.25" customHeight="1" spans="1:1">
      <c r="A75" s="15" t="s">
        <v>1356</v>
      </c>
    </row>
    <row r="76" ht="14.25" customHeight="1" spans="1:1">
      <c r="A76" s="1" t="s">
        <v>1357</v>
      </c>
    </row>
    <row r="77" ht="14.25" customHeight="1" spans="1:1">
      <c r="A77" s="1" t="s">
        <v>1358</v>
      </c>
    </row>
    <row r="78" ht="14.25" customHeight="1" spans="1:1">
      <c r="A78" s="1" t="s">
        <v>1359</v>
      </c>
    </row>
    <row r="79" ht="14.25" customHeight="1" spans="1:1">
      <c r="A79" s="1" t="s">
        <v>1360</v>
      </c>
    </row>
    <row r="80" ht="14.25" customHeight="1" spans="1:1">
      <c r="A80" s="1" t="s">
        <v>1361</v>
      </c>
    </row>
    <row r="81" ht="14.25" customHeight="1" spans="1:1">
      <c r="A81" s="1" t="s">
        <v>1362</v>
      </c>
    </row>
    <row r="82" ht="14.25" customHeight="1"/>
    <row r="83" ht="14.25" customHeight="1" spans="1:1">
      <c r="A83" s="1" t="s">
        <v>1363</v>
      </c>
    </row>
    <row r="84" ht="14.25" customHeight="1" spans="1:1">
      <c r="A84" s="15" t="s">
        <v>1364</v>
      </c>
    </row>
    <row r="85" ht="14.25" customHeight="1" spans="1:1">
      <c r="A85" s="1" t="s">
        <v>1365</v>
      </c>
    </row>
    <row r="86" ht="14.25" customHeight="1" spans="1:1">
      <c r="A86" s="1" t="s">
        <v>1366</v>
      </c>
    </row>
    <row r="87" ht="14.25" customHeight="1" spans="1:1">
      <c r="A87" s="1" t="s">
        <v>1367</v>
      </c>
    </row>
    <row r="88" ht="14.25" customHeight="1" spans="1:1">
      <c r="A88" s="1" t="s">
        <v>1358</v>
      </c>
    </row>
    <row r="89" ht="14.25" customHeight="1" spans="1:1">
      <c r="A89" s="1" t="s">
        <v>1368</v>
      </c>
    </row>
    <row r="90" ht="14.25" customHeight="1" spans="1:1">
      <c r="A90" s="1" t="s">
        <v>1360</v>
      </c>
    </row>
    <row r="91" ht="14.25" customHeight="1" spans="1:1">
      <c r="A91" s="1" t="s">
        <v>1361</v>
      </c>
    </row>
    <row r="92" ht="14.25" customHeight="1" spans="1:1">
      <c r="A92" s="1" t="s">
        <v>1369</v>
      </c>
    </row>
    <row r="93" ht="14.25" customHeight="1" spans="1:1">
      <c r="A93" s="1" t="s">
        <v>1370</v>
      </c>
    </row>
    <row r="94" ht="14.25" customHeight="1" spans="1:1">
      <c r="A94" s="1" t="s">
        <v>1371</v>
      </c>
    </row>
    <row r="95" ht="14.25" customHeight="1"/>
    <row r="96" ht="14.25" customHeight="1" spans="1:1">
      <c r="A96" s="13" t="s">
        <v>1337</v>
      </c>
    </row>
    <row r="97" ht="14.25" customHeight="1" spans="1:1">
      <c r="A97" s="14" t="s">
        <v>1321</v>
      </c>
    </row>
    <row r="98" ht="14.25" customHeight="1" spans="1:1">
      <c r="A98" s="1" t="s">
        <v>1372</v>
      </c>
    </row>
    <row r="99" ht="14.25" customHeight="1" spans="1:1">
      <c r="A99" s="1" t="s">
        <v>1373</v>
      </c>
    </row>
    <row r="100" ht="14.25" customHeight="1" spans="1:1">
      <c r="A100" s="1" t="s">
        <v>1374</v>
      </c>
    </row>
    <row r="101" ht="14.25" customHeight="1" spans="1:1">
      <c r="A101" s="1" t="s">
        <v>1375</v>
      </c>
    </row>
    <row r="102" ht="14.25" customHeight="1" spans="1:1">
      <c r="A102" s="1" t="s">
        <v>1376</v>
      </c>
    </row>
    <row r="103" ht="14.25" customHeight="1" spans="1:1">
      <c r="A103" s="1" t="s">
        <v>1377</v>
      </c>
    </row>
    <row r="104" ht="14.25" customHeight="1" spans="1:1">
      <c r="A104" s="1" t="s">
        <v>1378</v>
      </c>
    </row>
    <row r="105" ht="14.25" customHeight="1" spans="1:1">
      <c r="A105" s="1" t="s">
        <v>1379</v>
      </c>
    </row>
    <row r="106" ht="14.25" customHeight="1" spans="1:1">
      <c r="A106" s="1" t="s">
        <v>1380</v>
      </c>
    </row>
    <row r="107" ht="14.25" customHeight="1" spans="1:1">
      <c r="A107" s="1" t="s">
        <v>1381</v>
      </c>
    </row>
    <row r="108" ht="14.25" customHeight="1"/>
    <row r="109" ht="14.25" customHeight="1" spans="1:1">
      <c r="A109" s="13" t="s">
        <v>1320</v>
      </c>
    </row>
    <row r="110" ht="14.25" customHeight="1" spans="1:1">
      <c r="A110" s="14" t="s">
        <v>1321</v>
      </c>
    </row>
    <row r="111" ht="14.25" customHeight="1" spans="1:1">
      <c r="A111" s="1" t="s">
        <v>1382</v>
      </c>
    </row>
    <row r="112" ht="14.25" customHeight="1" spans="1:1">
      <c r="A112" s="1" t="s">
        <v>1383</v>
      </c>
    </row>
    <row r="113" ht="14.25" customHeight="1" spans="1:1">
      <c r="A113" s="1" t="s">
        <v>1384</v>
      </c>
    </row>
    <row r="114" ht="14.25" customHeight="1" spans="1:1">
      <c r="A114" s="13" t="s">
        <v>1320</v>
      </c>
    </row>
    <row r="115" ht="14.25" customHeight="1" spans="1:1">
      <c r="A115" s="14" t="s">
        <v>1321</v>
      </c>
    </row>
    <row r="116" ht="14.25" customHeight="1" spans="1:1">
      <c r="A116" s="1" t="s">
        <v>1385</v>
      </c>
    </row>
    <row r="117" ht="14.25" customHeight="1" spans="1:1">
      <c r="A117" s="1" t="s">
        <v>1386</v>
      </c>
    </row>
    <row r="118" ht="14.25" customHeight="1" spans="1:1">
      <c r="A118" s="1" t="s">
        <v>1387</v>
      </c>
    </row>
    <row r="119" ht="14.25" customHeight="1" spans="1:1">
      <c r="A119" s="1" t="s">
        <v>1388</v>
      </c>
    </row>
    <row r="120" ht="14.25" customHeight="1" spans="1:1">
      <c r="A120" s="1" t="s">
        <v>1389</v>
      </c>
    </row>
    <row r="121" ht="14.25" customHeight="1" spans="1:1">
      <c r="A121" s="1" t="s">
        <v>1390</v>
      </c>
    </row>
    <row r="122" ht="14.25" customHeight="1" spans="1:1">
      <c r="A122" s="1" t="s">
        <v>1391</v>
      </c>
    </row>
    <row r="123" ht="14.25" customHeight="1"/>
    <row r="124" ht="14.25" customHeight="1" spans="1:1">
      <c r="A124" s="15" t="s">
        <v>1392</v>
      </c>
    </row>
    <row r="125" ht="14.25" customHeight="1" spans="1:1">
      <c r="A125" s="1" t="s">
        <v>1360</v>
      </c>
    </row>
    <row r="126" ht="14.25" customHeight="1" spans="1:1">
      <c r="A126" s="1" t="s">
        <v>1361</v>
      </c>
    </row>
    <row r="127" ht="14.25" customHeight="1" spans="1:1">
      <c r="A127" s="1" t="s">
        <v>1393</v>
      </c>
    </row>
    <row r="128" ht="14.25" customHeight="1" spans="1:1">
      <c r="A128" s="1" t="s">
        <v>1394</v>
      </c>
    </row>
    <row r="129" ht="14.25" customHeight="1"/>
    <row r="130" ht="14.25" customHeight="1" spans="1:1">
      <c r="A130" s="15" t="s">
        <v>1395</v>
      </c>
    </row>
    <row r="131" ht="14.25" customHeight="1" spans="1:1">
      <c r="A131" s="1" t="s">
        <v>1360</v>
      </c>
    </row>
    <row r="132" ht="14.25" customHeight="1" spans="1:1">
      <c r="A132" s="1" t="s">
        <v>1396</v>
      </c>
    </row>
    <row r="133" ht="14.25" customHeight="1" spans="1:1">
      <c r="A133" s="1" t="s">
        <v>1397</v>
      </c>
    </row>
    <row r="134" ht="14.25" customHeight="1" spans="1:1">
      <c r="A134" s="1" t="s">
        <v>1398</v>
      </c>
    </row>
    <row r="135" ht="14.25" customHeight="1" spans="1:1">
      <c r="A135" s="1" t="s">
        <v>1399</v>
      </c>
    </row>
    <row r="136" ht="14.25" customHeight="1"/>
    <row r="137" ht="14.25" customHeight="1" spans="1:1">
      <c r="A137" s="15" t="s">
        <v>1400</v>
      </c>
    </row>
    <row r="138" ht="14.25" customHeight="1" spans="1:1">
      <c r="A138" s="1" t="s">
        <v>1401</v>
      </c>
    </row>
    <row r="139" ht="14.25" customHeight="1" spans="1:1">
      <c r="A139" s="1" t="s">
        <v>1402</v>
      </c>
    </row>
    <row r="140" ht="14.25" customHeight="1" spans="1:1">
      <c r="A140" s="1" t="s">
        <v>1403</v>
      </c>
    </row>
    <row r="141" ht="14.25" customHeight="1" spans="1:1">
      <c r="A141" s="1" t="s">
        <v>1404</v>
      </c>
    </row>
    <row r="142" ht="14.25" customHeight="1" spans="1:1">
      <c r="A142" s="1" t="s">
        <v>1360</v>
      </c>
    </row>
    <row r="143" ht="14.25" customHeight="1" spans="1:1">
      <c r="A143" s="1" t="s">
        <v>1405</v>
      </c>
    </row>
    <row r="144" ht="14.25" customHeight="1" spans="1:1">
      <c r="A144" s="1" t="s">
        <v>1406</v>
      </c>
    </row>
    <row r="145" ht="14.25" customHeight="1" spans="1:1">
      <c r="A145" s="1" t="s">
        <v>1407</v>
      </c>
    </row>
    <row r="146" ht="14.25" customHeight="1" spans="1:1">
      <c r="A146" s="1" t="s">
        <v>1399</v>
      </c>
    </row>
    <row r="147" ht="14.25" customHeight="1"/>
    <row r="148" ht="14.25" customHeight="1" spans="1:1">
      <c r="A148" s="19" t="s">
        <v>1408</v>
      </c>
    </row>
    <row r="149" ht="14.25" customHeight="1" spans="1:1">
      <c r="A149" s="15" t="s">
        <v>1356</v>
      </c>
    </row>
    <row r="150" ht="14.25" customHeight="1" spans="1:1">
      <c r="A150" s="1" t="s">
        <v>1357</v>
      </c>
    </row>
    <row r="151" ht="14.25" customHeight="1" spans="1:1">
      <c r="A151" s="1" t="s">
        <v>1401</v>
      </c>
    </row>
    <row r="152" ht="14.25" customHeight="1" spans="1:1">
      <c r="A152" s="1" t="s">
        <v>1409</v>
      </c>
    </row>
    <row r="153" ht="14.25" customHeight="1" spans="1:1">
      <c r="A153" s="1" t="s">
        <v>1358</v>
      </c>
    </row>
    <row r="154" ht="14.25" customHeight="1" spans="1:1">
      <c r="A154" s="1" t="s">
        <v>1359</v>
      </c>
    </row>
    <row r="155" ht="14.25" customHeight="1" spans="1:1">
      <c r="A155" s="1" t="s">
        <v>1360</v>
      </c>
    </row>
    <row r="156" ht="14.25" customHeight="1" spans="1:1">
      <c r="A156" s="1" t="s">
        <v>1410</v>
      </c>
    </row>
    <row r="157" ht="14.25" customHeight="1" spans="1:1">
      <c r="A157" s="1" t="s">
        <v>1411</v>
      </c>
    </row>
    <row r="158" ht="14.25" customHeight="1"/>
    <row r="159" ht="14.25" customHeight="1" spans="1:1">
      <c r="A159" s="1" t="s">
        <v>1412</v>
      </c>
    </row>
    <row r="160" ht="14.25" customHeight="1" spans="1:1">
      <c r="A160" s="15" t="s">
        <v>1356</v>
      </c>
    </row>
    <row r="161" ht="14.25" customHeight="1" spans="1:1">
      <c r="A161" s="1" t="s">
        <v>1357</v>
      </c>
    </row>
    <row r="162" ht="14.25" customHeight="1" spans="1:1">
      <c r="A162" s="1" t="s">
        <v>1401</v>
      </c>
    </row>
    <row r="163" ht="14.25" customHeight="1" spans="1:1">
      <c r="A163" s="1" t="s">
        <v>1409</v>
      </c>
    </row>
    <row r="164" ht="14.25" customHeight="1" spans="1:1">
      <c r="A164" s="1" t="s">
        <v>1358</v>
      </c>
    </row>
    <row r="165" ht="14.25" customHeight="1" spans="1:1">
      <c r="A165" s="1" t="s">
        <v>1359</v>
      </c>
    </row>
    <row r="166" ht="14.25" customHeight="1" spans="1:1">
      <c r="A166" s="1" t="s">
        <v>1360</v>
      </c>
    </row>
    <row r="167" ht="14.25" customHeight="1" spans="1:1">
      <c r="A167" s="1" t="s">
        <v>1413</v>
      </c>
    </row>
    <row r="168" ht="14.25" customHeight="1" spans="1:1">
      <c r="A168" s="1" t="s">
        <v>1414</v>
      </c>
    </row>
    <row r="169" ht="14.25" customHeight="1" spans="1:1">
      <c r="A169" s="1" t="s">
        <v>1415</v>
      </c>
    </row>
    <row r="170" ht="14.25" customHeight="1" spans="1:1">
      <c r="A170" s="1" t="s">
        <v>1416</v>
      </c>
    </row>
    <row r="171" ht="14.25" customHeight="1" spans="1:1">
      <c r="A171" s="1" t="s">
        <v>1411</v>
      </c>
    </row>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sheetData>
  <mergeCells count="4">
    <mergeCell ref="A5:B5"/>
    <mergeCell ref="E5:F5"/>
    <mergeCell ref="A19:F19"/>
    <mergeCell ref="A1:F3"/>
  </mergeCells>
  <pageMargins left="0.7" right="0.7" top="0.75" bottom="0.75" header="0" footer="0"/>
  <pageSetup paperSize="1" orientation="landscape"/>
  <headerFooter/>
  <legacyDrawing r:id="rId2"/>
</worksheet>
</file>

<file path=docProps/app.xml><?xml version="1.0" encoding="utf-8"?>
<Properties xmlns="http://schemas.openxmlformats.org/officeDocument/2006/extended-properties" xmlns:vt="http://schemas.openxmlformats.org/officeDocument/2006/docPropsVTypes">
  <Application>WPS Spreadsheets</Application>
  <HeadingPairs>
    <vt:vector size="2" baseType="variant">
      <vt:variant>
        <vt:lpstr>工作表</vt:lpstr>
      </vt:variant>
      <vt:variant>
        <vt:i4>11</vt:i4>
      </vt:variant>
    </vt:vector>
  </HeadingPairs>
  <TitlesOfParts>
    <vt:vector size="11" baseType="lpstr">
      <vt:lpstr>General Instructions </vt:lpstr>
      <vt:lpstr>Dump</vt:lpstr>
      <vt:lpstr>Q1</vt:lpstr>
      <vt:lpstr>Q2</vt:lpstr>
      <vt:lpstr>Q3</vt:lpstr>
      <vt:lpstr>Q5</vt:lpstr>
      <vt:lpstr>Q4</vt:lpstr>
      <vt:lpstr>Pivot for Pareto</vt:lpstr>
      <vt:lpstr>Pareto Analysis</vt:lpstr>
      <vt:lpstr>Q6</vt:lpstr>
      <vt:lpstr>Q7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Ronit</cp:lastModifiedBy>
  <dcterms:created xsi:type="dcterms:W3CDTF">2024-05-27T11:10:00Z</dcterms:created>
  <dcterms:modified xsi:type="dcterms:W3CDTF">2024-05-27T14:06:43Z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795FF39428B94A2E9D2469EAA76648CF_13</vt:lpwstr>
  </property>
  <property fmtid="{D5CDD505-2E9C-101B-9397-08002B2CF9AE}" pid="3" name="KSOProductBuildVer">
    <vt:lpwstr>1033-12.2.0.16909</vt:lpwstr>
  </property>
</Properties>
</file>